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000" windowHeight="18000" firstSheet="0" activeTab="0"/>
  </bookViews>
  <sheets>
    <sheet sheetId="12" name="README" state="visible" r:id="rId4"/>
    <sheet sheetId="2" name="Brand_Profile" state="visible" r:id="rId5"/>
    <sheet sheetId="3" name="KOL_Database" state="visible" r:id="rId6"/>
    <sheet sheetId="4" name="Matching_Engine" state="visible" r:id="rId7"/>
    <sheet sheetId="5" name="Match_Explanation" state="visible" r:id="rId8"/>
    <sheet sheetId="6" name="Discovery_Filters" state="visible" r:id="rId9"/>
    <sheet sheetId="8" name="Discovery_Ranking" state="visible" r:id="rId10"/>
    <sheet sheetId="7" name="Filter_Logic" state="visible" r:id="rId11"/>
    <sheet sheetId="11" name="Taxonomy" state="visible" r:id="rId12"/>
    <sheet sheetId="9" name="Sample_Brands" state="visible" r:id="rId13"/>
    <sheet sheetId="10" name="Sample_Output" state="visible" r:id="rId14"/>
    <sheet sheetId="1" name="Lookup_Lists" state="visible" r:id="rId15"/>
  </sheets>
  <calcPr calcId="171027" fullCalcOnLoad="1"/>
</workbook>
</file>

<file path=xl/sharedStrings.xml><?xml version="1.0" encoding="utf-8"?>
<sst xmlns="http://schemas.openxmlformats.org/spreadsheetml/2006/main" count="5612" uniqueCount="2130">
  <si>
    <t>AUTOMETRIC — KOL DISCOVERY BRAND MATCH ENGINE</t>
  </si>
  <si>
    <t>Specification and calculation workbook. Twelve sheets: two of inputs, one engine, seven views, one lookup sheet and this page. Generated by scripts/build-brand-match-workbook.mjs and verified by scripts/verify-brand-match-workbook.mjs.</t>
  </si>
  <si>
    <t>1. PURPOSE</t>
  </si>
  <si>
    <t/>
  </si>
  <si>
    <t>This workbook is the source of truth for the Autometric KOL Discovery Brand Match calculation. It is not a mock-up: every score on every sheet is an Excel formula over the values in Brand_Profile and KOL_Database, weighted by the constants on Lookup_Lists. Change an input and the workbook re-answers. Hand it to a backend developer and the formulas are the specification — there is no second document that says what the code should do.</t>
  </si>
  <si>
    <t>It exists because the product needs a Brand Match today and the KOL database cannot supply one: feature.brand_fit_analysis holds 0 rows, which is why four of the eight Smart Preset chips in the running prototype are disabled. The logic has to be agreed and written down before the pipeline is built, not after.</t>
  </si>
  <si>
    <t>2. BRAND_PROFILE — the brand half of the inputs</t>
  </si>
  <si>
    <t>Four sections, matching the Brand Profile &amp; Matching UI: A. Company Profile, B. Target Audience, C. Brand Identification, D. Ideal Creator Profile. A fifth block, E. Matching Configuration, holds the switches that decide which rules act as hard filters.</t>
  </si>
  <si>
    <t>Columns D, E and F are the three brands. Column G is whichever brand cell B4 names, and that is the column the active-brand views (Match_Explanation, Discovery_Ranking) read. Two calculated blocks sit under the fields: a token helper that splits the comma-separated list fields into five addressable slots, and the audience sub-weights, which move weight onto whichever dimension Audience Demographics Priority names.</t>
  </si>
  <si>
    <t>3. KOL_DATABASE — the creator half of the inputs</t>
  </si>
  <si>
    <t>Thirty creators on Instagram and TikTok, in six blocks: identity, performance, audience, content, commercial, safety — plus the exclusion state and the freshness columns Discovery needs. Tier, CPV, CPE, CPM, Estimated Reach, Estimated ROI, View-to-Follower Ratio, Cost Efficiency, Data Completeness and Data Status are calculated from the columns beside them.</t>
  </si>
  <si>
    <t>Several creators are missing a field on purpose — a blank Median Views, a blank rate card, a blank audience city. The real roster is full of holes, the Confidence column exists to report them, and every formula here is written to survive one without printing #DIV/0!.</t>
  </si>
  <si>
    <t>4. THE SIX COMPONENTS</t>
  </si>
  <si>
    <t>Brand &amp; Business Relevance</t>
  </si>
  <si>
    <t>Brand Industry, Product / Service Category, Main Business Keywords, Brand Keywords and Brand Niche against the creator Category, Sub Category, Content Topics and Audience Interests. Industry Match 40%, Category Match 30%, Keyword Match 30% — the last being the two keyword lists scored separately and averaged.</t>
  </si>
  <si>
    <t>Target Audience Relevance</t>
  </si>
  <si>
    <t>Age 25%, Gender 15%, Location 30%, Interest 30% — before Audience Demographics Priority moves 12 points onto one of them and takes a third of that off each of the others.</t>
  </si>
  <si>
    <t>Content &amp; Category Relevance</t>
  </si>
  <si>
    <t>Preferred Category 30%, Preferred Sub Category 20%, Preferred Content Topics 30%, Preferred Content Style 20%.</t>
  </si>
  <si>
    <t>Brand Personality Fit</t>
  </si>
  <si>
    <t>Personality 35%, Tone against Content Style 25%, Values overlap 25%, Communication Style 15%. Related matches count: Innovative is answered by a Tech-savvy or Creative creator, not only by one who calls themselves Innovative.</t>
  </si>
  <si>
    <t>Performance Quality</t>
  </si>
  <si>
    <t>Engagement Rate 35%, Audience Quality 20%, Consistency 20%, Community 10%, Average Views 10%, Recent Growth 5%, each normalised to 0–100 against a calibration target on Lookup_Lists.</t>
  </si>
  <si>
    <t>Brand Safety</t>
  </si>
  <si>
    <t>Brand Safety Score 80%, head-room from Competitor Saturation 20%, multiplied by the Risk Flag discount (High 0.6, Medium 0.85, Low 0.95). Saturation lowers the score; it never excludes on its own.</t>
  </si>
  <si>
    <t>5. WEIGHTING — the master formula</t>
  </si>
  <si>
    <t>FINAL MATCH =  20% Brand &amp; Business  +  30% Target Audience  +  20% Content &amp; Category  +  10% Brand Personality  +  10% Performance  +  10% Brand Safety</t>
  </si>
  <si>
    <t>The six weights live in the COMPONENT WEIGHTS block on Lookup_Lists and nowhere else. The engine divides by their sum rather than by a literal 100, so a workbook whose weights have been edited still produces a 0–100 score; the CHECK_WEIGHT_TOTAL cell beside them says out loud whether they still total 100.</t>
  </si>
  <si>
    <t>6. FORMULA LOGIC — how a comparison becomes a number</t>
  </si>
  <si>
    <t>Category-style comparisons</t>
  </si>
  <si>
    <t>A matrix lookup on Lookup_Lists, on the 100 / 80 / 60 / 40 / 20 ladder: exact, strongly related, partially related, weakly related, unrelated. Five matrices — Industry × Category, Category × Category, Brand Personality × Creator Personality, Brand Tone × Content Style, Communication Style × Content Style, Content Style × Content Style. Every cell is editable, which is what makes a disputed score a conversation about one number rather than about a model.</t>
  </si>
  <si>
    <t>List comparisons</t>
  </si>
  <si>
    <t>Overlap counting. The brand list is split into five slots by the token helper; each slot is looked for in the creator text with SEARCH; the score is matches ÷ slots filled × 100. A brand that names three keywords is judged out of three.</t>
  </si>
  <si>
    <t>Numeric comparisons</t>
  </si>
  <si>
    <t>Normalisation against a target on Lookup_Lists: MIN(100, value ÷ target × 100). Engagement Rate scores 100 at 6%; views per follower at 0.5; 30-day growth at 8%, and 0 at −2%.</t>
  </si>
  <si>
    <t>Missing data</t>
  </si>
  <si>
    <t>A blank input scores the neutral 50 where the brand left a preference blank, and 0 where the creator is missing a measurement — those are different situations and the formulas keep them apart. Nothing ever divides by an unguarded cell.</t>
  </si>
  <si>
    <t>Two inputs that carry no weight</t>
  </si>
  <si>
    <t>Company Description is free text for the brief. Brand Positioning is carried and printed in the Personality Match Reason, but it is deliberately not weighted: the honest thing to weigh a Premium or Luxury positioning against is production quality, and there is no measured production-quality signal on the roster to weigh it against. Inventing one would be the same mistake as the four Smart Preset chips that used to rank by a hash of the creator id. Give it a weight the day a real signal exists.</t>
  </si>
  <si>
    <t>7. HARD FILTERS — remove the creator</t>
  </si>
  <si>
    <t>Platform, Minimum and Maximum Followers, Minimum Engagement Rate, Tier, Minimum Audience Quality, Minimum Brand Safety, Audience Country and Category (both switchable), Max Competitor Saturation, the four exclusion toggles, and Minimum Brand Match. The engine computes the reason first and the verdict from it, so an excluded creator always carries the sentence that explains why. See Filter_Logic.</t>
  </si>
  <si>
    <t>8. SOFT MATCHING — reorder the list</t>
  </si>
  <si>
    <t>Brand Match, Audience Match, Content Relevance, Personality Fit, Performance, Opportunity, Estimated ROI and Competitor Saturation. A low soft score never removes a creator. Competitor Saturation in particular is a warning, not a rejection: it can only exclude through the explicit Max Competitor Saturation setting.</t>
  </si>
  <si>
    <t>9. DISCOVERY RANKING</t>
  </si>
  <si>
    <t>Default order is Brand Match, then Audience Match, then Content Relevance, then Performance, then Brand Safety, encoded as one Default Sort Key so the tie-break order is inspectable. Thirty presets are defined on Lookup_Lists; the picker on Discovery_Ranking reads the metric column each one names. The "Available today" column tells you which of them the KOL database can actually answer — the prototype ships four of its eight chips disabled for exactly this reason.</t>
  </si>
  <si>
    <t>10. MATCH EXPLANATION</t>
  </si>
  <si>
    <t>Generated, not written. The three strengths are the three highest components and the three considerations the three lowest, read with LARGE and SMALL over the same cells the score came from, so an explanation cannot drift away from the number it explains. Each component also carries its own reason line naming its sub-scores.</t>
  </si>
  <si>
    <t>11. SAMPLE BRANDS AND SAMPLE OUTPUT</t>
  </si>
  <si>
    <t>Three briefs — Technology / SaaS, Beauty &amp; Skincare, Food &amp; Beverage — run against one roster of thirty. Sample_Output puts the three scores for each creator side by side and reports the spread. If the engine were ranking creators globally rather than matching brand to creator, that spread would be zero on every row; the verdict cell says whether it is.</t>
  </si>
  <si>
    <t>12. TAXONOMY — the tree everything classifies against</t>
  </si>
  <si>
    <t>One sheet, because the whole point is that the four things are one object: a creator sub category, a brand niche, a raw kol_categories row and a matching keyword are four views of a single tree. Lookup_Lists derives its Category, Sub Category, Industry and Niche dropdowns from it, so no list in this workbook can drift from another.</t>
  </si>
  <si>
    <t>Three axes</t>
  </si>
  <si>
    <t>A label answers one question — what the creator makes, who watches, or how it is shot. public.kol_categories mixes all three: "Moms" is an audience and "Gen Z" is an age band, both sitting in a content column. Only the content axis may feed the Category and Sub Category ladders; the audience axis already has its own 30% of the score.</t>
  </si>
  <si>
    <t>The crosswalk</t>
  </si>
  <si>
    <t>Brand Niche is collected on Brand_Profile and read by no formula in the engine. Section E is what would give it weight: it names the sub categories each niche is actually asking for, over a default that comes from matrix 5 rather than from nowhere. The derived value is printed beside every override so an override reads as an override.</t>
  </si>
  <si>
    <t>What it is for</t>
  </si>
  <si>
    <t>Category covers 54,1% of the roster, Sub Category has no column at all, and Content Topic has none of its 0 rows filled. Section F is the alias table the backend plan is waiting on, and section G is how the 3.547 creators with no category get one — including the rule that a modelled category may rank but must never act as a hard filter.</t>
  </si>
  <si>
    <t>13. FOR THE BACKEND — translating this into code</t>
  </si>
  <si>
    <t>Shape</t>
  </si>
  <si>
    <t>One pure function: score(brand, creator) → { components, subScores, final, level, confidence, reasons, exclusion }. No I/O, no database access, deterministic. The Field Key column on Brand_Profile is the payload shape; the KOL_Database headers are the creator shape.</t>
  </si>
  <si>
    <t>Where the constants live</t>
  </si>
  <si>
    <t>Load the Lookup_Lists blocks — weights, matrices, calibration, bands — from configuration, not from constants in the source. They are meant to be tuned by whoever owns the matching quality, and a redeploy is the wrong unit of change.</t>
  </si>
  <si>
    <t>Order of operations</t>
  </si>
  <si>
    <t>Compute all six components, then the Final Match Score, then evaluate the hard filters (Minimum Brand Match needs the score), then rank. Never fold a hard filter into the SQL when it rests on a computed value — the roster pages server-side, and filtering the page you already fetched gives a result count that means nothing.</t>
  </si>
  <si>
    <t>Provenance</t>
  </si>
  <si>
    <t>Carry a per-field basis flag the way @/lib/discover/creatorMatch does with SignalBasis. A score built from modelled inputs is useful for ranking and must never be presented as a measurement, and it must never be used as a hard filter.</t>
  </si>
  <si>
    <t>What to build first</t>
  </si>
  <si>
    <t>The columns the KOL database cannot answer today are listed with their coverage on Discovery_Filters. The short list: populate feature.brand_fit_analysis; fill audience_demographics_daily with audience_type='age'; widen feature.{ig,tt}_audience_analysis past 23 creators; fill creator_city; populate l1_silver.unified_rate_card. Until then, a filter that rests on one of those must ship disabled with its reason shown, not silently returning nothing.</t>
  </si>
  <si>
    <t>BRAND PROFILE  ·  Company Profile · Target Audience · Brand Identification · Ideal Creator Profile</t>
  </si>
  <si>
    <t>The inputs. Columns D–F are the three brands, each cell typed by hand or picked from a dropdown; column G is whichever brand cell B4 names, and that is the column the engine reads for every active-brand view. Nothing on this sheet is calculated from a creator — it is what the brand says about itself before it has seen the roster.</t>
  </si>
  <si>
    <t>Active Brand →</t>
  </si>
  <si>
    <t>BRAND-A</t>
  </si>
  <si>
    <t>active column →</t>
  </si>
  <si>
    <t>Section</t>
  </si>
  <si>
    <t>Field</t>
  </si>
  <si>
    <t>Field Key</t>
  </si>
  <si>
    <t>BRAND-B</t>
  </si>
  <si>
    <t>BRAND-C</t>
  </si>
  <si>
    <t>Active Value</t>
  </si>
  <si>
    <t>Input type / allowed values</t>
  </si>
  <si>
    <t>A. COMPANY PROFILE</t>
  </si>
  <si>
    <t>COMPANY PROFILE</t>
  </si>
  <si>
    <t>Brand ID</t>
  </si>
  <si>
    <t>brand_id</t>
  </si>
  <si>
    <t>Free text</t>
  </si>
  <si>
    <t>Brand Name</t>
  </si>
  <si>
    <t>brand_name</t>
  </si>
  <si>
    <t>Nusatech Cloud</t>
  </si>
  <si>
    <t>Lumaya Skin</t>
  </si>
  <si>
    <t>Rasa Nusantara</t>
  </si>
  <si>
    <t>Industry</t>
  </si>
  <si>
    <t>industry</t>
  </si>
  <si>
    <t>Technology / SaaS</t>
  </si>
  <si>
    <t>Beauty &amp; Skincare</t>
  </si>
  <si>
    <t>Food &amp; Beverage</t>
  </si>
  <si>
    <t>Dropdown — Lookup_Lists.Industry</t>
  </si>
  <si>
    <t>Company Description</t>
  </si>
  <si>
    <t>company_description</t>
  </si>
  <si>
    <t>Workflow automation and team collaboration for Indonesian SMEs.</t>
  </si>
  <si>
    <t>Dermatologist-tested skincare for humid-climate skin barriers.</t>
  </si>
  <si>
    <t>Ready-to-drink archipelago flavours for everyday family tables.</t>
  </si>
  <si>
    <t>Product / Service Category</t>
  </si>
  <si>
    <t>product_category</t>
  </si>
  <si>
    <t>Software &amp; SaaS</t>
  </si>
  <si>
    <t>Skincare</t>
  </si>
  <si>
    <t>Coffee &amp; Beverage</t>
  </si>
  <si>
    <t>Dropdown — Lookup_Lists.SubCategory</t>
  </si>
  <si>
    <t>Main Business Keywords</t>
  </si>
  <si>
    <t>business_keywords</t>
  </si>
  <si>
    <t>Technology, Productivity, Business, Education, Finance</t>
  </si>
  <si>
    <t>Skincare, Beauty, Makeup, Health, Shopping</t>
  </si>
  <si>
    <t>Food, Cooking, Coffee, Shopping, Entertainment</t>
  </si>
  <si>
    <t>Up to 5 items, comma-separated</t>
  </si>
  <si>
    <t>Brand Niche</t>
  </si>
  <si>
    <t>brand_niche</t>
  </si>
  <si>
    <t>B2B SaaS</t>
  </si>
  <si>
    <t>Derma Skincare</t>
  </si>
  <si>
    <t>Ready-to-Drink</t>
  </si>
  <si>
    <t>Dropdown — Lookup_Lists.Niche</t>
  </si>
  <si>
    <t>B. TARGET AUDIENCE</t>
  </si>
  <si>
    <t>TARGET AUDIENCE</t>
  </si>
  <si>
    <t>Primary Age Range</t>
  </si>
  <si>
    <t>primary_age_range</t>
  </si>
  <si>
    <t>25-34</t>
  </si>
  <si>
    <t>18-24</t>
  </si>
  <si>
    <t>Dropdown — Lookup_Lists.AgeBand</t>
  </si>
  <si>
    <t>Secondary Age Range</t>
  </si>
  <si>
    <t>secondary_age_range</t>
  </si>
  <si>
    <t>35-44</t>
  </si>
  <si>
    <t>Gender Majority</t>
  </si>
  <si>
    <t>gender_majority</t>
  </si>
  <si>
    <t>Any</t>
  </si>
  <si>
    <t>Female</t>
  </si>
  <si>
    <t>Balanced</t>
  </si>
  <si>
    <t>Dropdown — Lookup_Lists.GenderMajority</t>
  </si>
  <si>
    <t>Target Country</t>
  </si>
  <si>
    <t>target_country</t>
  </si>
  <si>
    <t>Indonesia</t>
  </si>
  <si>
    <t>Dropdown — Lookup_Lists.Country</t>
  </si>
  <si>
    <t>Target Region / Province</t>
  </si>
  <si>
    <t>target_region</t>
  </si>
  <si>
    <t>DKI Jakarta</t>
  </si>
  <si>
    <t>Nasional</t>
  </si>
  <si>
    <t>Dropdown — Lookup_Lists.Region</t>
  </si>
  <si>
    <t>Target City</t>
  </si>
  <si>
    <t>target_city</t>
  </si>
  <si>
    <t>Jakarta</t>
  </si>
  <si>
    <t>Dropdown — Lookup_Lists.City</t>
  </si>
  <si>
    <t>Audience Interests</t>
  </si>
  <si>
    <t>audience_interests</t>
  </si>
  <si>
    <t>Technology, Business, Productivity, Education, Finance</t>
  </si>
  <si>
    <t>Skincare, Beauty, Makeup, Fashion, Shopping</t>
  </si>
  <si>
    <t>Food, Cooking, Coffee, Travel, Entertainment</t>
  </si>
  <si>
    <t>Audience Demographics Priority</t>
  </si>
  <si>
    <t>audience_priority</t>
  </si>
  <si>
    <t>Interest</t>
  </si>
  <si>
    <t>Gender</t>
  </si>
  <si>
    <t>Age</t>
  </si>
  <si>
    <t>Dropdown — Lookup_Lists.AudiencePriority</t>
  </si>
  <si>
    <t>C. BRAND IDENTIFICATION</t>
  </si>
  <si>
    <t>BRAND IDENTIFICATION</t>
  </si>
  <si>
    <t>Brand Personality</t>
  </si>
  <si>
    <t>brand_personality</t>
  </si>
  <si>
    <t>Innovative</t>
  </si>
  <si>
    <t>Premium</t>
  </si>
  <si>
    <t>Friendly</t>
  </si>
  <si>
    <t>Dropdown — Lookup_Lists.BrandPersonality</t>
  </si>
  <si>
    <t>Brand Values</t>
  </si>
  <si>
    <t>brand_values</t>
  </si>
  <si>
    <t>Innovation, Trust, Transparency, Quality, Empowerment</t>
  </si>
  <si>
    <t>Quality, Authenticity, Trust, Craftsmanship, Health</t>
  </si>
  <si>
    <t>Fun, Community, Affordability, Authenticity, Family</t>
  </si>
  <si>
    <t>Brand Tone</t>
  </si>
  <si>
    <t>brand_tone</t>
  </si>
  <si>
    <t>Informative</t>
  </si>
  <si>
    <t>Aspirational</t>
  </si>
  <si>
    <t>Warm</t>
  </si>
  <si>
    <t>Dropdown — Lookup_Lists.BrandTone</t>
  </si>
  <si>
    <t>Brand Positioning</t>
  </si>
  <si>
    <t>brand_positioning</t>
  </si>
  <si>
    <t>Mid-market</t>
  </si>
  <si>
    <t>Mass</t>
  </si>
  <si>
    <t>Dropdown — Lookup_Lists.Positioning</t>
  </si>
  <si>
    <t>Brand Keywords</t>
  </si>
  <si>
    <t>brand_keywords</t>
  </si>
  <si>
    <t>Skincare, Beauty, Health, Makeup, Shopping</t>
  </si>
  <si>
    <t>Food, Cooking, Coffee, Entertainment, Shopping</t>
  </si>
  <si>
    <t>Communication Style</t>
  </si>
  <si>
    <t>communication_style</t>
  </si>
  <si>
    <t>Educational</t>
  </si>
  <si>
    <t>Visual-first</t>
  </si>
  <si>
    <t>Storytelling</t>
  </si>
  <si>
    <t>Dropdown — Lookup_Lists.CommStyle</t>
  </si>
  <si>
    <t>D. IDEAL CREATOR PROFILE</t>
  </si>
  <si>
    <t>IDEAL CREATOR PROFILE</t>
  </si>
  <si>
    <t>Preferred Platform</t>
  </si>
  <si>
    <t>preferred_platform</t>
  </si>
  <si>
    <t>Instagram, TikTok</t>
  </si>
  <si>
    <t>One or more of the Platform list, comma-separated</t>
  </si>
  <si>
    <t>Preferred Category</t>
  </si>
  <si>
    <t>preferred_category</t>
  </si>
  <si>
    <t>Tech</t>
  </si>
  <si>
    <t>Beauty</t>
  </si>
  <si>
    <t>Food</t>
  </si>
  <si>
    <t>Dropdown — Lookup_Lists.Category</t>
  </si>
  <si>
    <t>Preferred Sub Category</t>
  </si>
  <si>
    <t>preferred_subcategory</t>
  </si>
  <si>
    <t>Culinary Review</t>
  </si>
  <si>
    <t>Preferred Tier</t>
  </si>
  <si>
    <t>preferred_tier</t>
  </si>
  <si>
    <t>Micro, Mid-tier, Macro</t>
  </si>
  <si>
    <t>Micro, Mid-tier</t>
  </si>
  <si>
    <t>Nano, Micro, Mid-tier</t>
  </si>
  <si>
    <t>One or more of the Tier list, comma-separated</t>
  </si>
  <si>
    <t>Preferred Follower Range — Min</t>
  </si>
  <si>
    <t>preferred_followers_min</t>
  </si>
  <si>
    <t>Whole number</t>
  </si>
  <si>
    <t>Preferred Follower Range — Max</t>
  </si>
  <si>
    <t>preferred_followers_max</t>
  </si>
  <si>
    <t>Minimum Engagement Rate (%)</t>
  </si>
  <si>
    <t>min_engagement_rate</t>
  </si>
  <si>
    <t>Percent, e.g. 3.5 means 3,5%</t>
  </si>
  <si>
    <t>Preferred Content Style</t>
  </si>
  <si>
    <t>preferred_content_style</t>
  </si>
  <si>
    <t>Review</t>
  </si>
  <si>
    <t>Dropdown — Lookup_Lists.ContentStyle</t>
  </si>
  <si>
    <t>Preferred Content Topics</t>
  </si>
  <si>
    <t>preferred_content_topics</t>
  </si>
  <si>
    <t>Technology, Business, Education, Productivity, Finance</t>
  </si>
  <si>
    <t>Food, Cooking, Coffee, Entertainment, Travel</t>
  </si>
  <si>
    <t>Preferred Creator Personality</t>
  </si>
  <si>
    <t>preferred_creator_personality</t>
  </si>
  <si>
    <t>Reviewer</t>
  </si>
  <si>
    <t>Relatable</t>
  </si>
  <si>
    <t>Dropdown — Lookup_Lists.CreatorPersonality</t>
  </si>
  <si>
    <t>Preferred Creator Values</t>
  </si>
  <si>
    <t>preferred_creator_values</t>
  </si>
  <si>
    <t>Innovation, Trust, Quality, Transparency, Empowerment</t>
  </si>
  <si>
    <t>Authenticity, Quality, Trust, Health, Craftsmanship</t>
  </si>
  <si>
    <t>Fun, Community, Authenticity, Family, Affordability</t>
  </si>
  <si>
    <t>Minimum Audience Quality</t>
  </si>
  <si>
    <t>min_audience_quality</t>
  </si>
  <si>
    <t>0–100 (0 turns the rule off)</t>
  </si>
  <si>
    <t>Minimum Brand Safety</t>
  </si>
  <si>
    <t>min_brand_safety</t>
  </si>
  <si>
    <t>E. MATCHING CONFIGURATION</t>
  </si>
  <si>
    <t>MATCHING CONFIGURATION</t>
  </si>
  <si>
    <t>Category is a Hard Filter</t>
  </si>
  <si>
    <t>category_hard_filter</t>
  </si>
  <si>
    <t>No</t>
  </si>
  <si>
    <t>Dropdown — Lookup_Lists.YesNo</t>
  </si>
  <si>
    <t>Audience Country is a Hard Filter</t>
  </si>
  <si>
    <t>country_hard_filter</t>
  </si>
  <si>
    <t>Yes</t>
  </si>
  <si>
    <t>Max Competitor Saturation (0 = off)</t>
  </si>
  <si>
    <t>max_competitor_saturation</t>
  </si>
  <si>
    <t>Minimum Brand Match (0 = off)</t>
  </si>
  <si>
    <t>min_brand_match</t>
  </si>
  <si>
    <t>Exclude Already Selected</t>
  </si>
  <si>
    <t>exclude_already_selected</t>
  </si>
  <si>
    <t>Exclude Already in Cart</t>
  </si>
  <si>
    <t>exclude_in_cart</t>
  </si>
  <si>
    <t>Exclude Existing Partner</t>
  </si>
  <si>
    <t>exclude_existing_partner</t>
  </si>
  <si>
    <t>Exclude Excluded Creator</t>
  </si>
  <si>
    <t>exclude_excluded_creator</t>
  </si>
  <si>
    <t>TOKEN HELPER (calculated)  ·  the comma-separated list fields split into five slots, so overlap can be counted with plain formulas rather than an array</t>
  </si>
  <si>
    <t>List field</t>
  </si>
  <si>
    <t>Slot</t>
  </si>
  <si>
    <t>Key</t>
  </si>
  <si>
    <t>How it is built</t>
  </si>
  <si>
    <t>slot 1</t>
  </si>
  <si>
    <t>business_keywords_1</t>
  </si>
  <si>
    <t>TRIM(MID(SUBSTITUTE(list, ",", REPT(" ",120)), (slot-1)*120+1, 120)) — the standard non-array split. Empty slots come back as "".</t>
  </si>
  <si>
    <t>slot 2</t>
  </si>
  <si>
    <t>business_keywords_2</t>
  </si>
  <si>
    <t>slot 3</t>
  </si>
  <si>
    <t>business_keywords_3</t>
  </si>
  <si>
    <t>slot 4</t>
  </si>
  <si>
    <t>business_keywords_4</t>
  </si>
  <si>
    <t>slot 5</t>
  </si>
  <si>
    <t>business_keywords_5</t>
  </si>
  <si>
    <t>count</t>
  </si>
  <si>
    <t>business_keywords_count</t>
  </si>
  <si>
    <t>Denominator for the overlap score. A brand that names three keywords is judged out of three, not out of five.</t>
  </si>
  <si>
    <t>audience_interests_1</t>
  </si>
  <si>
    <t>audience_interests_2</t>
  </si>
  <si>
    <t>audience_interests_3</t>
  </si>
  <si>
    <t>audience_interests_4</t>
  </si>
  <si>
    <t>audience_interests_5</t>
  </si>
  <si>
    <t>audience_interests_count</t>
  </si>
  <si>
    <t>brand_keywords_1</t>
  </si>
  <si>
    <t>brand_keywords_2</t>
  </si>
  <si>
    <t>brand_keywords_3</t>
  </si>
  <si>
    <t>brand_keywords_4</t>
  </si>
  <si>
    <t>brand_keywords_5</t>
  </si>
  <si>
    <t>brand_keywords_count</t>
  </si>
  <si>
    <t>brand_values_1</t>
  </si>
  <si>
    <t>brand_values_2</t>
  </si>
  <si>
    <t>brand_values_3</t>
  </si>
  <si>
    <t>brand_values_4</t>
  </si>
  <si>
    <t>brand_values_5</t>
  </si>
  <si>
    <t>brand_values_count</t>
  </si>
  <si>
    <t>preferred_content_topics_1</t>
  </si>
  <si>
    <t>preferred_content_topics_2</t>
  </si>
  <si>
    <t>preferred_content_topics_3</t>
  </si>
  <si>
    <t>preferred_content_topics_4</t>
  </si>
  <si>
    <t>preferred_content_topics_5</t>
  </si>
  <si>
    <t>preferred_content_topics_count</t>
  </si>
  <si>
    <t>preferred_creator_values_1</t>
  </si>
  <si>
    <t>preferred_creator_values_2</t>
  </si>
  <si>
    <t>preferred_creator_values_3</t>
  </si>
  <si>
    <t>preferred_creator_values_4</t>
  </si>
  <si>
    <t>preferred_creator_values_5</t>
  </si>
  <si>
    <t>preferred_creator_values_count</t>
  </si>
  <si>
    <t>AUDIENCE SUB-WEIGHTS (calculated)  ·  Audience Demographics Priority moves weight onto one dimension and takes a third of the bonus off each of the others</t>
  </si>
  <si>
    <t>Dimension</t>
  </si>
  <si>
    <t>Base weight</t>
  </si>
  <si>
    <t>Rule</t>
  </si>
  <si>
    <t>Age Match</t>
  </si>
  <si>
    <t>w_age</t>
  </si>
  <si>
    <t>base + bonus when priority = Age, base − bonus/3 otherwise</t>
  </si>
  <si>
    <t>Gender Match</t>
  </si>
  <si>
    <t>w_gender</t>
  </si>
  <si>
    <t>base + bonus when priority = Gender, base − bonus/3 otherwise</t>
  </si>
  <si>
    <t>Location Match</t>
  </si>
  <si>
    <t>w_location</t>
  </si>
  <si>
    <t>base + bonus when priority = Location, base − bonus/3 otherwise</t>
  </si>
  <si>
    <t>Interest Match</t>
  </si>
  <si>
    <t>w_interest</t>
  </si>
  <si>
    <t>base + bonus when priority = Interest, base − bonus/3 otherwise</t>
  </si>
  <si>
    <t>KOL DATABASE  ·  30 creators, Instagram and TikTok</t>
  </si>
  <si>
    <t>The other half of the inputs. Identity, performance, audience, content, commercial and safety — the same six blocks the creator workspace shows. Tier, CPV, CPE, CPM, Estimated Reach, Estimated ROI, View-to-Follower Ratio, Cost Efficiency, Data Completeness and Data Status are calculated from the columns beside them, so they cannot disagree with their own inputs. Several creators are deliberately missing a field: the real roster is full of holes and every formula here has to survive one.</t>
  </si>
  <si>
    <t>IDENTITY</t>
  </si>
  <si>
    <t>PERFORMANCE</t>
  </si>
  <si>
    <t>AUDIENCE</t>
  </si>
  <si>
    <t>CONTENT</t>
  </si>
  <si>
    <t>COMMERCIAL</t>
  </si>
  <si>
    <t>SAFETY</t>
  </si>
  <si>
    <t>EXCLUSION STATE</t>
  </si>
  <si>
    <t>FRESHNESS</t>
  </si>
  <si>
    <t>DERIVED</t>
  </si>
  <si>
    <t>KOL ID</t>
  </si>
  <si>
    <t>Creator Name</t>
  </si>
  <si>
    <t>Handle</t>
  </si>
  <si>
    <t>Platform</t>
  </si>
  <si>
    <t>Category</t>
  </si>
  <si>
    <t>Sub Category</t>
  </si>
  <si>
    <t>Tier</t>
  </si>
  <si>
    <t>Verified</t>
  </si>
  <si>
    <t>Creator City</t>
  </si>
  <si>
    <t>Followers</t>
  </si>
  <si>
    <t>Engagement Rate (%)</t>
  </si>
  <si>
    <t>Average Views</t>
  </si>
  <si>
    <t>Median Views</t>
  </si>
  <si>
    <t>30D Growth (%)</t>
  </si>
  <si>
    <t>90D Growth (%)</t>
  </si>
  <si>
    <t>Consistency Score</t>
  </si>
  <si>
    <t>Community Score</t>
  </si>
  <si>
    <t>Audience Quality</t>
  </si>
  <si>
    <t>Audience Authenticity</t>
  </si>
  <si>
    <t>Share Rate (%)</t>
  </si>
  <si>
    <t>Save Rate (%)</t>
  </si>
  <si>
    <t>Recent Performance</t>
  </si>
  <si>
    <t>Audience Age 13–17 %</t>
  </si>
  <si>
    <t>Audience Age 18–24 %</t>
  </si>
  <si>
    <t>Audience Age 25–34 %</t>
  </si>
  <si>
    <t>Audience Age 35–44 %</t>
  </si>
  <si>
    <t>Audience Age 45+ %</t>
  </si>
  <si>
    <t>Female %</t>
  </si>
  <si>
    <t>Male %</t>
  </si>
  <si>
    <t>Audience Country</t>
  </si>
  <si>
    <t>Audience Region</t>
  </si>
  <si>
    <t>Audience City</t>
  </si>
  <si>
    <t>Purchase Intent</t>
  </si>
  <si>
    <t>Content Topics</t>
  </si>
  <si>
    <t>Content Style</t>
  </si>
  <si>
    <t>Creator Personality</t>
  </si>
  <si>
    <t>Creator Values</t>
  </si>
  <si>
    <t>Content Quality</t>
  </si>
  <si>
    <t>Rate Card (IDR)</t>
  </si>
  <si>
    <t>CPV</t>
  </si>
  <si>
    <t>CPE</t>
  </si>
  <si>
    <t>CPM</t>
  </si>
  <si>
    <t>Estimated Reach</t>
  </si>
  <si>
    <t>Estimated ROI</t>
  </si>
  <si>
    <t>Brand Safety Score</t>
  </si>
  <si>
    <t>Competitor Saturation</t>
  </si>
  <si>
    <t>Risk Flag</t>
  </si>
  <si>
    <t>Already Selected</t>
  </si>
  <si>
    <t>In Cart</t>
  </si>
  <si>
    <t>Existing Partner</t>
  </si>
  <si>
    <t>Excluded Creator</t>
  </si>
  <si>
    <t>Added Date</t>
  </si>
  <si>
    <t>Last Updated</t>
  </si>
  <si>
    <t>View-to-Follower Ratio</t>
  </si>
  <si>
    <t>Cost Efficiency</t>
  </si>
  <si>
    <t>Data Completeness %</t>
  </si>
  <si>
    <t>Data Status</t>
  </si>
  <si>
    <t>KOL-01</t>
  </si>
  <si>
    <t>Ardi Nugraha</t>
  </si>
  <si>
    <t>@ardidigital</t>
  </si>
  <si>
    <t>Instagram</t>
  </si>
  <si>
    <t>Gadget Review</t>
  </si>
  <si>
    <t>Technology, Productivity, Business, Gaming, Shopping</t>
  </si>
  <si>
    <t>High</t>
  </si>
  <si>
    <t>Technology, Productivity, Business</t>
  </si>
  <si>
    <t>Quality, Trust, Innovation, Transparency</t>
  </si>
  <si>
    <t>None</t>
  </si>
  <si>
    <t>KOL-02</t>
  </si>
  <si>
    <t>Rifqi Pratama</t>
  </si>
  <si>
    <t>@rifqi.codes</t>
  </si>
  <si>
    <t>TikTok</t>
  </si>
  <si>
    <t>Bandung</t>
  </si>
  <si>
    <t>Jawa Barat</t>
  </si>
  <si>
    <t>Technology, Productivity, Education, Business, Finance</t>
  </si>
  <si>
    <t>Medium</t>
  </si>
  <si>
    <t>Technology, Productivity, Education, Business</t>
  </si>
  <si>
    <t>Innovation, Empowerment, Transparency, Quality</t>
  </si>
  <si>
    <t>KOL-03</t>
  </si>
  <si>
    <t>Salsa Aulia</t>
  </si>
  <si>
    <t>@salsabeautydiary</t>
  </si>
  <si>
    <t>Skincare, Beauty, Makeup, Shopping, Health</t>
  </si>
  <si>
    <t>Skincare, Beauty, Health</t>
  </si>
  <si>
    <t>Authenticity, Quality, Trust, Health</t>
  </si>
  <si>
    <t>KOL-04</t>
  </si>
  <si>
    <t>Nadia Puspa</t>
  </si>
  <si>
    <t>@nadiaglowup</t>
  </si>
  <si>
    <t>Makeup</t>
  </si>
  <si>
    <t>Surabaya</t>
  </si>
  <si>
    <t>Jawa Timur</t>
  </si>
  <si>
    <t>Makeup, Beauty, Fashion, Shopping, Entertainment</t>
  </si>
  <si>
    <t>Makeup, Beauty, Fashion</t>
  </si>
  <si>
    <t>Tutorial</t>
  </si>
  <si>
    <t>Creative</t>
  </si>
  <si>
    <t>Fun, Authenticity, Quality, Empowerment</t>
  </si>
  <si>
    <t>KOL-05</t>
  </si>
  <si>
    <t>Bimo Saputra</t>
  </si>
  <si>
    <t>@bimomakan</t>
  </si>
  <si>
    <t>Food, Cooking, Travel, Shopping, Entertainment</t>
  </si>
  <si>
    <t>Food, Cooking, Travel</t>
  </si>
  <si>
    <t>Fun, Authenticity, Community, Affordability</t>
  </si>
  <si>
    <t>Low</t>
  </si>
  <si>
    <t>KOL-06</t>
  </si>
  <si>
    <t>Ayu Lestari</t>
  </si>
  <si>
    <t>@dapurayu</t>
  </si>
  <si>
    <t>Home Cooking</t>
  </si>
  <si>
    <t>Yogyakarta</t>
  </si>
  <si>
    <t>Cooking, Food, Parenting, Home Decor, Health</t>
  </si>
  <si>
    <t>Cooking, Food, Parenting</t>
  </si>
  <si>
    <t>Family, Community, Quality, Affordability</t>
  </si>
  <si>
    <t>KOL-07</t>
  </si>
  <si>
    <t>Fajar Ramadhan</t>
  </si>
  <si>
    <t>@fajarfinance</t>
  </si>
  <si>
    <t>Finance</t>
  </si>
  <si>
    <t>Personal Finance</t>
  </si>
  <si>
    <t>Finance, Business, Education, Technology, Productivity</t>
  </si>
  <si>
    <t>Finance, Business, Education</t>
  </si>
  <si>
    <t>Professional</t>
  </si>
  <si>
    <t>Trust, Transparency, Empowerment, Quality</t>
  </si>
  <si>
    <t>KOL-08</t>
  </si>
  <si>
    <t>Tania Wijaya</t>
  </si>
  <si>
    <t>@taniainvest</t>
  </si>
  <si>
    <t>Investing</t>
  </si>
  <si>
    <t>Finance, Business, Education, Productivity, Shopping</t>
  </si>
  <si>
    <t>Finance, Business, Productivity</t>
  </si>
  <si>
    <t>Empowerment, Transparency, Trust, Innovation</t>
  </si>
  <si>
    <t>KOL-09</t>
  </si>
  <si>
    <t>Gilang Prakoso</t>
  </si>
  <si>
    <t>@gilangbelajar</t>
  </si>
  <si>
    <t>Education</t>
  </si>
  <si>
    <t>Study Tips</t>
  </si>
  <si>
    <t>Semarang</t>
  </si>
  <si>
    <t>Jawa Tengah</t>
  </si>
  <si>
    <t>Education, Productivity, Technology, Entertainment, Business</t>
  </si>
  <si>
    <t>Education, Productivity, Technology</t>
  </si>
  <si>
    <t>Empowerment, Community, Trust, Innovation</t>
  </si>
  <si>
    <t>KOL-10</t>
  </si>
  <si>
    <t>Mira Handayani</t>
  </si>
  <si>
    <t>@mirabahasa</t>
  </si>
  <si>
    <t>Language</t>
  </si>
  <si>
    <t>Education, Travel, Productivity, Entertainment, Technology</t>
  </si>
  <si>
    <t>Education, Travel, Productivity</t>
  </si>
  <si>
    <t>Empowerment, Quality, Community, Trust</t>
  </si>
  <si>
    <t>KOL-11</t>
  </si>
  <si>
    <t>Dimas Anggara</t>
  </si>
  <si>
    <t>@dimasfit</t>
  </si>
  <si>
    <t>Fitness</t>
  </si>
  <si>
    <t>Gym &amp; Strength</t>
  </si>
  <si>
    <t>Fitness, Health, Food, Fashion, Shopping</t>
  </si>
  <si>
    <t>Fitness, Health, Food</t>
  </si>
  <si>
    <t>Demo</t>
  </si>
  <si>
    <t>Performance, Health, Quality, Trust</t>
  </si>
  <si>
    <t>KOL-12</t>
  </si>
  <si>
    <t>Rani Kusuma</t>
  </si>
  <si>
    <t>@ranihomeworkout</t>
  </si>
  <si>
    <t>Home Workout</t>
  </si>
  <si>
    <t>Tangerang</t>
  </si>
  <si>
    <t>Banten</t>
  </si>
  <si>
    <t>Fitness, Health, Food, Beauty, Parenting</t>
  </si>
  <si>
    <t>Inspirational</t>
  </si>
  <si>
    <t>Health, Empowerment, Community, Performance</t>
  </si>
  <si>
    <t>KOL-13</t>
  </si>
  <si>
    <t>Kevin Halim</t>
  </si>
  <si>
    <t>@kevinstyleid</t>
  </si>
  <si>
    <t>Fashion</t>
  </si>
  <si>
    <t>Streetwear</t>
  </si>
  <si>
    <t>Fashion, Shopping, Music, Entertainment, Beauty</t>
  </si>
  <si>
    <t>Fashion, Shopping, Music</t>
  </si>
  <si>
    <t>Aesthetic</t>
  </si>
  <si>
    <t>Craftsmanship, Quality, Authenticity, Fun</t>
  </si>
  <si>
    <t>KOL-14</t>
  </si>
  <si>
    <t>Zahra Amelia</t>
  </si>
  <si>
    <t>@zahrahijabstyle</t>
  </si>
  <si>
    <t>Hijab Fashion</t>
  </si>
  <si>
    <t>Fashion, Beauty, Shopping, Skincare, Travel</t>
  </si>
  <si>
    <t>Fashion, Beauty, Shopping</t>
  </si>
  <si>
    <t>Quality, Authenticity, Craftsmanship, Trust</t>
  </si>
  <si>
    <t>KOL-15</t>
  </si>
  <si>
    <t>Andini Rahma</t>
  </si>
  <si>
    <t>@andinidaily</t>
  </si>
  <si>
    <t>Lifestyle</t>
  </si>
  <si>
    <t>Daily Vlog</t>
  </si>
  <si>
    <t>Shopping, Food, Beauty, Travel, Fashion</t>
  </si>
  <si>
    <t>Shopping, Food, Beauty</t>
  </si>
  <si>
    <t>Vlog</t>
  </si>
  <si>
    <t>Authenticity, Fun, Community, Affordability</t>
  </si>
  <si>
    <t>KOL-16</t>
  </si>
  <si>
    <t>Yoga Pratama</t>
  </si>
  <si>
    <t>@yogaminimal</t>
  </si>
  <si>
    <t>Self Improvement</t>
  </si>
  <si>
    <t>DI Yogyakarta</t>
  </si>
  <si>
    <t>Productivity, Education, Finance, Technology, Health</t>
  </si>
  <si>
    <t>Productivity, Education, Finance</t>
  </si>
  <si>
    <t>Empowerment, Authenticity, Trust, Health</t>
  </si>
  <si>
    <t>KOL-17</t>
  </si>
  <si>
    <t>Sinta Maharani</t>
  </si>
  <si>
    <t>@sintajalanjalan</t>
  </si>
  <si>
    <t>Travel</t>
  </si>
  <si>
    <t>Domestic Travel</t>
  </si>
  <si>
    <t>Bali</t>
  </si>
  <si>
    <t>Travel, Food, Shopping, Fashion, Entertainment</t>
  </si>
  <si>
    <t>Travel, Food, Shopping</t>
  </si>
  <si>
    <t>Quality, Authenticity, Fun, Community</t>
  </si>
  <si>
    <t>KOL-18</t>
  </si>
  <si>
    <t>Reza Fadillah</t>
  </si>
  <si>
    <t>@rezabudgettrip</t>
  </si>
  <si>
    <t>Budget Travel</t>
  </si>
  <si>
    <t>Travel, Food, Productivity, Entertainment, Shopping</t>
  </si>
  <si>
    <t>Travel, Food, Entertainment</t>
  </si>
  <si>
    <t>Casual</t>
  </si>
  <si>
    <t>Affordability, Fun, Authenticity, Community</t>
  </si>
  <si>
    <t>KOL-19</t>
  </si>
  <si>
    <t>Putri Amanda</t>
  </si>
  <si>
    <t>@putrimomlife</t>
  </si>
  <si>
    <t>Parenting</t>
  </si>
  <si>
    <t>Momlife</t>
  </si>
  <si>
    <t>Depok</t>
  </si>
  <si>
    <t>Parenting, Health, Cooking, Home Decor, Shopping</t>
  </si>
  <si>
    <t>Parenting, Health, Cooking</t>
  </si>
  <si>
    <t>Family, Health, Community, Trust</t>
  </si>
  <si>
    <t>KOL-20</t>
  </si>
  <si>
    <t>Hendra Wijoyo</t>
  </si>
  <si>
    <t>@hendrakeluarga</t>
  </si>
  <si>
    <t>Kids &amp; Family</t>
  </si>
  <si>
    <t>Bekasi</t>
  </si>
  <si>
    <t>Parenting, Food, Entertainment, Home Decor, Education</t>
  </si>
  <si>
    <t>Parenting, Food, Entertainment</t>
  </si>
  <si>
    <t>Entertaining</t>
  </si>
  <si>
    <t>Humorous</t>
  </si>
  <si>
    <t>Family, Fun, Community, Affordability</t>
  </si>
  <si>
    <t>KOL-21</t>
  </si>
  <si>
    <t>Bagas Setiawan</t>
  </si>
  <si>
    <t>@bagaskomedi</t>
  </si>
  <si>
    <t>Entertainment</t>
  </si>
  <si>
    <t>Comedy</t>
  </si>
  <si>
    <t>Entertainment, Music, Food, Gaming, Shopping</t>
  </si>
  <si>
    <t>Entertainment, Music, Food</t>
  </si>
  <si>
    <t>Fun, Community, Authenticity, Affordability</t>
  </si>
  <si>
    <t>KOL-22</t>
  </si>
  <si>
    <t>Nabila Kirana</t>
  </si>
  <si>
    <t>@nabilamusic</t>
  </si>
  <si>
    <t>Music</t>
  </si>
  <si>
    <t>Music, Entertainment, Fashion, Beauty, Shopping</t>
  </si>
  <si>
    <t>Music, Entertainment, Fashion</t>
  </si>
  <si>
    <t>Fun, Craftsmanship, Authenticity, Community</t>
  </si>
  <si>
    <t>KOL-23</t>
  </si>
  <si>
    <t>Arya Mahendra</t>
  </si>
  <si>
    <t>@aryagaming</t>
  </si>
  <si>
    <t>Gaming</t>
  </si>
  <si>
    <t>Mobile Gaming</t>
  </si>
  <si>
    <t>Gaming, Technology, Entertainment, Music, Shopping</t>
  </si>
  <si>
    <t>Gaming, Technology, Entertainment</t>
  </si>
  <si>
    <t>Fun, Performance, Community, Innovation</t>
  </si>
  <si>
    <t>KOL-24</t>
  </si>
  <si>
    <t>Rio Saputra</t>
  </si>
  <si>
    <t>@riopcbuild</t>
  </si>
  <si>
    <t>PC &amp; Console</t>
  </si>
  <si>
    <t>Medan</t>
  </si>
  <si>
    <t>Sumatera Utara</t>
  </si>
  <si>
    <t>Gaming, Technology, Productivity, Entertainment, Shopping</t>
  </si>
  <si>
    <t>Gaming, Technology, Productivity</t>
  </si>
  <si>
    <t>Tech-savvy</t>
  </si>
  <si>
    <t>Performance, Quality, Innovation, Craftsmanship</t>
  </si>
  <si>
    <t>KOL-25</t>
  </si>
  <si>
    <t>Denny Kurniawan</t>
  </si>
  <si>
    <t>@dennymotovlog</t>
  </si>
  <si>
    <t>Automotive</t>
  </si>
  <si>
    <t>Motorcycle</t>
  </si>
  <si>
    <t>Automotive, Travel, Entertainment, Technology, Shopping</t>
  </si>
  <si>
    <t>Automotive, Travel, Entertainment</t>
  </si>
  <si>
    <t>Performance, Fun, Community, Affordability</t>
  </si>
  <si>
    <t>KOL-26</t>
  </si>
  <si>
    <t>Wisnu Adi</t>
  </si>
  <si>
    <t>@wisnucarreview</t>
  </si>
  <si>
    <t>Car Review</t>
  </si>
  <si>
    <t>Automotive, Technology, Finance, Travel, Business</t>
  </si>
  <si>
    <t>Automotive, Technology, Finance</t>
  </si>
  <si>
    <t>Quality, Trust, Performance, Transparency</t>
  </si>
  <si>
    <t>KOL-27</t>
  </si>
  <si>
    <t>Laras Ayu</t>
  </si>
  <si>
    <t>@larasinterior</t>
  </si>
  <si>
    <t>Home &amp; Living</t>
  </si>
  <si>
    <t>Interior</t>
  </si>
  <si>
    <t>Home Decor, Shopping, Parenting, Food, Fashion</t>
  </si>
  <si>
    <t>Home Decor, Shopping, Parenting</t>
  </si>
  <si>
    <t>Craftsmanship, Quality, Family, Sustainability</t>
  </si>
  <si>
    <t>KOL-28</t>
  </si>
  <si>
    <t>Tiara Nisrina</t>
  </si>
  <si>
    <t>@tiararapihin</t>
  </si>
  <si>
    <t>Home Organization</t>
  </si>
  <si>
    <t>Home Decor, Shopping, Productivity, Parenting, Cooking</t>
  </si>
  <si>
    <t>Home Decor, Productivity, Shopping</t>
  </si>
  <si>
    <t>Quality, Affordability, Family, Community</t>
  </si>
  <si>
    <t>KOL-29</t>
  </si>
  <si>
    <t>Sekar Ayu</t>
  </si>
  <si>
    <t>@sekarskincarejujur</t>
  </si>
  <si>
    <t>Skincare, Beauty, Health, Shopping, Makeup</t>
  </si>
  <si>
    <t>Authenticity, Trust, Health, Transparency</t>
  </si>
  <si>
    <t>KOL-30</t>
  </si>
  <si>
    <t>Ibnu Faisal</t>
  </si>
  <si>
    <t>@ibnubisnis</t>
  </si>
  <si>
    <t>Business</t>
  </si>
  <si>
    <t>Business, Finance, Education, Technology, Productivity</t>
  </si>
  <si>
    <t>Business, Finance, Education</t>
  </si>
  <si>
    <t>Talking Head</t>
  </si>
  <si>
    <t>Trust, Quality, Empowerment, Transparency</t>
  </si>
  <si>
    <t>MATCHING ENGINE  ·  every creator scored against every brand</t>
  </si>
  <si>
    <t>Ninety rows: three brands x thirty creators. Not one score on this sheet is typed — each is a formula over Brand_Profile and KOL_Database, weighted by the constants on Lookup_Lists. Filter column A to one Brand ID to read a single brand; compare the same KOL ID across the three blocks to see that Brand Match is a function of the pair, not a ranking of creators.</t>
  </si>
  <si>
    <t>KEY</t>
  </si>
  <si>
    <t>BRAND &amp; BUSINESS RELEVANCE — 20%</t>
  </si>
  <si>
    <t>TARGET AUDIENCE RELEVANCE — 30%</t>
  </si>
  <si>
    <t>CONTENT &amp; CATEGORY RELEVANCE — 20%</t>
  </si>
  <si>
    <t>BRAND PERSONALITY FIT — 10%</t>
  </si>
  <si>
    <t>PERFORMANCE QUALITY — 10%</t>
  </si>
  <si>
    <t>BRAND SAFETY — 10%</t>
  </si>
  <si>
    <t>RESULT</t>
  </si>
  <si>
    <t>HELPERS (intermediate lookups, kept visible on purpose)</t>
  </si>
  <si>
    <t>Brand</t>
  </si>
  <si>
    <t>Creator</t>
  </si>
  <si>
    <t>Industry Match</t>
  </si>
  <si>
    <t>Category Match</t>
  </si>
  <si>
    <t>Keyword Match</t>
  </si>
  <si>
    <t>Age Match Score</t>
  </si>
  <si>
    <t>Gender Match Score</t>
  </si>
  <si>
    <t>Location Match Score</t>
  </si>
  <si>
    <t>Interest Match Score</t>
  </si>
  <si>
    <t>Category Match (content)</t>
  </si>
  <si>
    <t>Sub Category Match</t>
  </si>
  <si>
    <t>Topic Match</t>
  </si>
  <si>
    <t>Content Style Match</t>
  </si>
  <si>
    <t>Personality Match</t>
  </si>
  <si>
    <t>Tone vs Content Style</t>
  </si>
  <si>
    <t>Values Match</t>
  </si>
  <si>
    <t>Communication Style Match</t>
  </si>
  <si>
    <t>Engagement Rate Score</t>
  </si>
  <si>
    <t>Audience Quality Score</t>
  </si>
  <si>
    <t>Average Views Score</t>
  </si>
  <si>
    <t>Recent Growth Score</t>
  </si>
  <si>
    <t>Brand Safety Base</t>
  </si>
  <si>
    <t>Risk Multiplier</t>
  </si>
  <si>
    <t>Final Match Score</t>
  </si>
  <si>
    <t>Match Level</t>
  </si>
  <si>
    <t>Confidence</t>
  </si>
  <si>
    <t>Brand Fit Index</t>
  </si>
  <si>
    <t>Opportunity Score</t>
  </si>
  <si>
    <t>Hard Filter Result</t>
  </si>
  <si>
    <t>Exclusion Reason</t>
  </si>
  <si>
    <t>Recommendation</t>
  </si>
  <si>
    <t>Final Match Score (eligible only)</t>
  </si>
  <si>
    <t>Match Key</t>
  </si>
  <si>
    <t>Brand Product Parent Category</t>
  </si>
  <si>
    <t>KOL Sub Parent Category</t>
  </si>
  <si>
    <t>Rel: Brand Product Parent → KOL Category</t>
  </si>
  <si>
    <t>Rel: Preferred Category → KOL Category</t>
  </si>
  <si>
    <t>Brand Preferred Sub Parent</t>
  </si>
  <si>
    <t>KOL Keyword Haystack</t>
  </si>
  <si>
    <t>KOL Topic Haystack</t>
  </si>
  <si>
    <t>MATCH EXPLANATION  ·  why each creator scored what they scored, for the Active Brand</t>
  </si>
  <si>
    <t>Reads the brand named in Brand_Profile!B4. Every sentence is assembled from the component scores next door — the strengths are literally the three highest components and the considerations the three lowest, so an explanation cannot drift away from the number it is explaining. Change the active brand and all thirty explanations change with it.</t>
  </si>
  <si>
    <t>Why This Creator Matches</t>
  </si>
  <si>
    <t>Strength 1</t>
  </si>
  <si>
    <t>Strength 2</t>
  </si>
  <si>
    <t>Strength 3</t>
  </si>
  <si>
    <t>Consideration 1</t>
  </si>
  <si>
    <t>Consideration 2</t>
  </si>
  <si>
    <t>Consideration 3</t>
  </si>
  <si>
    <t>Risk</t>
  </si>
  <si>
    <t>Brand Business Reason</t>
  </si>
  <si>
    <t>Audience Match Reason</t>
  </si>
  <si>
    <t>Content Match Reason</t>
  </si>
  <si>
    <t>Personality Match Reason</t>
  </si>
  <si>
    <t>Safety Reason</t>
  </si>
  <si>
    <t>Engine Row</t>
  </si>
  <si>
    <t>adj 1</t>
  </si>
  <si>
    <t>adj 2</t>
  </si>
  <si>
    <t>adj 3</t>
  </si>
  <si>
    <t>adj 4</t>
  </si>
  <si>
    <t>adj 5</t>
  </si>
  <si>
    <t>adj 6</t>
  </si>
  <si>
    <t>DISCOVERY FILTERS  ·  every control on the Creator Database panel, grouped</t>
  </si>
  <si>
    <t>Type is the load-bearing column: HARD FILTER removes a creator from Discovery, SOFT MATCH only moves them down the list. The last three columns are carried over from deliv.xlsx (Mapping Filter-DB) and the 8 Sep 2026 filter audit — a spec that defines a filter without saying whether the database can answer it is how "Max Rate Card" came to be marked DONE while returning zero creators at every price.</t>
  </si>
  <si>
    <t>Group</t>
  </si>
  <si>
    <t>Filter</t>
  </si>
  <si>
    <t>Filter Key</t>
  </si>
  <si>
    <t>Type</t>
  </si>
  <si>
    <t>Control</t>
  </si>
  <si>
    <t>Brand_Profile input</t>
  </si>
  <si>
    <t>KOL_Database field</t>
  </si>
  <si>
    <t>Status in prototype</t>
  </si>
  <si>
    <t>KOL database source</t>
  </si>
  <si>
    <t>Coverage (8 Sep 2026)</t>
  </si>
  <si>
    <t>SEARCH</t>
  </si>
  <si>
    <t>Creator Search</t>
  </si>
  <si>
    <t>q</t>
  </si>
  <si>
    <t>HARD FILTER</t>
  </si>
  <si>
    <t>Text input (debounce 350ms)</t>
  </si>
  <si>
    <t>—</t>
  </si>
  <si>
    <t>DONE</t>
  </si>
  <si>
    <t>kol_directory.username + agency_kol_accounts.label</t>
  </si>
  <si>
    <t>97,1%</t>
  </si>
  <si>
    <t>handle</t>
  </si>
  <si>
    <t>Text input</t>
  </si>
  <si>
    <t>kol_directory.username_normalized</t>
  </si>
  <si>
    <t>Keyword</t>
  </si>
  <si>
    <t>keyword</t>
  </si>
  <si>
    <t>Content Topics + Audience Interests</t>
  </si>
  <si>
    <t>PARTIAL</t>
  </si>
  <si>
    <t>kol_directory.bio</t>
  </si>
  <si>
    <t>~12% terisi</t>
  </si>
  <si>
    <t>Content Topic</t>
  </si>
  <si>
    <t>topic</t>
  </si>
  <si>
    <t>SOFT MATCH</t>
  </si>
  <si>
    <t>Multi-select</t>
  </si>
  <si>
    <t>BLOCKED BY DATA</t>
  </si>
  <si>
    <t>feature.ig/tt_post_analysis.content_category</t>
  </si>
  <si>
    <t>0 baris</t>
  </si>
  <si>
    <t>PLATFORM</t>
  </si>
  <si>
    <t>platform.instagram</t>
  </si>
  <si>
    <t>Chip</t>
  </si>
  <si>
    <t>kol_directory.platform_id → platforms.key</t>
  </si>
  <si>
    <t>platform.tiktok</t>
  </si>
  <si>
    <t>CREATOR</t>
  </si>
  <si>
    <t>categories</t>
  </si>
  <si>
    <t>Multi-select chips</t>
  </si>
  <si>
    <t>category_ids → kol_categories</t>
  </si>
  <si>
    <t>54,1% (3.547 tanpa kategori)</t>
  </si>
  <si>
    <t>subCategories</t>
  </si>
  <si>
    <t>— tidak ada kolom sub-kategori</t>
  </si>
  <si>
    <t>0%</t>
  </si>
  <si>
    <t>tiers</t>
  </si>
  <si>
    <t>followers_count terhadap kol_tiers</t>
  </si>
  <si>
    <t>7.195 bertier + 526 untiered</t>
  </si>
  <si>
    <t>minFollowers / maxFollowers</t>
  </si>
  <si>
    <t>Range slider</t>
  </si>
  <si>
    <t>preferred_followers_min / _max</t>
  </si>
  <si>
    <t>kol_directory.followers_count</t>
  </si>
  <si>
    <t>Engagement Rate</t>
  </si>
  <si>
    <t>minErPct</t>
  </si>
  <si>
    <t>Slider 0–10%</t>
  </si>
  <si>
    <t>kol_directory.engagement_rate (ER_CLEAN)</t>
  </si>
  <si>
    <t>1.744 terpakai (22,6%)</t>
  </si>
  <si>
    <t>Creator Location</t>
  </si>
  <si>
    <t>creatorCity</t>
  </si>
  <si>
    <t>Dropdown</t>
  </si>
  <si>
    <t>kol_directory.creator_city</t>
  </si>
  <si>
    <t>0% terisi</t>
  </si>
  <si>
    <t>verifiedOnly</t>
  </si>
  <si>
    <t>Toggle</t>
  </si>
  <si>
    <t>kol_directory.verified_status</t>
  </si>
  <si>
    <t>455 verified dari 932 bernilai</t>
  </si>
  <si>
    <t>audienceCountry</t>
  </si>
  <si>
    <t>audience_geo_daily (geo_level='country')</t>
  </si>
  <si>
    <t>23 creator</t>
  </si>
  <si>
    <t>audienceRegion</t>
  </si>
  <si>
    <t>audience_geo_daily</t>
  </si>
  <si>
    <t>9 dari 33 key salah level</t>
  </si>
  <si>
    <t>audienceCity</t>
  </si>
  <si>
    <t>audience_geo_daily (geo_level='city')</t>
  </si>
  <si>
    <t>15 creator usable</t>
  </si>
  <si>
    <t>Audience Age</t>
  </si>
  <si>
    <t>audienceAge</t>
  </si>
  <si>
    <t>Chips 13–17 … 45+</t>
  </si>
  <si>
    <t>primary_age_range / secondary_age_range</t>
  </si>
  <si>
    <t>Audience Age 13–17 % … 45+ %</t>
  </si>
  <si>
    <t>audience_demographics_daily (audience_type='age')</t>
  </si>
  <si>
    <t>Audience Gender</t>
  </si>
  <si>
    <t>audienceGender</t>
  </si>
  <si>
    <t>Slider Major Female / Male</t>
  </si>
  <si>
    <t>Female % / Male %</t>
  </si>
  <si>
    <t>audience_demographics_daily (gender)</t>
  </si>
  <si>
    <t>23 creator (0,30%)</t>
  </si>
  <si>
    <t>audienceInterests</t>
  </si>
  <si>
    <t>audience_interest_daily.interest_key</t>
  </si>
  <si>
    <t>23 creator; 85,2% 'unknown'</t>
  </si>
  <si>
    <t>minAudienceQuality</t>
  </si>
  <si>
    <t>Slider 0–100</t>
  </si>
  <si>
    <t>feature.ig/tt_audience_analysis.audience_quality_score</t>
  </si>
  <si>
    <t>minAuthenticity</t>
  </si>
  <si>
    <t>feature.ig/tt_audience_analysis.authenticity_score</t>
  </si>
  <si>
    <t>purchaseIntent</t>
  </si>
  <si>
    <t>NEW</t>
  </si>
  <si>
    <t>— belum ada kolom</t>
  </si>
  <si>
    <t>minAvgViews</t>
  </si>
  <si>
    <t>Slider</t>
  </si>
  <si>
    <t>l2_gold.post_metric.views</t>
  </si>
  <si>
    <t>21 creator lolos threshold</t>
  </si>
  <si>
    <t>minMedianViews</t>
  </si>
  <si>
    <t>— belum ada agregat median</t>
  </si>
  <si>
    <t>kol_directory.engagement_rate</t>
  </si>
  <si>
    <t>22,6%</t>
  </si>
  <si>
    <t>Share Rate</t>
  </si>
  <si>
    <t>minShareRate</t>
  </si>
  <si>
    <t>l2_gold.post_metric.shares</t>
  </si>
  <si>
    <t>11 creator, TikTok saja</t>
  </si>
  <si>
    <t>Save Rate</t>
  </si>
  <si>
    <t>minSaveRate</t>
  </si>
  <si>
    <t>l2_gold.post_metric.saves</t>
  </si>
  <si>
    <t>Consistency</t>
  </si>
  <si>
    <t>minConsistency</t>
  </si>
  <si>
    <t>— nol kolom consistency/cadence</t>
  </si>
  <si>
    <t>30D Growth</t>
  </si>
  <si>
    <t>min30dGrowth</t>
  </si>
  <si>
    <t>l2_gold.kol_profile_card.followers_growth</t>
  </si>
  <si>
    <t>25 creator (0,3%)</t>
  </si>
  <si>
    <t>90D Growth</t>
  </si>
  <si>
    <t>min90dGrowth</t>
  </si>
  <si>
    <t>l2_gold.kol_metric_monthly (deret)</t>
  </si>
  <si>
    <t>5 creator ≥4 titik</t>
  </si>
  <si>
    <t>minRecentPerf</t>
  </si>
  <si>
    <t>kol_metric_monthly (deret)</t>
  </si>
  <si>
    <t>5 creator</t>
  </si>
  <si>
    <t>minVfr</t>
  </si>
  <si>
    <t>post_metric.views ÷ followers_count</t>
  </si>
  <si>
    <t>21 creator</t>
  </si>
  <si>
    <t>Rate</t>
  </si>
  <si>
    <t>maxRate</t>
  </si>
  <si>
    <t>Slider 500rb–1M</t>
  </si>
  <si>
    <t>l1_silver.unified_rate_card</t>
  </si>
  <si>
    <t>maxCpv</t>
  </si>
  <si>
    <t>rate ÷ views</t>
  </si>
  <si>
    <t>0% (butuh rate card)</t>
  </si>
  <si>
    <t>maxCpe</t>
  </si>
  <si>
    <t>feature.ig/tt_audience_analysis.cpe</t>
  </si>
  <si>
    <t>maxCpm</t>
  </si>
  <si>
    <t>rate ÷ followers × 1.000</t>
  </si>
  <si>
    <t>minCostEfficiency</t>
  </si>
  <si>
    <t>CPE terhadap median roster</t>
  </si>
  <si>
    <t>minRoi</t>
  </si>
  <si>
    <t>EMV ÷ rate</t>
  </si>
  <si>
    <t>INTELLIGENCE</t>
  </si>
  <si>
    <t>Brand Match</t>
  </si>
  <si>
    <t>minBrandMatch</t>
  </si>
  <si>
    <t>— didefinisikan workbook ini</t>
  </si>
  <si>
    <t>n/a</t>
  </si>
  <si>
    <t>Brand Fit</t>
  </si>
  <si>
    <t>minBrandFit</t>
  </si>
  <si>
    <t>feature.brand_fit_analysis.partnership_score</t>
  </si>
  <si>
    <t>minOpportunity</t>
  </si>
  <si>
    <t>Content Relevance</t>
  </si>
  <si>
    <t>minContentRelevance</t>
  </si>
  <si>
    <t>butuh feature content-DNA</t>
  </si>
  <si>
    <t>maxCompetitorSaturation</t>
  </si>
  <si>
    <t>— tidak ada kolom competitor-saturation</t>
  </si>
  <si>
    <t>minBrandSafety</t>
  </si>
  <si>
    <t>— tidak ada kolom risk-level</t>
  </si>
  <si>
    <t>DISCOVERY</t>
  </si>
  <si>
    <t>Newly Added</t>
  </si>
  <si>
    <t>createdAfter</t>
  </si>
  <si>
    <t>Section tab</t>
  </si>
  <si>
    <t>kol_directory.created_at</t>
  </si>
  <si>
    <t>99,7%</t>
  </si>
  <si>
    <t>Recently Updated</t>
  </si>
  <si>
    <t>refreshedAfter</t>
  </si>
  <si>
    <t>kol_directory.last_refreshed_at</t>
  </si>
  <si>
    <t>Trending Creators</t>
  </si>
  <si>
    <t>trending</t>
  </si>
  <si>
    <t>Recent Performance + 30D Growth</t>
  </si>
  <si>
    <t>Rising Creators</t>
  </si>
  <si>
    <t>rising</t>
  </si>
  <si>
    <t>30D + 90D Growth + ER</t>
  </si>
  <si>
    <t>followers_growth (maks 0,917% vs rule ≥5,5%)</t>
  </si>
  <si>
    <t>25 creator</t>
  </si>
  <si>
    <t>Hidden Gems</t>
  </si>
  <si>
    <t>hiddenGems</t>
  </si>
  <si>
    <t>Hidden Gem Score</t>
  </si>
  <si>
    <t>butuh ER + audience quality + saturation</t>
  </si>
  <si>
    <t>parsial</t>
  </si>
  <si>
    <t>Most Relevant</t>
  </si>
  <si>
    <t>mostRelevant</t>
  </si>
  <si>
    <t>seluruh Brand_Profile</t>
  </si>
  <si>
    <t>Final Match Score × Confidence</t>
  </si>
  <si>
    <t>EXCLUSION</t>
  </si>
  <si>
    <t>discover_creator_links (migrasi 053)</t>
  </si>
  <si>
    <t>100% (state aplikasi)</t>
  </si>
  <si>
    <t>Already in Cart</t>
  </si>
  <si>
    <t>discover cart (state aplikasi)</t>
  </si>
  <si>
    <t>100%</t>
  </si>
  <si>
    <t>public.campaign_kols</t>
  </si>
  <si>
    <t>— belum ada daftar exclusion</t>
  </si>
  <si>
    <t>High Competitor Saturation</t>
  </si>
  <si>
    <t>Slider (0 = off)</t>
  </si>
  <si>
    <t>— tidak ada kolom</t>
  </si>
  <si>
    <t>Low Brand Safety</t>
  </si>
  <si>
    <t>ROLL-UP  ·  counted from the table above, not typed</t>
  </si>
  <si>
    <t>Filters defined</t>
  </si>
  <si>
    <t>— of which HARD FILTER</t>
  </si>
  <si>
    <t>— of which SOFT MATCH</t>
  </si>
  <si>
    <t>Wired end to end today (DONE)</t>
  </si>
  <si>
    <t>Working on part of the roster (PARTIAL)</t>
  </si>
  <si>
    <t>Correct code, empty column (BLOCKED BY DATA)</t>
  </si>
  <si>
    <t>Defined here, no column yet (NEW)</t>
  </si>
  <si>
    <t>DISCOVERY RANKING  ·  the Active Brand’s result page</t>
  </si>
  <si>
    <t>Default ranking is Brand Match, then Audience Match, then Content Relevance, then Performance, then Brand Safety — encoded in the Default Sort Key column as one number, so the tie-break order is inspectable rather than implied. Rank is computed over the creators that passed the hard filters only; an excluded creator shows "—" and keeps its scores, because the reason it is out should stay legible.</t>
  </si>
  <si>
    <t>Ranking Preset →</t>
  </si>
  <si>
    <t>Best Match</t>
  </si>
  <si>
    <t>ranked by</t>
  </si>
  <si>
    <t>available today</t>
  </si>
  <si>
    <t>preset # →</t>
  </si>
  <si>
    <t>Active Brand</t>
  </si>
  <si>
    <t>PRESET METRIC BLOCK  ·  one column per preset; the picker above reads the column it names</t>
  </si>
  <si>
    <t>Rank</t>
  </si>
  <si>
    <t>KOL</t>
  </si>
  <si>
    <t>Audience Match</t>
  </si>
  <si>
    <t>Performance</t>
  </si>
  <si>
    <t>Opportunity</t>
  </si>
  <si>
    <t>Status</t>
  </si>
  <si>
    <t>Default Sort Key</t>
  </si>
  <si>
    <t>Preset Rank</t>
  </si>
  <si>
    <t>Preset Metric Value</t>
  </si>
  <si>
    <t>Highest Average Views</t>
  </si>
  <si>
    <t>Highest Median Views</t>
  </si>
  <si>
    <t>Highest Engagement Quality</t>
  </si>
  <si>
    <t>Highest Share Rate</t>
  </si>
  <si>
    <t>Highest Save Rate</t>
  </si>
  <si>
    <t>Most Consistent</t>
  </si>
  <si>
    <t>Highest View-to-Follower Ratio</t>
  </si>
  <si>
    <t>Highest Recent Performance</t>
  </si>
  <si>
    <t>Highest 30D Growth</t>
  </si>
  <si>
    <t>Highest 90D Growth</t>
  </si>
  <si>
    <t>Highest Audience Quality</t>
  </si>
  <si>
    <t>Highest Audience Authenticity</t>
  </si>
  <si>
    <t>Best Audience Match</t>
  </si>
  <si>
    <t>Strongest Community</t>
  </si>
  <si>
    <t>Lowest CPV</t>
  </si>
  <si>
    <t>Lowest CPE</t>
  </si>
  <si>
    <t>Lowest CPM</t>
  </si>
  <si>
    <t>Best Cost Efficiency</t>
  </si>
  <si>
    <t>Best Estimated ROI</t>
  </si>
  <si>
    <t>Highest Brand Fit</t>
  </si>
  <si>
    <t>Highest Opportunity</t>
  </si>
  <si>
    <t>Lowest Competitor Saturation</t>
  </si>
  <si>
    <t>Highest Content Relevance</t>
  </si>
  <si>
    <t>FILTER LOGIC  ·  hard filter versus soft match</t>
  </si>
  <si>
    <t>A HARD FILTER answers "should this creator be in the result set at all". A SOFT MATCH answers "where in it". Confusing the two is the expensive mistake: a modelled figure used as a hard filter silently drops creators on the strength of a guess, and — because the roster pages server-side — filters only the rows already fetched, giving a count that means nothing.</t>
  </si>
  <si>
    <t>Condition</t>
  </si>
  <si>
    <t>Excel implementation</t>
  </si>
  <si>
    <t>What happens when it fails</t>
  </si>
  <si>
    <t>Backend note</t>
  </si>
  <si>
    <t>The creator platform must appear in Preferred Platform.</t>
  </si>
  <si>
    <t>ISERROR(SEARCH(KOL.Platform, Brand.preferred_platform)) → excluded</t>
  </si>
  <si>
    <t>Removed from Discovery entirely.</t>
  </si>
  <si>
    <t>WHERE platforms.key = ANY($platforms)</t>
  </si>
  <si>
    <t>Minimum Followers</t>
  </si>
  <si>
    <t>Followers must reach Preferred Follower Range — Min. 0 turns the rule off.</t>
  </si>
  <si>
    <t>AND(min&gt;0, KOL.Followers &lt; min) → excluded</t>
  </si>
  <si>
    <t>WHERE followers_count &gt;= $minFollowers</t>
  </si>
  <si>
    <t>Maximum Followers</t>
  </si>
  <si>
    <t>Followers must not exceed Preferred Follower Range — Max. 0 turns the rule off.</t>
  </si>
  <si>
    <t>AND(max&gt;0, KOL.Followers &gt; max) → excluded</t>
  </si>
  <si>
    <t>WHERE followers_count &lt;= $maxFollowers — a creator whose follower count was never measured is excluded when a ceiling is set, because "below X" is not satisfied by "unknown".</t>
  </si>
  <si>
    <t>Minimum Engagement Rate</t>
  </si>
  <si>
    <t>Engagement Rate must reach Minimum Engagement Rate. A blank ER counts as 0.</t>
  </si>
  <si>
    <t>AND(min&gt;0, IF(ER="",0,ER) &lt; min) → excluded</t>
  </si>
  <si>
    <t>WHERE er_pct &gt;= $minErPct, over the ER_CLEAN subset only</t>
  </si>
  <si>
    <t>The creator tier must appear in Preferred Tier.</t>
  </si>
  <si>
    <t>ISERROR(SEARCH(KOL.Tier, Brand.preferred_tier)) → excluded</t>
  </si>
  <si>
    <t>WHERE tier = ANY($tiers), with the __untiered sentinel for creators in no band</t>
  </si>
  <si>
    <t>Audience Quality must reach Minimum Audience Quality. 0 turns the rule off.</t>
  </si>
  <si>
    <t>AND(min&gt;0, AudienceQualityScore &lt; min) → excluded</t>
  </si>
  <si>
    <t>Needs feature.{ig,tt}_audience_analysis; 23 of 7.721 creators today, so ship it disabled with the reason shown.</t>
  </si>
  <si>
    <t>Brand Safety Score must reach Minimum Brand Safety. 0 turns the rule off.</t>
  </si>
  <si>
    <t>AND(min&gt;0, BrandSafetyBase &lt; min) → excluded</t>
  </si>
  <si>
    <t>No column exists yet. Until one does, this must not be presented as an active filter.</t>
  </si>
  <si>
    <t>Only when Audience Country is a Hard Filter = Yes.</t>
  </si>
  <si>
    <t>AND(flag="Yes", KOL.AudienceCountry &lt;&gt; Brand.target_country) → excluded</t>
  </si>
  <si>
    <t>audience_geo_daily at geo_level=country; 23 creators today.</t>
  </si>
  <si>
    <t>Only when Category is a Hard Filter = Yes. Off by default — category is normally a ranking signal, not a gate.</t>
  </si>
  <si>
    <t>AND(flag="Yes", KOL.Category &lt;&gt; Brand.preferred_category) → excluded</t>
  </si>
  <si>
    <t>WHERE category_ids &amp;&amp; $categories — overlap, not equality: 1.183 creators carry more than one category.</t>
  </si>
  <si>
    <t>Max Competitor Saturation</t>
  </si>
  <si>
    <t>Only when Max Competitor Saturation &gt; 0. This is the one place saturation can exclude.</t>
  </si>
  <si>
    <t>AND(max&gt;0, CompetitorSaturation &gt; max) → excluded</t>
  </si>
  <si>
    <t>Removed from Discovery entirely — but only because the brand asked for it.</t>
  </si>
  <si>
    <t>No column exists yet.</t>
  </si>
  <si>
    <t>Exclusion — Already Selected</t>
  </si>
  <si>
    <t>Only when Exclude Already Selected = Yes.</t>
  </si>
  <si>
    <t>AND(flag="Yes", KOL.AlreadySelected="Yes") → excluded</t>
  </si>
  <si>
    <t>discover_creator_links (migration 053).</t>
  </si>
  <si>
    <t>Exclusion — Already in Cart</t>
  </si>
  <si>
    <t>Only when Exclude Already in Cart = Yes.</t>
  </si>
  <si>
    <t>AND(flag="Yes", KOL.InCart="Yes") → excluded</t>
  </si>
  <si>
    <t>Discover cart state.</t>
  </si>
  <si>
    <t>Exclusion — Existing Partner</t>
  </si>
  <si>
    <t>Only when Exclude Existing Partner = Yes.</t>
  </si>
  <si>
    <t>AND(flag="Yes", KOL.ExistingPartner="Yes") → excluded</t>
  </si>
  <si>
    <t>public.campaign_kols — 0 rows today.</t>
  </si>
  <si>
    <t>Exclusion — Excluded Creator</t>
  </si>
  <si>
    <t>Only when Exclude Excluded Creator = Yes.</t>
  </si>
  <si>
    <t>AND(flag="Yes", KOL.ExcludedCreator="Yes") → excluded</t>
  </si>
  <si>
    <t>No exclusion list exists yet.</t>
  </si>
  <si>
    <t>Minimum Brand Match</t>
  </si>
  <si>
    <t>Only when Minimum Brand Match &gt; 0. Off by default: a Low Match stays visible.</t>
  </si>
  <si>
    <t>AND(min&gt;0, FinalMatchScore &lt; min) → excluded</t>
  </si>
  <si>
    <t>Removed from Discovery — the one filter that acts on the score itself.</t>
  </si>
  <si>
    <t>Computed, not stored. Apply after ranking, never inside the SQL.</t>
  </si>
  <si>
    <t>The Final Match Score. Orders the list; never removes anyone.</t>
  </si>
  <si>
    <t>ROUND(Σ component × weight ÷ Σ weight, 0)</t>
  </si>
  <si>
    <t>Creator stays visible, position changes.</t>
  </si>
  <si>
    <t>ORDER BY score DESC, computed in the application layer.</t>
  </si>
  <si>
    <t>Target Audience Relevance. The heaviest single component at 30%.</t>
  </si>
  <si>
    <t>Age×w + Gender×w + Location×w + Interest×w, ÷ Σw</t>
  </si>
  <si>
    <t>Content &amp; Category Relevance.</t>
  </si>
  <si>
    <t>Category×30 + SubCategory×20 + Topic×30 + Style×20, ÷100</t>
  </si>
  <si>
    <t>Personality Fit</t>
  </si>
  <si>
    <t>Brand Personality Fit, from the two personality matrices plus values overlap.</t>
  </si>
  <si>
    <t>Personality×35 + Tone×25 + Values×25 + Communication×15, ÷100</t>
  </si>
  <si>
    <t>Performance Quality, normalised against the calibration targets.</t>
  </si>
  <si>
    <t>ER×35 + AudienceQuality×20 + Consistency×20 + Community×10 + Views×10 + Growth×5, ÷100</t>
  </si>
  <si>
    <t>Head-room, cost efficiency, growth and engagement — how much is still on the table.</t>
  </si>
  <si>
    <t>(100−saturation)×35 + CostEfficiency×25 + Growth×25 + ER×15, ÷100</t>
  </si>
  <si>
    <t>Modelled earned value over the rate card.</t>
  </si>
  <si>
    <t>EstimatedReach × ER% × value-per-engagement ÷ Rate</t>
  </si>
  <si>
    <t>Blocked: unified_rate_card holds 0 rows.</t>
  </si>
  <si>
    <t>A consideration and a warning, never an automatic rejection.</t>
  </si>
  <si>
    <t>Lowers Brand Safety by its 20% share; excludes only via Max Competitor Saturation.</t>
  </si>
  <si>
    <t>Creator stays visible and is flagged in Match_Explanation.</t>
  </si>
  <si>
    <t>MATCH LEVEL LADDER  ·  read straight off the bands on Lookup_Lists, so the ladder and the engine cannot disagree</t>
  </si>
  <si>
    <t>Visible in Discovery?</t>
  </si>
  <si>
    <t>Excellent Match</t>
  </si>
  <si>
    <t>Highly Recommended</t>
  </si>
  <si>
    <t>Strong Match</t>
  </si>
  <si>
    <t>Highly Recommended / Recommended</t>
  </si>
  <si>
    <t>Good Match</t>
  </si>
  <si>
    <t>Recommended</t>
  </si>
  <si>
    <t>Moderate Match</t>
  </si>
  <si>
    <t>Consider</t>
  </si>
  <si>
    <t>Low Match</t>
  </si>
  <si>
    <t>Low Priority</t>
  </si>
  <si>
    <t>Yes — unless Minimum Brand Match is set above the score</t>
  </si>
  <si>
    <t>TAXONOMY  ·  one tree, two sides, three axes</t>
  </si>
  <si>
    <t>The creator side (Category → Sub Category → Content Topic) and the brand side (Industry → Niche) joined by a crosswalk, plus the map from the 28 raw kol_categories rows onto it and the rules that classify a creator who has no category at all. Lookup_Lists derives its Category, Sub Category, Industry and Niche dropdowns from this sheet’s tree, so the two cannot drift.</t>
  </si>
  <si>
    <t>A. THE THREE AXES  ·  a label answers exactly one of these questions. kol_categories mixes all three, which is why the category chip barely narrows a search.</t>
  </si>
  <si>
    <t>Axis</t>
  </si>
  <si>
    <t>Question</t>
  </si>
  <si>
    <t>What belongs to it</t>
  </si>
  <si>
    <t>Where it is stored today</t>
  </si>
  <si>
    <t>What does the creator make?</t>
  </si>
  <si>
    <t>Category → Sub Category → Content Topic. The only axis the Category Match and Sub Category Match ladders are allowed to read.</t>
  </si>
  <si>
    <t>kol_directory.category_ids → public.kol_categories (L1 only, today)</t>
  </si>
  <si>
    <t>Who watches?</t>
  </si>
  <si>
    <t>Age band, gender majority, geography, audience interest. A different question with its own weight — Target Audience Relevance is 30% of the score against Content &amp; Category Relevance at 20%.</t>
  </si>
  <si>
    <t>audience_demographics_daily, audience_geo_daily, audience_interest_daily</t>
  </si>
  <si>
    <t>FORMAT</t>
  </si>
  <si>
    <t>How is it made?</t>
  </si>
  <si>
    <t>Content Style and Communication Style. Already a separate vocabulary with its own matrices (8, 8b, 9); named here so nobody files it back under Category.</t>
  </si>
  <si>
    <t>— no column; modelled on KOL_Database today</t>
  </si>
  <si>
    <t>B. LEVELS AND COVERAGE  ·  what each level is, where it lives, and how much of it the database can answer on 8 Sep 2026</t>
  </si>
  <si>
    <t>Level</t>
  </si>
  <si>
    <t>Nodes</t>
  </si>
  <si>
    <t>Stored in</t>
  </si>
  <si>
    <t>Coverage today</t>
  </si>
  <si>
    <t>What is missing</t>
  </si>
  <si>
    <t>L1 Category</t>
  </si>
  <si>
    <t>kol_directory.category_ids → public.kol_categories</t>
  </si>
  <si>
    <t>4.174 / 7.721 = 54,1%</t>
  </si>
  <si>
    <t>28 raw rows mixing content and audience labels, mapped to no code. Needs the alias table agreed and stored.</t>
  </si>
  <si>
    <t>L2 Sub Category</t>
  </si>
  <si>
    <t>— no column exists</t>
  </si>
  <si>
    <t>Needs public.kol_sub_categories plus kol_directory.sub_category_ids. Until then Sub Category Match falls back to its parent-category ladder and the Discovery filter stays disabled with its reason shown.</t>
  </si>
  <si>
    <t>L3 Content Topic</t>
  </si>
  <si>
    <t>feature.{ig,tt}_post_analysis.content_category</t>
  </si>
  <si>
    <t>0 rows</t>
  </si>
  <si>
    <t>The column exists and is empty. It is also the right place to classify from: a topic is a property of a post, not of an account.</t>
  </si>
  <si>
    <t>B1 Brand Industry</t>
  </si>
  <si>
    <t>Brand_Profile.industry (workbook input)</t>
  </si>
  <si>
    <t>n/a — brand-side input</t>
  </si>
  <si>
    <t>Read by Industry Match through matrix 5. Complete.</t>
  </si>
  <si>
    <t>B2 Brand Niche</t>
  </si>
  <si>
    <t>Brand_Profile.brand_niche (workbook input)</t>
  </si>
  <si>
    <t>Collected, and read by no formula in the engine. The crosswalk is what would give it weight.</t>
  </si>
  <si>
    <t>Keywords</t>
  </si>
  <si>
    <t>Brand_Profile.business_keywords / brand_keywords</t>
  </si>
  <si>
    <t>creator side: kol_directory.bio, ~12% filled</t>
  </si>
  <si>
    <t>Keyword Match searches the creator bio, topics, interests and category text. A bio column that is 88% empty is the ceiling on that score today.</t>
  </si>
  <si>
    <t>C. CREATOR TAXONOMY  ·  Category → Sub Category → Content Topic. Codes are namespaced by parent and are what a migration would key on; labels can be retranslated, codes cannot.</t>
  </si>
  <si>
    <t>Code</t>
  </si>
  <si>
    <t>Parent</t>
  </si>
  <si>
    <t>Label (EN)</t>
  </si>
  <si>
    <t>Label (ID)</t>
  </si>
  <si>
    <t>Matching keywords  ·  what classifies a bio or a caption into this node</t>
  </si>
  <si>
    <t>BEA</t>
  </si>
  <si>
    <t>Kecantikan</t>
  </si>
  <si>
    <t>beauty · kecantikan · cantik · glowing · mua</t>
  </si>
  <si>
    <t>BEA.SKN</t>
  </si>
  <si>
    <t>Perawatan Kulit</t>
  </si>
  <si>
    <t>skincare · perawatan kulit · serum · moisturizer · sunscreen · jerawat · acne</t>
  </si>
  <si>
    <t>BEA.SKN.ROUT</t>
  </si>
  <si>
    <t>Skincare Routine</t>
  </si>
  <si>
    <t>Rutinitas Skincare</t>
  </si>
  <si>
    <t>morning routine · night routine · urutan skincare · layering</t>
  </si>
  <si>
    <t>BEA.SKN.ACNE</t>
  </si>
  <si>
    <t>Acne &amp; Treatment</t>
  </si>
  <si>
    <t>Jerawat &amp; Perawatan</t>
  </si>
  <si>
    <t>jerawat · acne · bruntusan · purging · dermatologist</t>
  </si>
  <si>
    <t>BEA.SKN.SUNS</t>
  </si>
  <si>
    <t>Sunscreen &amp; Barrier</t>
  </si>
  <si>
    <t>Sunscreen &amp; Skin Barrier</t>
  </si>
  <si>
    <t>sunscreen · spf · skin barrier · ceramide</t>
  </si>
  <si>
    <t>BEA.MKP</t>
  </si>
  <si>
    <t>Riasan</t>
  </si>
  <si>
    <t>makeup · riasan · mua · lipstik · foundation · eyeshadow · cushion</t>
  </si>
  <si>
    <t>BEA.MKP.TUTO</t>
  </si>
  <si>
    <t>Makeup Tutorial</t>
  </si>
  <si>
    <t>Tutorial Makeup</t>
  </si>
  <si>
    <t>tutorial makeup · makeup look · daily makeup</t>
  </si>
  <si>
    <t>BEA.MKP.SWAT</t>
  </si>
  <si>
    <t>Product Swatch &amp; Review</t>
  </si>
  <si>
    <t>Swatch &amp; Review Produk</t>
  </si>
  <si>
    <t>swatch · review lipstik · shade · first impression</t>
  </si>
  <si>
    <t>BEA.MKP.OCCA</t>
  </si>
  <si>
    <t>Occasion Makeup</t>
  </si>
  <si>
    <t>Makeup Acara</t>
  </si>
  <si>
    <t>makeup wisuda · makeup pengantin · makeup kondangan · bridal</t>
  </si>
  <si>
    <t>BEA.HAR</t>
  </si>
  <si>
    <t>Haircare</t>
  </si>
  <si>
    <t>Perawatan Rambut</t>
  </si>
  <si>
    <t>haircare · rambut · sampo · shampoo · hairstyling · salon</t>
  </si>
  <si>
    <t>BEA.HAR.TREA</t>
  </si>
  <si>
    <t>Hair Treatment</t>
  </si>
  <si>
    <t>hair mask · rambut rontok · ketombe · smoothing</t>
  </si>
  <si>
    <t>BEA.HAR.STYL</t>
  </si>
  <si>
    <t>Hairstyling</t>
  </si>
  <si>
    <t>Penataan Rambut</t>
  </si>
  <si>
    <t>hairstyle · catok · kepang · hair color</t>
  </si>
  <si>
    <t>FAS</t>
  </si>
  <si>
    <t>Mode</t>
  </si>
  <si>
    <t>fashion · gaya · outfit · ootd · busana</t>
  </si>
  <si>
    <t>FAS.STR</t>
  </si>
  <si>
    <t>streetwear · sneakers · oversized · thrift · kaos</t>
  </si>
  <si>
    <t>FAS.STR.SNKR</t>
  </si>
  <si>
    <t>Sneakers &amp; Footwear</t>
  </si>
  <si>
    <t>Sepatu &amp; Sneakers</t>
  </si>
  <si>
    <t>sneakers · sepatu · unboxing sepatu · colorway</t>
  </si>
  <si>
    <t>FAS.STR.THRF</t>
  </si>
  <si>
    <t>Thrift &amp; Preloved</t>
  </si>
  <si>
    <t>thrift · preloved · thrifting · barang second</t>
  </si>
  <si>
    <t>FAS.HJB</t>
  </si>
  <si>
    <t>Fashion Hijab</t>
  </si>
  <si>
    <t>hijab · hijabers · muslimah · modest · kerudung · syari</t>
  </si>
  <si>
    <t>FAS.HJB.STYL</t>
  </si>
  <si>
    <t>Hijab Styling</t>
  </si>
  <si>
    <t>Tutorial Hijab</t>
  </si>
  <si>
    <t>tutorial hijab · pashmina · hijab segi empat</t>
  </si>
  <si>
    <t>FAS.HJB.OCCA</t>
  </si>
  <si>
    <t>Modest Occasion Wear</t>
  </si>
  <si>
    <t>Busana Acara Muslimah</t>
  </si>
  <si>
    <t>gamis · kondangan · lebaran · baju raya</t>
  </si>
  <si>
    <t>FAS.LOC</t>
  </si>
  <si>
    <t>Local Brand</t>
  </si>
  <si>
    <t>Brand Lokal</t>
  </si>
  <si>
    <t>local brand · brand lokal · umkm · produk lokal · karya anak bangsa</t>
  </si>
  <si>
    <t>FAS.LOC.HAUL</t>
  </si>
  <si>
    <t>Local Brand Haul</t>
  </si>
  <si>
    <t>Haul Brand Lokal</t>
  </si>
  <si>
    <t>haul · checkout · racun belanja · brand lokal</t>
  </si>
  <si>
    <t>FAS.LOC.DSGN</t>
  </si>
  <si>
    <t>Local Designer</t>
  </si>
  <si>
    <t>Desainer Lokal</t>
  </si>
  <si>
    <t>desainer · koleksi · runway · capsule</t>
  </si>
  <si>
    <t>FOD</t>
  </si>
  <si>
    <t>Makanan</t>
  </si>
  <si>
    <t>food · kuliner · makanan · jajan · resep · foodie</t>
  </si>
  <si>
    <t>FOD.CUL</t>
  </si>
  <si>
    <t>Review Kuliner</t>
  </si>
  <si>
    <t>kuliner · review makanan · food review · jajanan · warung</t>
  </si>
  <si>
    <t>FOD.CUL.STRE</t>
  </si>
  <si>
    <t>Street Food</t>
  </si>
  <si>
    <t>Jajanan Kaki Lima</t>
  </si>
  <si>
    <t>kaki lima · street food · jajanan · gerobak</t>
  </si>
  <si>
    <t>FOD.CUL.REST</t>
  </si>
  <si>
    <t>Restaurant Review</t>
  </si>
  <si>
    <t>Review Restoran</t>
  </si>
  <si>
    <t>restoran · all you can eat · fine dining · menu baru</t>
  </si>
  <si>
    <t>FOD.CUL.MUKB</t>
  </si>
  <si>
    <t>Mukbang</t>
  </si>
  <si>
    <t>mukbang · makan besar · asmr makan</t>
  </si>
  <si>
    <t>FOD.HCK</t>
  </si>
  <si>
    <t>Masak Rumahan</t>
  </si>
  <si>
    <t>resep · masak · cooking · dapur · masakan rumahan</t>
  </si>
  <si>
    <t>FOD.HCK.DAIL</t>
  </si>
  <si>
    <t>Everyday Recipe</t>
  </si>
  <si>
    <t>Resep Harian</t>
  </si>
  <si>
    <t>resep praktis · menu harian · bekal · anak kos</t>
  </si>
  <si>
    <t>FOD.HCK.BAKE</t>
  </si>
  <si>
    <t>Baking &amp; Dessert</t>
  </si>
  <si>
    <t>Kue &amp; Dessert</t>
  </si>
  <si>
    <t>baking · kue · dessert · roti</t>
  </si>
  <si>
    <t>FOD.BEV</t>
  </si>
  <si>
    <t>Kopi &amp; Minuman</t>
  </si>
  <si>
    <t>kopi · coffee · minuman · cafe · barista · boba</t>
  </si>
  <si>
    <t>FOD.BEV.BREW</t>
  </si>
  <si>
    <t>Coffee Brewing</t>
  </si>
  <si>
    <t>Seduh Kopi</t>
  </si>
  <si>
    <t>manual brew · espresso · v60 · biji kopi</t>
  </si>
  <si>
    <t>FOD.BEV.CAFE</t>
  </si>
  <si>
    <t>Cafe Hopping</t>
  </si>
  <si>
    <t>cafe · coffee shop · nongkrong · aesthetic cafe</t>
  </si>
  <si>
    <t>FIT</t>
  </si>
  <si>
    <t>Kebugaran</t>
  </si>
  <si>
    <t>fitness · olahraga · workout · sehat · gym · diet</t>
  </si>
  <si>
    <t>FIT.HOM</t>
  </si>
  <si>
    <t>Olahraga di Rumah</t>
  </si>
  <si>
    <t>home workout · olahraga di rumah · senam · pilates · yoga</t>
  </si>
  <si>
    <t>FIT.HOM.BODY</t>
  </si>
  <si>
    <t>Bodyweight Routine</t>
  </si>
  <si>
    <t>Latihan Tanpa Alat</t>
  </si>
  <si>
    <t>tanpa alat · bodyweight · hiit · plank</t>
  </si>
  <si>
    <t>FIT.HOM.YOGA</t>
  </si>
  <si>
    <t>Yoga &amp; Pilates</t>
  </si>
  <si>
    <t>yoga · pilates · stretching · peregangan</t>
  </si>
  <si>
    <t>FIT.GYM</t>
  </si>
  <si>
    <t>Gym &amp; Latihan Beban</t>
  </si>
  <si>
    <t>gym · angkat beban · strength · fitness center · bulking</t>
  </si>
  <si>
    <t>FIT.GYM.PROG</t>
  </si>
  <si>
    <t>Strength Program</t>
  </si>
  <si>
    <t>Program Latihan</t>
  </si>
  <si>
    <t>program latihan · push pull legs · progressive overload</t>
  </si>
  <si>
    <t>FIT.GYM.NUTR</t>
  </si>
  <si>
    <t>Supplement &amp; Nutrition</t>
  </si>
  <si>
    <t>Suplemen &amp; Nutrisi</t>
  </si>
  <si>
    <t>whey · protein · suplemen · defisit kalori</t>
  </si>
  <si>
    <t>FIT.RUN</t>
  </si>
  <si>
    <t>Running</t>
  </si>
  <si>
    <t>Lari</t>
  </si>
  <si>
    <t>lari · running · marathon · sepatu lari</t>
  </si>
  <si>
    <t>FIT.RUN.RACE</t>
  </si>
  <si>
    <t>Race &amp; Event</t>
  </si>
  <si>
    <t>Lomba &amp; Event Lari</t>
  </si>
  <si>
    <t>race · marathon · fun run · finish time</t>
  </si>
  <si>
    <t>FIT.RUN.GEAR</t>
  </si>
  <si>
    <t>Running Gear</t>
  </si>
  <si>
    <t>Perlengkapan Lari</t>
  </si>
  <si>
    <t>sepatu lari · gear lari · jam lari</t>
  </si>
  <si>
    <t>TEC</t>
  </si>
  <si>
    <t>Teknologi</t>
  </si>
  <si>
    <t>tech · teknologi · gadget · digital</t>
  </si>
  <si>
    <t>TEC.GDG</t>
  </si>
  <si>
    <t>Review Gadget</t>
  </si>
  <si>
    <t>gadget · review hp · smartphone · unboxing · spesifikasi</t>
  </si>
  <si>
    <t>TEC.GDG.PHON</t>
  </si>
  <si>
    <t>Smartphone Review</t>
  </si>
  <si>
    <t>Review Ponsel</t>
  </si>
  <si>
    <t>hp baru · kamera hp · benchmark · flagship</t>
  </si>
  <si>
    <t>TEC.GDG.WEAR</t>
  </si>
  <si>
    <t>Audio &amp; Wearable</t>
  </si>
  <si>
    <t>tws · earbuds · smartwatch · headphone</t>
  </si>
  <si>
    <t>TEC.SAAS</t>
  </si>
  <si>
    <t>software · aplikasi · saas · tools · no-code</t>
  </si>
  <si>
    <t>TEC.SAAS.BIZ</t>
  </si>
  <si>
    <t>Business Software</t>
  </si>
  <si>
    <t>Software Bisnis</t>
  </si>
  <si>
    <t>crm · erp · invoice · aplikasi kasir</t>
  </si>
  <si>
    <t>TEC.SAAS.DEV</t>
  </si>
  <si>
    <t>Developer Tools</t>
  </si>
  <si>
    <t>Tools Developer</t>
  </si>
  <si>
    <t>coding · developer · api · github</t>
  </si>
  <si>
    <t>TEC.AIP</t>
  </si>
  <si>
    <t>AI &amp; Productivity</t>
  </si>
  <si>
    <t>AI &amp; Produktivitas</t>
  </si>
  <si>
    <t>ai · kecerdasan buatan · chatgpt · produktivitas · automation</t>
  </si>
  <si>
    <t>TEC.AIP.TOOL</t>
  </si>
  <si>
    <t>AI Tools</t>
  </si>
  <si>
    <t>Tools AI</t>
  </si>
  <si>
    <t>prompt · ai tools · generatif · copilot</t>
  </si>
  <si>
    <t>TEC.AIP.FLOW</t>
  </si>
  <si>
    <t>Workflow &amp; Automation</t>
  </si>
  <si>
    <t>Alur Kerja &amp; Otomasi</t>
  </si>
  <si>
    <t>otomatisasi · workflow · notion · spreadsheet</t>
  </si>
  <si>
    <t>FIN</t>
  </si>
  <si>
    <t>Keuangan</t>
  </si>
  <si>
    <t>finance · keuangan · uang · cuan · finansial</t>
  </si>
  <si>
    <t>FIN.PFN</t>
  </si>
  <si>
    <t>Keuangan Pribadi</t>
  </si>
  <si>
    <t>keuangan pribadi · budgeting · menabung · dana darurat · gaji</t>
  </si>
  <si>
    <t>FIN.PFN.BUDG</t>
  </si>
  <si>
    <t>Budgeting &amp; Saving</t>
  </si>
  <si>
    <t>Atur Anggaran &amp; Menabung</t>
  </si>
  <si>
    <t>budgeting · catat pengeluaran · dana darurat</t>
  </si>
  <si>
    <t>FIN.PFN.DEBT</t>
  </si>
  <si>
    <t>Debt &amp; Credit</t>
  </si>
  <si>
    <t>Utang &amp; Kredit</t>
  </si>
  <si>
    <t>utang · paylater · kartu kredit · pinjol</t>
  </si>
  <si>
    <t>FIN.INV</t>
  </si>
  <si>
    <t>Investasi</t>
  </si>
  <si>
    <t>investasi · saham · reksadana · crypto · portofolio</t>
  </si>
  <si>
    <t>FIN.INV.STCK</t>
  </si>
  <si>
    <t>Stock &amp; Mutual Fund</t>
  </si>
  <si>
    <t>Saham &amp; Reksadana</t>
  </si>
  <si>
    <t>saham · reksadana · ihsg · dividen</t>
  </si>
  <si>
    <t>FIN.INV.CRYP</t>
  </si>
  <si>
    <t>Crypto &amp; Digital Asset</t>
  </si>
  <si>
    <t>Kripto &amp; Aset Digital</t>
  </si>
  <si>
    <t>crypto · bitcoin · kripto · blockchain</t>
  </si>
  <si>
    <t>FIN.BIZ</t>
  </si>
  <si>
    <t>Bisnis</t>
  </si>
  <si>
    <t>bisnis · usaha · umkm · entrepreneur · startup</t>
  </si>
  <si>
    <t>FIN.BIZ.SME</t>
  </si>
  <si>
    <t>SME &amp; Entrepreneurship</t>
  </si>
  <si>
    <t>UMKM &amp; Wirausaha</t>
  </si>
  <si>
    <t>umkm · jualan · modal usaha · reseller</t>
  </si>
  <si>
    <t>FIN.BIZ.STUP</t>
  </si>
  <si>
    <t>Startup &amp; Funding</t>
  </si>
  <si>
    <t>Startup &amp; Pendanaan</t>
  </si>
  <si>
    <t>startup · funding · pitch deck · valuasi</t>
  </si>
  <si>
    <t>EDU</t>
  </si>
  <si>
    <t>Edukasi</t>
  </si>
  <si>
    <t>edukasi · belajar · pendidikan · kelas · kuliah</t>
  </si>
  <si>
    <t>EDU.STU</t>
  </si>
  <si>
    <t>Tips Belajar</t>
  </si>
  <si>
    <t>study tips · utbk · snbt · sekolah · ujian</t>
  </si>
  <si>
    <t>EDU.STU.EXAM</t>
  </si>
  <si>
    <t>Exam Preparation</t>
  </si>
  <si>
    <t>Persiapan Ujian</t>
  </si>
  <si>
    <t>utbk · snbt · try out · ujian</t>
  </si>
  <si>
    <t>EDU.STU.METH</t>
  </si>
  <si>
    <t>Study Method</t>
  </si>
  <si>
    <t>Metode Belajar</t>
  </si>
  <si>
    <t>pomodoro · catatan · study with me · mind map</t>
  </si>
  <si>
    <t>EDU.LNG</t>
  </si>
  <si>
    <t>Bahasa</t>
  </si>
  <si>
    <t>bahasa · english · ielts · toefl · grammar</t>
  </si>
  <si>
    <t>EDU.LNG.ENGL</t>
  </si>
  <si>
    <t>English Learning</t>
  </si>
  <si>
    <t>Belajar Bahasa Inggris</t>
  </si>
  <si>
    <t>english · grammar · speaking · vocabulary</t>
  </si>
  <si>
    <t>EDU.LNG.OTHR</t>
  </si>
  <si>
    <t>Other Languages</t>
  </si>
  <si>
    <t>Bahasa Lain</t>
  </si>
  <si>
    <t>bahasa jepang · bahasa korea · mandarin</t>
  </si>
  <si>
    <t>EDU.CAR</t>
  </si>
  <si>
    <t>Career</t>
  </si>
  <si>
    <t>Karier</t>
  </si>
  <si>
    <t>karier · karir · interview · lowongan · fresh graduate</t>
  </si>
  <si>
    <t>EDU.CAR.HUNT</t>
  </si>
  <si>
    <t>Job Hunting &amp; CV</t>
  </si>
  <si>
    <t>Cari Kerja &amp; CV</t>
  </si>
  <si>
    <t>cv · lamaran · interview · loker</t>
  </si>
  <si>
    <t>EDU.CAR.SKIL</t>
  </si>
  <si>
    <t>Skill &amp; Certification</t>
  </si>
  <si>
    <t>Skill &amp; Sertifikasi</t>
  </si>
  <si>
    <t>sertifikasi · kursus · upskilling · bootcamp</t>
  </si>
  <si>
    <t>LIF</t>
  </si>
  <si>
    <t>Gaya Hidup</t>
  </si>
  <si>
    <t>lifestyle · gaya hidup · keseharian · daily</t>
  </si>
  <si>
    <t>LIF.VLG</t>
  </si>
  <si>
    <t>Vlog Harian</t>
  </si>
  <si>
    <t>vlog · daily vlog · keseharian · day in my life</t>
  </si>
  <si>
    <t>LIF.VLG.DAY</t>
  </si>
  <si>
    <t>Day in the Life</t>
  </si>
  <si>
    <t>Sehari Bersama</t>
  </si>
  <si>
    <t>day in my life · morning routine · night routine</t>
  </si>
  <si>
    <t>LIF.VLG.WKND</t>
  </si>
  <si>
    <t>Weekend &amp; Hangout</t>
  </si>
  <si>
    <t>Akhir Pekan &amp; Nongkrong</t>
  </si>
  <si>
    <t>weekend · nongkrong · hangout · me time</t>
  </si>
  <si>
    <t>LIF.SLF</t>
  </si>
  <si>
    <t>Pengembangan Diri</t>
  </si>
  <si>
    <t>self improvement · motivasi · produktif · mindset · journaling</t>
  </si>
  <si>
    <t>LIF.SLF.HABT</t>
  </si>
  <si>
    <t>Habit &amp; Routine</t>
  </si>
  <si>
    <t>Kebiasaan &amp; Rutinitas</t>
  </si>
  <si>
    <t>habit · rutinitas · konsisten · journaling</t>
  </si>
  <si>
    <t>LIF.SLF.MIND</t>
  </si>
  <si>
    <t>Mindset &amp; Motivation</t>
  </si>
  <si>
    <t>Mindset &amp; Motivasi</t>
  </si>
  <si>
    <t>mindset · motivasi · overthinking · healing</t>
  </si>
  <si>
    <t>LIF.MIN</t>
  </si>
  <si>
    <t>Minimalism</t>
  </si>
  <si>
    <t>Minimalis</t>
  </si>
  <si>
    <t>minimalis · decluttering · hidup sederhana · slow living</t>
  </si>
  <si>
    <t>LIF.MIN.DECL</t>
  </si>
  <si>
    <t>Decluttering</t>
  </si>
  <si>
    <t>Beberes &amp; Kurangi Barang</t>
  </si>
  <si>
    <t>decluttering · buang barang · capsule wardrobe</t>
  </si>
  <si>
    <t>LIF.MIN.SLOW</t>
  </si>
  <si>
    <t>Slow Living</t>
  </si>
  <si>
    <t>slow living · mindful · hidup sederhana</t>
  </si>
  <si>
    <t>TRV</t>
  </si>
  <si>
    <t>Wisata</t>
  </si>
  <si>
    <t>travel · jalan-jalan · wisata · liburan · trip</t>
  </si>
  <si>
    <t>TRV.DOM</t>
  </si>
  <si>
    <t>Wisata Domestik</t>
  </si>
  <si>
    <t>wisata lokal · destinasi · pantai · gunung · explore indonesia</t>
  </si>
  <si>
    <t>TRV.DOM.NATR</t>
  </si>
  <si>
    <t>Nature &amp; Outdoor</t>
  </si>
  <si>
    <t>Alam &amp; Luar Ruang</t>
  </si>
  <si>
    <t>pantai · gunung · air terjun · camping</t>
  </si>
  <si>
    <t>TRV.DOM.CITY</t>
  </si>
  <si>
    <t>City &amp; Culture</t>
  </si>
  <si>
    <t>Kota &amp; Budaya</t>
  </si>
  <si>
    <t>kota tua · museum · budaya · heritage</t>
  </si>
  <si>
    <t>TRV.BGT</t>
  </si>
  <si>
    <t>Wisata Hemat</t>
  </si>
  <si>
    <t>budget travel · hemat · backpacker · itinerary murah</t>
  </si>
  <si>
    <t>TRV.BGT.BPCK</t>
  </si>
  <si>
    <t>Backpacking</t>
  </si>
  <si>
    <t>backpacker · hostel · open trip</t>
  </si>
  <si>
    <t>TRV.BGT.ITIN</t>
  </si>
  <si>
    <t>Itinerary &amp; Tips</t>
  </si>
  <si>
    <t>itinerary · tips liburan · tiket murah · promo</t>
  </si>
  <si>
    <t>TRV.STY</t>
  </si>
  <si>
    <t>Staycation &amp; Hotel</t>
  </si>
  <si>
    <t>staycation · hotel · resort · review hotel · penginapan · villa</t>
  </si>
  <si>
    <t>TRV.STY.REVW</t>
  </si>
  <si>
    <t>Hotel Review</t>
  </si>
  <si>
    <t>Review Hotel</t>
  </si>
  <si>
    <t>review hotel · room tour · breakfast · rooftop</t>
  </si>
  <si>
    <t>TRV.STY.FAM</t>
  </si>
  <si>
    <t>Family Staycation</t>
  </si>
  <si>
    <t>Staycation Keluarga</t>
  </si>
  <si>
    <t>staycation keluarga · kolam anak · family room</t>
  </si>
  <si>
    <t>PAR</t>
  </si>
  <si>
    <t>Pengasuhan</t>
  </si>
  <si>
    <t>parenting · ibu · anak · keluarga · bunda</t>
  </si>
  <si>
    <t>PAR.MOM</t>
  </si>
  <si>
    <t>Kehidupan Ibu</t>
  </si>
  <si>
    <t>momlife · ibu rumah tangga · moms · bunda · working mom</t>
  </si>
  <si>
    <t>PAR.MOM.DAIL</t>
  </si>
  <si>
    <t>Daily Momlife</t>
  </si>
  <si>
    <t>Keseharian Ibu</t>
  </si>
  <si>
    <t>momlife · drama ibu · me time ibu</t>
  </si>
  <si>
    <t>PAR.MOM.PROD</t>
  </si>
  <si>
    <t>Mom Product Review</t>
  </si>
  <si>
    <t>Review Produk Ibu</t>
  </si>
  <si>
    <t>review produk anak · rekomendasi ibu · stroller</t>
  </si>
  <si>
    <t>PAR.KID</t>
  </si>
  <si>
    <t>Anak &amp; Keluarga</t>
  </si>
  <si>
    <t>anak · keluarga · mainan · sekolah anak</t>
  </si>
  <si>
    <t>PAR.KID.ACTV</t>
  </si>
  <si>
    <t>Kids Activity</t>
  </si>
  <si>
    <t>Aktivitas Anak</t>
  </si>
  <si>
    <t>mainan · aktivitas anak · montessori · playdate</t>
  </si>
  <si>
    <t>PAR.KID.TRIP</t>
  </si>
  <si>
    <t>Family Trip &amp; Routine</t>
  </si>
  <si>
    <t>Jalan &amp; Rutinitas Keluarga</t>
  </si>
  <si>
    <t>liburan keluarga · rutinitas keluarga</t>
  </si>
  <si>
    <t>PAR.PRG</t>
  </si>
  <si>
    <t>Pregnancy &amp; Newborn</t>
  </si>
  <si>
    <t>Kehamilan &amp; Bayi</t>
  </si>
  <si>
    <t>hamil · kehamilan · newborn · bayi · mpasi · menyusui</t>
  </si>
  <si>
    <t>PAR.PRG.JRNY</t>
  </si>
  <si>
    <t>Pregnancy Journey</t>
  </si>
  <si>
    <t>Perjalanan Kehamilan</t>
  </si>
  <si>
    <t>trimester · usg · persiapan lahiran</t>
  </si>
  <si>
    <t>PAR.PRG.CARE</t>
  </si>
  <si>
    <t>Newborn Care &amp; MPASI</t>
  </si>
  <si>
    <t>Perawatan Bayi &amp; MPASI</t>
  </si>
  <si>
    <t>mpasi · asi · popok · newborn</t>
  </si>
  <si>
    <t>ENT</t>
  </si>
  <si>
    <t>Hiburan</t>
  </si>
  <si>
    <t>hiburan · entertainment · viral</t>
  </si>
  <si>
    <t>ENT.COM</t>
  </si>
  <si>
    <t>Komedi</t>
  </si>
  <si>
    <t>komedi · lucu · humor · skit · prank · receh</t>
  </si>
  <si>
    <t>ENT.COM.SKIT</t>
  </si>
  <si>
    <t>Sketch &amp; Skit</t>
  </si>
  <si>
    <t>Sketsa &amp; Skit</t>
  </si>
  <si>
    <t>skit · sketsa · parodi · relate</t>
  </si>
  <si>
    <t>ENT.COM.REAC</t>
  </si>
  <si>
    <t>Reaction &amp; Commentary</t>
  </si>
  <si>
    <t>Reaksi &amp; Komentar</t>
  </si>
  <si>
    <t>reaction · komentar · review lucu</t>
  </si>
  <si>
    <t>ENT.MUS</t>
  </si>
  <si>
    <t>Musik</t>
  </si>
  <si>
    <t>musik · music · cover lagu · nyanyi · band</t>
  </si>
  <si>
    <t>ENT.MUS.COVR</t>
  </si>
  <si>
    <t>Cover &amp; Performance</t>
  </si>
  <si>
    <t>Cover &amp; Penampilan</t>
  </si>
  <si>
    <t>cover lagu · akustik · live session · busking</t>
  </si>
  <si>
    <t>ENT.MUS.REVW</t>
  </si>
  <si>
    <t>Music Review</t>
  </si>
  <si>
    <t>Ulasan Musik</t>
  </si>
  <si>
    <t>review album · rekomendasi lagu · playlist</t>
  </si>
  <si>
    <t>ENT.FLM</t>
  </si>
  <si>
    <t>Film &amp; Series</t>
  </si>
  <si>
    <t>Film &amp; Serial</t>
  </si>
  <si>
    <t>film · series · drakor · bioskop · rekomendasi film</t>
  </si>
  <si>
    <t>ENT.FLM.REVW</t>
  </si>
  <si>
    <t>Film &amp; Series Review</t>
  </si>
  <si>
    <t>Ulasan Film &amp; Serial</t>
  </si>
  <si>
    <t>review film · spoiler · ending · drakor</t>
  </si>
  <si>
    <t>ENT.FLM.RECO</t>
  </si>
  <si>
    <t>Recommendation List</t>
  </si>
  <si>
    <t>Daftar Rekomendasi</t>
  </si>
  <si>
    <t>rekomendasi film · wajib tonton · netflix</t>
  </si>
  <si>
    <t>GAM</t>
  </si>
  <si>
    <t>Gim</t>
  </si>
  <si>
    <t>gaming · game · gamer · main game</t>
  </si>
  <si>
    <t>GAM.MOB</t>
  </si>
  <si>
    <t>Gim Mobile</t>
  </si>
  <si>
    <t>mobile legends · free fire · pubg · mobile game</t>
  </si>
  <si>
    <t>GAM.MOB.PLAY</t>
  </si>
  <si>
    <t>Gameplay &amp; Highlight</t>
  </si>
  <si>
    <t>Gameplay &amp; Cuplikan</t>
  </si>
  <si>
    <t>gameplay · highlight · push rank · savage</t>
  </si>
  <si>
    <t>GAM.MOB.META</t>
  </si>
  <si>
    <t>Tips &amp; Meta</t>
  </si>
  <si>
    <t>build · meta · tier list · tips main</t>
  </si>
  <si>
    <t>GAM.PCC</t>
  </si>
  <si>
    <t>PC &amp; Konsol</t>
  </si>
  <si>
    <t>konsol · console · steam · playstation · rakit pc</t>
  </si>
  <si>
    <t>GAM.PCC.BULD</t>
  </si>
  <si>
    <t>PC Build &amp; Setup</t>
  </si>
  <si>
    <t>Rakit PC &amp; Setup</t>
  </si>
  <si>
    <t>rakit pc · setup gaming · gpu · peripheral</t>
  </si>
  <si>
    <t>GAM.PCC.PLAY</t>
  </si>
  <si>
    <t>Console Gameplay</t>
  </si>
  <si>
    <t>Gameplay Konsol</t>
  </si>
  <si>
    <t>playthrough · walkthrough · ps5 · nintendo</t>
  </si>
  <si>
    <t>GAM.ESP</t>
  </si>
  <si>
    <t>Esports</t>
  </si>
  <si>
    <t>esports · turnamen · tournament · pro player</t>
  </si>
  <si>
    <t>GAM.ESP.TOUR</t>
  </si>
  <si>
    <t>Tournament &amp; Team</t>
  </si>
  <si>
    <t>Turnamen &amp; Tim</t>
  </si>
  <si>
    <t>turnamen · roster · grand final · liga</t>
  </si>
  <si>
    <t>GAM.ESP.PRO</t>
  </si>
  <si>
    <t>Pro Player Content</t>
  </si>
  <si>
    <t>Konten Pro Player</t>
  </si>
  <si>
    <t>pro player · scrim · analisis pertandingan</t>
  </si>
  <si>
    <t>AUT</t>
  </si>
  <si>
    <t>Otomotif</t>
  </si>
  <si>
    <t>otomotif · automotive · kendaraan · mesin</t>
  </si>
  <si>
    <t>AUT.MTR</t>
  </si>
  <si>
    <t>Motor</t>
  </si>
  <si>
    <t>motor · motorcycle · moge · matic · touring motor</t>
  </si>
  <si>
    <t>AUT.MTR.REVW</t>
  </si>
  <si>
    <t>Motorcycle Review</t>
  </si>
  <si>
    <t>Review Motor</t>
  </si>
  <si>
    <t>review motor · test ride · konsumsi bbm</t>
  </si>
  <si>
    <t>AUT.MTR.RIDE</t>
  </si>
  <si>
    <t>Riding &amp; Touring</t>
  </si>
  <si>
    <t>touring · safety riding · komunitas motor</t>
  </si>
  <si>
    <t>AUT.CAR</t>
  </si>
  <si>
    <t>Review Mobil</t>
  </si>
  <si>
    <t>mobil · test drive · review mobil</t>
  </si>
  <si>
    <t>AUT.CAR.TEST</t>
  </si>
  <si>
    <t>Car Review &amp; Test Drive</t>
  </si>
  <si>
    <t>Review &amp; Test Drive</t>
  </si>
  <si>
    <t>test drive · review mobil · interior mobil</t>
  </si>
  <si>
    <t>AUT.CAR.EV</t>
  </si>
  <si>
    <t>EV &amp; New Energy</t>
  </si>
  <si>
    <t>Mobil Listrik</t>
  </si>
  <si>
    <t>mobil listrik · ev · hybrid · charging</t>
  </si>
  <si>
    <t>AUT.MOD</t>
  </si>
  <si>
    <t>Modification &amp; Aftermarket</t>
  </si>
  <si>
    <t>Modifikasi &amp; Aftermarket</t>
  </si>
  <si>
    <t>modifikasi · modif · velg · aftermarket · restorasi</t>
  </si>
  <si>
    <t>AUT.MOD.BULD</t>
  </si>
  <si>
    <t>Modification Build</t>
  </si>
  <si>
    <t>Proyek Modifikasi</t>
  </si>
  <si>
    <t>build · modif · restorasi · custom</t>
  </si>
  <si>
    <t>AUT.MOD.PART</t>
  </si>
  <si>
    <t>Parts &amp; Accessories</t>
  </si>
  <si>
    <t>Sparepart &amp; Aksesori</t>
  </si>
  <si>
    <t>sparepart · velg · knalpot · aksesori</t>
  </si>
  <si>
    <t>HNL</t>
  </si>
  <si>
    <t>Rumah &amp; Hunian</t>
  </si>
  <si>
    <t>rumah · hunian · interior · home living</t>
  </si>
  <si>
    <t>HNL.INT</t>
  </si>
  <si>
    <t>interior · dekorasi · desain rumah · ruang tamu</t>
  </si>
  <si>
    <t>HNL.INT.MAKE</t>
  </si>
  <si>
    <t>Room Makeover</t>
  </si>
  <si>
    <t>Makeover Ruangan</t>
  </si>
  <si>
    <t>makeover · room tour · kamar aesthetic</t>
  </si>
  <si>
    <t>HNL.INT.DECO</t>
  </si>
  <si>
    <t>Furniture &amp; Decor</t>
  </si>
  <si>
    <t>Furnitur &amp; Dekorasi</t>
  </si>
  <si>
    <t>furnitur · sofa · dekorasi · lampu</t>
  </si>
  <si>
    <t>HNL.ORG</t>
  </si>
  <si>
    <t>Beberes Rumah</t>
  </si>
  <si>
    <t>beberes · organizing · storage · bersih-bersih · rapi</t>
  </si>
  <si>
    <t>HNL.ORG.STOR</t>
  </si>
  <si>
    <t>Storage &amp; Organizing</t>
  </si>
  <si>
    <t>Penyimpanan &amp; Penataan</t>
  </si>
  <si>
    <t>storage · rak · organizing · lemari</t>
  </si>
  <si>
    <t>HNL.ORG.CLEA</t>
  </si>
  <si>
    <t>Cleaning Routine</t>
  </si>
  <si>
    <t>Rutinitas Bersih-bersih</t>
  </si>
  <si>
    <t>cleaning · bersih-bersih · deep clean</t>
  </si>
  <si>
    <t>HNL.IMP</t>
  </si>
  <si>
    <t>Home Improvement</t>
  </si>
  <si>
    <t>Renovasi Rumah</t>
  </si>
  <si>
    <t>renovasi · bangun rumah · diy rumah · tukang · kpr</t>
  </si>
  <si>
    <t>HNL.IMP.RENO</t>
  </si>
  <si>
    <t>Renovation &amp; DIY</t>
  </si>
  <si>
    <t>Renovasi &amp; DIY</t>
  </si>
  <si>
    <t>renovasi · diy · rab · tukang</t>
  </si>
  <si>
    <t>HNL.IMP.FRST</t>
  </si>
  <si>
    <t>First Home &amp; KPR</t>
  </si>
  <si>
    <t>Rumah Pertama &amp; KPR</t>
  </si>
  <si>
    <t>kpr · rumah pertama · cicilan rumah · developer</t>
  </si>
  <si>
    <t>D. BRAND TAXONOMY  ·  Industry → Niche. Industry drives Industry Match through matrix 5; Niche drives nothing at all today, which is what section E is for.</t>
  </si>
  <si>
    <t>Matching keywords</t>
  </si>
  <si>
    <t>TECH</t>
  </si>
  <si>
    <t>B1 Industry</t>
  </si>
  <si>
    <t>Teknologi / SaaS</t>
  </si>
  <si>
    <t>teknologi · software · aplikasi · platform · digital</t>
  </si>
  <si>
    <t>TECH.B2BSAAS</t>
  </si>
  <si>
    <t>B2 Niche</t>
  </si>
  <si>
    <t>SaaS B2B</t>
  </si>
  <si>
    <t>saas · b2b · dashboard · langganan · enterprise</t>
  </si>
  <si>
    <t>TECH.CONAPP</t>
  </si>
  <si>
    <t>Consumer App</t>
  </si>
  <si>
    <t>Aplikasi Konsumen</t>
  </si>
  <si>
    <t>aplikasi · app · download · pengguna · fitur baru</t>
  </si>
  <si>
    <t>BEAUTY</t>
  </si>
  <si>
    <t>Kecantikan &amp; Perawatan Kulit</t>
  </si>
  <si>
    <t>kecantikan · skincare · kosmetik · perawatan</t>
  </si>
  <si>
    <t>BEAUTY.CLEAN</t>
  </si>
  <si>
    <t>Clean Beauty</t>
  </si>
  <si>
    <t>clean beauty · bahan alami · vegan · cruelty free · bpom</t>
  </si>
  <si>
    <t>BEAUTY.DERMA</t>
  </si>
  <si>
    <t>Skincare Dermatologi</t>
  </si>
  <si>
    <t>dermatologi · klinik kecantikan · active ingredient · retinol · niacinamide</t>
  </si>
  <si>
    <t>FNB</t>
  </si>
  <si>
    <t>Makanan &amp; Minuman</t>
  </si>
  <si>
    <t>makanan · minuman · kuliner · resto</t>
  </si>
  <si>
    <t>FNB.LOCALFNB</t>
  </si>
  <si>
    <t>Local F&amp;B</t>
  </si>
  <si>
    <t>F&amp;B Lokal</t>
  </si>
  <si>
    <t>resto lokal · outlet · cabang baru · menu baru · franchise</t>
  </si>
  <si>
    <t>FNB.RTD</t>
  </si>
  <si>
    <t>Minuman Siap Minum</t>
  </si>
  <si>
    <t>minuman kemasan · botol · sachet · isotonik</t>
  </si>
  <si>
    <t>FASHION</t>
  </si>
  <si>
    <t>Fashion &amp; Apparel</t>
  </si>
  <si>
    <t>Mode &amp; Pakaian</t>
  </si>
  <si>
    <t>fashion · pakaian · apparel · koleksi</t>
  </si>
  <si>
    <t>FASHION.MODEST</t>
  </si>
  <si>
    <t>Modest Fashion</t>
  </si>
  <si>
    <t>Fashion Muslimah</t>
  </si>
  <si>
    <t>modest · hijab · muslimah · gamis · syari</t>
  </si>
  <si>
    <t>FASHION.ATHL</t>
  </si>
  <si>
    <t>Athleisure</t>
  </si>
  <si>
    <t>athleisure · sportswear · legging · activewear</t>
  </si>
  <si>
    <t>HEALTH</t>
  </si>
  <si>
    <t>Health &amp; Fitness</t>
  </si>
  <si>
    <t>Kesehatan &amp; Kebugaran</t>
  </si>
  <si>
    <t>kesehatan · kebugaran · sehat · fitness</t>
  </si>
  <si>
    <t>HEALTH.GYMSTUDIO</t>
  </si>
  <si>
    <t>Gym &amp; Studio</t>
  </si>
  <si>
    <t>gym · studio · membership · personal trainer</t>
  </si>
  <si>
    <t>HEALTH.SUPP</t>
  </si>
  <si>
    <t>suplemen · vitamin · protein · nutrisi · herbal</t>
  </si>
  <si>
    <t>FINSVC</t>
  </si>
  <si>
    <t>Financial Services</t>
  </si>
  <si>
    <t>Jasa Keuangan</t>
  </si>
  <si>
    <t>keuangan · bank · ojk · pembayaran</t>
  </si>
  <si>
    <t>FINSVC.DIGIBANK</t>
  </si>
  <si>
    <t>Digital Banking</t>
  </si>
  <si>
    <t>Bank Digital</t>
  </si>
  <si>
    <t>bank digital · tabungan · transfer · qris · e-wallet</t>
  </si>
  <si>
    <t>FINSVC.INVPLAT</t>
  </si>
  <si>
    <t>Investment Platform</t>
  </si>
  <si>
    <t>Platform Investasi</t>
  </si>
  <si>
    <t>sekuritas · reksadana · portofolio · trading</t>
  </si>
  <si>
    <t>EDUC</t>
  </si>
  <si>
    <t>Pendidikan</t>
  </si>
  <si>
    <t>pendidikan · belajar · kursus · sekolah</t>
  </si>
  <si>
    <t>EDUC.EDUTECH</t>
  </si>
  <si>
    <t>Edutech</t>
  </si>
  <si>
    <t>edutech · kelas online · platform belajar · bimbel online</t>
  </si>
  <si>
    <t>EDUC.TESTPREP</t>
  </si>
  <si>
    <t>Test Prep &amp; Course</t>
  </si>
  <si>
    <t>Bimbel &amp; Kursus</t>
  </si>
  <si>
    <t>bimbel · try out · utbk · sertifikasi · bootcamp</t>
  </si>
  <si>
    <t>TRAVEL</t>
  </si>
  <si>
    <t>Travel &amp; Hospitality</t>
  </si>
  <si>
    <t>Wisata &amp; Perhotelan</t>
  </si>
  <si>
    <t>wisata · travel · hotel · destinasi</t>
  </si>
  <si>
    <t>TRAVEL.HOTEL</t>
  </si>
  <si>
    <t>Hotel &amp; Resort</t>
  </si>
  <si>
    <t>hotel · resort · staycation · menginap</t>
  </si>
  <si>
    <t>TRAVEL.OTA</t>
  </si>
  <si>
    <t>OTA &amp; Trip</t>
  </si>
  <si>
    <t>OTA &amp; Perjalanan</t>
  </si>
  <si>
    <t>tiket · booking · promo · open trip · itinerary</t>
  </si>
  <si>
    <t>HOMELIV</t>
  </si>
  <si>
    <t>rumah · hunian · peralatan rumah</t>
  </si>
  <si>
    <t>HOMELIV.HOMEESS</t>
  </si>
  <si>
    <t>Home Essentials</t>
  </si>
  <si>
    <t>Kebutuhan Rumah</t>
  </si>
  <si>
    <t>peralatan rumah · kebutuhan rumah · pembersih · dapur</t>
  </si>
  <si>
    <t>HOMELIV.FURN</t>
  </si>
  <si>
    <t>furnitur · mebel · dekorasi · sofa · rak</t>
  </si>
  <si>
    <t>AUTOM</t>
  </si>
  <si>
    <t>otomotif · kendaraan · dealer · showroom</t>
  </si>
  <si>
    <t>AUTOM.MOTOPART</t>
  </si>
  <si>
    <t>Motorcycle &amp; Parts</t>
  </si>
  <si>
    <t>Motor &amp; Sparepart</t>
  </si>
  <si>
    <t>motor · sparepart · oli · ban · servis</t>
  </si>
  <si>
    <t>AUTOM.CAREV</t>
  </si>
  <si>
    <t>Car &amp; EV</t>
  </si>
  <si>
    <t>Mobil &amp; Kendaraan Listrik</t>
  </si>
  <si>
    <t>mobil · ev · kendaraan listrik · dealer · test drive</t>
  </si>
  <si>
    <t>GAMENT</t>
  </si>
  <si>
    <t>Gaming &amp; Entertainment</t>
  </si>
  <si>
    <t>Gim &amp; Hiburan</t>
  </si>
  <si>
    <t>gim · game · hiburan · streaming</t>
  </si>
  <si>
    <t>GAMENT.MOBGAME</t>
  </si>
  <si>
    <t>Mobile Game</t>
  </si>
  <si>
    <t>mobile game · event in-game · top up · karakter baru</t>
  </si>
  <si>
    <t>GAMENT.STREAM</t>
  </si>
  <si>
    <t>Streaming &amp; Music</t>
  </si>
  <si>
    <t>Streaming &amp; Musik</t>
  </si>
  <si>
    <t>streaming · playlist · rilis · konser · series</t>
  </si>
  <si>
    <t>PARENT</t>
  </si>
  <si>
    <t>Parenting &amp; Baby</t>
  </si>
  <si>
    <t>Pengasuhan &amp; Bayi</t>
  </si>
  <si>
    <t>ibu · anak · bayi · keluarga · balita</t>
  </si>
  <si>
    <t>PARENT.FAMNUT</t>
  </si>
  <si>
    <t>Family Nutrition</t>
  </si>
  <si>
    <t>Nutrisi Keluarga</t>
  </si>
  <si>
    <t>nutrisi · susu · gizi · mpasi · tumbuh kembang</t>
  </si>
  <si>
    <t>PARENT.BABYCARE</t>
  </si>
  <si>
    <t>Baby Care</t>
  </si>
  <si>
    <t>Perawatan Bayi</t>
  </si>
  <si>
    <t>popok · bayi · newborn · perlengkapan bayi · stroller</t>
  </si>
  <si>
    <t>E. CROSSWALK  ·  brand niche → creator sub category. Every sub category of every category a niche spoke about, so the ladder can be read whole. A category absent here is one no niche has an opinion about, and matrix 5 governs it.</t>
  </si>
  <si>
    <t>Sub Cat. Code</t>
  </si>
  <si>
    <t>Creator Sub Category</t>
  </si>
  <si>
    <t>Parent Category</t>
  </si>
  <si>
    <t>Why</t>
  </si>
  <si>
    <t>Score</t>
  </si>
  <si>
    <t>Matrix 5 says</t>
  </si>
  <si>
    <t>Δ</t>
  </si>
  <si>
    <t>Named by the niche — this is the creator the brief is describing.</t>
  </si>
  <si>
    <t>Not named, while a sibling in this category was — so the silence is an answer.</t>
  </si>
  <si>
    <t>Reached by the niche, but not what it centres on.</t>
  </si>
  <si>
    <t>F. kol_categories → TAXONOMY  ·  the alias table the backend plan is waiting on (backend-validation-10-filters.md:170, owner: Product)  ·  the five names the 8 Sep 2026 audit measured</t>
  </si>
  <si>
    <t>Raw kol_categories.name</t>
  </si>
  <si>
    <t>Creators</t>
  </si>
  <si>
    <t>Maps to code</t>
  </si>
  <si>
    <t>Node</t>
  </si>
  <si>
    <t>Decision</t>
  </si>
  <si>
    <t>Maps cleanly to L1. Also the dumping ground: 2.522 of 4.174 categorised creators sit here, so on its own it barely narrows a search. Sub-category classification is what breaks it up.</t>
  </si>
  <si>
    <t>Maps cleanly to L1. With Lifestyle this is 90,9% of every categorised creator.</t>
  </si>
  <si>
    <t>Moms</t>
  </si>
  <si>
    <t>CONTENT + AUDIENCE</t>
  </si>
  <si>
    <t>The content half maps to Parenting → Momlife. The audience half — female, 25-44, parent — belongs on the audience axis and must not be reached through the category chip.</t>
  </si>
  <si>
    <t>Maps cleanly to L1.</t>
  </si>
  <si>
    <t>Gen Z</t>
  </si>
  <si>
    <t>Not a content category at all: an age band already carried by Audience Age 13-17 / 18-24. Keep the row for backward compatibility, drop it from the category chip, and answer the question with the audience filter built for it.</t>
  </si>
  <si>
    <t>23 more</t>
  </si>
  <si>
    <t>not read</t>
  </si>
  <si>
    <t>?</t>
  </si>
  <si>
    <t>The master table holds 28 rows and all 28 are in use; the 8 Sep 2026 audit measured only the five above. They are left blank rather than guessed — run npm run taxonomy:fetch on the office VPN and they fill in from the server itself.</t>
  </si>
  <si>
    <t>G. CLASSIFYING THE 3.547 CREATORS WITH NO CATEGORY  ·  how a node gets assigned, and what the assignment is then allowed to do</t>
  </si>
  <si>
    <t>Step</t>
  </si>
  <si>
    <t>Detail</t>
  </si>
  <si>
    <t>1. Source of truth</t>
  </si>
  <si>
    <t>An existing kol_categories row always wins</t>
  </si>
  <si>
    <t>If the creator already has category_ids, map them through the alias table and stop. A keyword hit never overwrites a human classification.</t>
  </si>
  <si>
    <t>2. Evidence</t>
  </si>
  <si>
    <t>Bio first, then captions, then audience interest</t>
  </si>
  <si>
    <t>The bio is the creator describing themselves — weight ×2. Recent captions weight ×1. Audience interest is a tie-break only: what an audience likes is not what the creator makes.</t>
  </si>
  <si>
    <t>3. Scoring</t>
  </si>
  <si>
    <t>A keyword hit scores by the level it belongs to</t>
  </si>
  <si>
    <t>A Content Topic (L3) hit scores 3, a Sub Category (L2) hit 2, a Category (L1) hit 1, each multiplied by the evidence weight. Scores roll up — an L3 hit credits its parents too.</t>
  </si>
  <si>
    <t>4. Assignment</t>
  </si>
  <si>
    <t>Assign the level the evidence actually supports</t>
  </si>
  <si>
    <t>Leader ≥ 6 points and ahead of the runner-up by ≥ 2 → assign L2 and its L1. Leader ≥ 3 → assign L1 only. Otherwise leave Uncategorized. At most 3 categories per creator; the DB allows 5 and 1.183 creators already carry more than one.</t>
  </si>
  <si>
    <t>5. Confidence</t>
  </si>
  <si>
    <t>Carry the basis, the way SignalBasis already does</t>
  </si>
  <si>
    <t>live = mapped from kol_categories · calculated = keyword classification above threshold · estimated = L1-only fallback. Discovery may rank on any of the three.</t>
  </si>
  <si>
    <t>6. The hard rule</t>
  </si>
  <si>
    <t>A modelled category ranks; it never gates</t>
  </si>
  <si>
    <t>Category as a HARD FILTER is legitimate only against a live basis. Applied to an estimated one it silently deletes creators on the strength of a guess — the same mistake as the preset chips that ranked by a hash of the creator id.</t>
  </si>
  <si>
    <t>ROLL-UP  ·  counted from the tables above, not typed</t>
  </si>
  <si>
    <t>L1 Categories</t>
  </si>
  <si>
    <t>L2 Sub Categories</t>
  </si>
  <si>
    <t>L3 Content Topics</t>
  </si>
  <si>
    <t>Creator nodes in total</t>
  </si>
  <si>
    <t>Brand industries</t>
  </si>
  <si>
    <t>Brand niches</t>
  </si>
  <si>
    <t>Crosswalk rows</t>
  </si>
  <si>
    <t>— PRIMARY, named by the niche</t>
  </si>
  <si>
    <t>— SECONDARY, reached by the niche</t>
  </si>
  <si>
    <t>— siblings the niche passed over</t>
  </si>
  <si>
    <t>Rows the taxonomy lifts above matrix 5</t>
  </si>
  <si>
    <t>Rows it cuts below matrix 5</t>
  </si>
  <si>
    <t>kol_categories rows mapped so far, of 28</t>
  </si>
  <si>
    <t>SAMPLE BRANDS  ·  three briefs, one roster</t>
  </si>
  <si>
    <t>Columns A–X mirror Brand_Profile — they are lookups, not copies, so a change on Brand_Profile lands here. Columns Y–AD are the outcome: how many creators each brief keeps, how well they score and who wins. Three different answers from one KOL_Database is the whole claim of the workbook, and this is where it is legible in six numbers.</t>
  </si>
  <si>
    <t>Primary Age</t>
  </si>
  <si>
    <t>Secondary Age</t>
  </si>
  <si>
    <t>Target Region</t>
  </si>
  <si>
    <t>Audience Priority</t>
  </si>
  <si>
    <t>Min ER (%)</t>
  </si>
  <si>
    <t>Min Audience Quality</t>
  </si>
  <si>
    <t>Min Brand Safety</t>
  </si>
  <si>
    <t>Eligible Creators</t>
  </si>
  <si>
    <t>Excluded Creators</t>
  </si>
  <si>
    <t>Average Match (eligible)</t>
  </si>
  <si>
    <t>Highest Match</t>
  </si>
  <si>
    <t>Best-Matched Creator</t>
  </si>
  <si>
    <t>Excellent + Strong</t>
  </si>
  <si>
    <t>SAMPLE OUTPUT  ·  the same creator, scored against all three brands</t>
  </si>
  <si>
    <t>The proof that Brand Match is a function of (brand, creator). If this engine were really ranking creators globally, the three score columns would be identical and Score Spread would be zero on every row. Read the roll-up under the table.</t>
  </si>
  <si>
    <t>BRAND-A Score</t>
  </si>
  <si>
    <t>BRAND-A Level</t>
  </si>
  <si>
    <t>BRAND-A Rank</t>
  </si>
  <si>
    <t>BRAND-B Score</t>
  </si>
  <si>
    <t>BRAND-B Level</t>
  </si>
  <si>
    <t>BRAND-B Rank</t>
  </si>
  <si>
    <t>BRAND-C Score</t>
  </si>
  <si>
    <t>BRAND-C Level</t>
  </si>
  <si>
    <t>BRAND-C Rank</t>
  </si>
  <si>
    <t>Score Spread</t>
  </si>
  <si>
    <t>Best-Fit Brand</t>
  </si>
  <si>
    <t>Same score for all three?</t>
  </si>
  <si>
    <t>VERIFICATION  ·  counted from the table above</t>
  </si>
  <si>
    <t>Creators scored</t>
  </si>
  <si>
    <t>Creators whose three scores are identical</t>
  </si>
  <si>
    <t>Should be 0. Any row here would mean the brand inputs made no difference to that creator.</t>
  </si>
  <si>
    <t>Average score spread across the three brands</t>
  </si>
  <si>
    <t>How far apart the three briefs place the average creator.</t>
  </si>
  <si>
    <t>Largest score spread</t>
  </si>
  <si>
    <t>Smallest score spread</t>
  </si>
  <si>
    <t>Brand-dependence verdict</t>
  </si>
  <si>
    <t>TOP 5 PER BRAND  ·  pulled from the score columns above, so it re-sorts itself when an input changes</t>
  </si>
  <si>
    <t>#</t>
  </si>
  <si>
    <t>BRAND-A — Nusatech Cloud</t>
  </si>
  <si>
    <t>BRAND-B — Lumaya Skin</t>
  </si>
  <si>
    <t>BRAND-C — Rasa Nusantara</t>
  </si>
  <si>
    <t>LOOKUP LISTS — vocabularies, relevance matrices and calibration</t>
  </si>
  <si>
    <t>Everything the engine reads that is not a Brand_Profile field or a KOL_Database field lives here. Edit a weight or a matrix cell and every score in the workbook moves — that is the point of the sheet.</t>
  </si>
  <si>
    <t>1. DROPDOWN LISTS  ·  the allowed values for every list field in Brand_Profile and KOL_Database</t>
  </si>
  <si>
    <t>SubCategory</t>
  </si>
  <si>
    <t>AgeBand</t>
  </si>
  <si>
    <t>GenderMajority</t>
  </si>
  <si>
    <t>Country</t>
  </si>
  <si>
    <t>Region</t>
  </si>
  <si>
    <t>City</t>
  </si>
  <si>
    <t>ContentStyle</t>
  </si>
  <si>
    <t>CreatorPersonality</t>
  </si>
  <si>
    <t>BrandPersonality</t>
  </si>
  <si>
    <t>BrandTone</t>
  </si>
  <si>
    <t>CommStyle</t>
  </si>
  <si>
    <t>Value</t>
  </si>
  <si>
    <t>Positioning</t>
  </si>
  <si>
    <t>Niche</t>
  </si>
  <si>
    <t>PurchaseIntent</t>
  </si>
  <si>
    <t>RiskFlag</t>
  </si>
  <si>
    <t>YesNo</t>
  </si>
  <si>
    <t>AudiencePriority</t>
  </si>
  <si>
    <t>MatchLevel</t>
  </si>
  <si>
    <t>DataStatus</t>
  </si>
  <si>
    <t>BrandID</t>
  </si>
  <si>
    <t>Component</t>
  </si>
  <si>
    <t>RankingPreset</t>
  </si>
  <si>
    <t>Nano</t>
  </si>
  <si>
    <t>13-17</t>
  </si>
  <si>
    <t>Technology</t>
  </si>
  <si>
    <t>Formal</t>
  </si>
  <si>
    <t>Trust</t>
  </si>
  <si>
    <t>Live</t>
  </si>
  <si>
    <t>Micro</t>
  </si>
  <si>
    <t>Male</t>
  </si>
  <si>
    <t>Malaysia</t>
  </si>
  <si>
    <t>Innovation</t>
  </si>
  <si>
    <t>Calculated</t>
  </si>
  <si>
    <t>Mid-tier</t>
  </si>
  <si>
    <t>Singapore</t>
  </si>
  <si>
    <t>Demonstrative</t>
  </si>
  <si>
    <t>Quality</t>
  </si>
  <si>
    <t>Limited Data</t>
  </si>
  <si>
    <t>Estimated</t>
  </si>
  <si>
    <t>Macro</t>
  </si>
  <si>
    <t>Philippines</t>
  </si>
  <si>
    <t>Conversational</t>
  </si>
  <si>
    <t>Transparency</t>
  </si>
  <si>
    <t>Location</t>
  </si>
  <si>
    <t>Mega</t>
  </si>
  <si>
    <t>45+</t>
  </si>
  <si>
    <t>Thailand</t>
  </si>
  <si>
    <t>Productivity</t>
  </si>
  <si>
    <t>Playful</t>
  </si>
  <si>
    <t>Data-driven</t>
  </si>
  <si>
    <t>Sustainability</t>
  </si>
  <si>
    <t>Luxury</t>
  </si>
  <si>
    <t>Excluded</t>
  </si>
  <si>
    <t>Vietnam</t>
  </si>
  <si>
    <t>Inspiring</t>
  </si>
  <si>
    <t>Affordability</t>
  </si>
  <si>
    <t>Authentic</t>
  </si>
  <si>
    <t>Straightforward</t>
  </si>
  <si>
    <t>Community</t>
  </si>
  <si>
    <t>Makassar</t>
  </si>
  <si>
    <t>Bold</t>
  </si>
  <si>
    <t>Testimonial</t>
  </si>
  <si>
    <t>Empowerment</t>
  </si>
  <si>
    <t>Caring</t>
  </si>
  <si>
    <t>Authenticity</t>
  </si>
  <si>
    <t>Sulawesi Selatan</t>
  </si>
  <si>
    <t>Shopping</t>
  </si>
  <si>
    <t>Modern</t>
  </si>
  <si>
    <t>Craftsmanship</t>
  </si>
  <si>
    <t>Health</t>
  </si>
  <si>
    <t>Cooking</t>
  </si>
  <si>
    <t>Family</t>
  </si>
  <si>
    <t>Coffee</t>
  </si>
  <si>
    <t>Fun</t>
  </si>
  <si>
    <t>Home Decor</t>
  </si>
  <si>
    <t>2. SUB CATEGORY → PARENT CATEGORY  ·  used by the Category Match and Sub Category Match ladders</t>
  </si>
  <si>
    <t>3. TIER BANDS  ·  the thresholds tierOf() uses in @/lib/discover/vocab; KOL_Database.Tier is derived from them</t>
  </si>
  <si>
    <t>Min Followers</t>
  </si>
  <si>
    <t>Max Followers</t>
  </si>
  <si>
    <t>4. WEIGHTS, BANDS AND CALIBRATION  ·  every constant the engine uses. Nothing is hard-coded inside a formula.</t>
  </si>
  <si>
    <t>Block</t>
  </si>
  <si>
    <t>Constant</t>
  </si>
  <si>
    <t>What it does</t>
  </si>
  <si>
    <t>COMPONENT WEIGHTS (must total 100)</t>
  </si>
  <si>
    <t>W_BRAND_BUSINESS</t>
  </si>
  <si>
    <t>Weight of component 1 in the Final Match Score.</t>
  </si>
  <si>
    <t>W_TARGET_AUDIENCE</t>
  </si>
  <si>
    <t>Weight of component 2.</t>
  </si>
  <si>
    <t>W_CONTENT_CATEGORY</t>
  </si>
  <si>
    <t>Weight of component 3.</t>
  </si>
  <si>
    <t>W_PERSONALITY</t>
  </si>
  <si>
    <t>Weight of component 4.</t>
  </si>
  <si>
    <t>W_PERFORMANCE</t>
  </si>
  <si>
    <t>Weight of component 5.</t>
  </si>
  <si>
    <t>W_SAFETY</t>
  </si>
  <si>
    <t>Weight of component 6.</t>
  </si>
  <si>
    <t>BRAND &amp; BUSINESS SUB-WEIGHTS</t>
  </si>
  <si>
    <t>W_BB_INDUSTRY</t>
  </si>
  <si>
    <t>Brand Industry against the creator Category, via matrix 5.</t>
  </si>
  <si>
    <t>W_BB_CATEGORY</t>
  </si>
  <si>
    <t>Product / Service Category against the creator Sub Category.</t>
  </si>
  <si>
    <t>W_BB_KEYWORD</t>
  </si>
  <si>
    <t>Main Business Keywords and Brand Keywords found in the creator topics, interests, category and sub category — the two overlap scores averaged.</t>
  </si>
  <si>
    <t>TARGET AUDIENCE SUB-WEIGHTS (base)</t>
  </si>
  <si>
    <t>W_TA_AGE</t>
  </si>
  <si>
    <t>Base weight before Audience Demographics Priority is applied.</t>
  </si>
  <si>
    <t>W_TA_GENDER</t>
  </si>
  <si>
    <t>Base weight.</t>
  </si>
  <si>
    <t>W_TA_LOCATION</t>
  </si>
  <si>
    <t>W_TA_INTEREST</t>
  </si>
  <si>
    <t>Priority bonus</t>
  </si>
  <si>
    <t>W_TA_PRIORITY_BONUS</t>
  </si>
  <si>
    <t>Points added to the dimension named by Audience Demographics Priority; the other three give up a third each, so the four still total 100.</t>
  </si>
  <si>
    <t>LOCATION SUB-WEIGHTS</t>
  </si>
  <si>
    <t>W_LOC_COUNTRY</t>
  </si>
  <si>
    <t>Share of Location Match carried by Audience Country.</t>
  </si>
  <si>
    <t>W_LOC_REGION</t>
  </si>
  <si>
    <t>Share carried by Audience Region.</t>
  </si>
  <si>
    <t>W_LOC_CITY</t>
  </si>
  <si>
    <t>Share carried by Audience City.</t>
  </si>
  <si>
    <t>CONTENT &amp; CATEGORY SUB-WEIGHTS</t>
  </si>
  <si>
    <t>W_CC_CATEGORY</t>
  </si>
  <si>
    <t>Preferred Category against creator Category, via matrix 6.</t>
  </si>
  <si>
    <t>W_CC_SUBCATEGORY</t>
  </si>
  <si>
    <t>Preferred Sub Category against creator Sub Category.</t>
  </si>
  <si>
    <t>W_CC_TOPIC</t>
  </si>
  <si>
    <t>Preferred Content Topics found in creator topics and interests.</t>
  </si>
  <si>
    <t>W_CC_STYLE</t>
  </si>
  <si>
    <t>Preferred Content Style against creator Content Style, via matrix 9.</t>
  </si>
  <si>
    <t>PERSONALITY SUB-WEIGHTS</t>
  </si>
  <si>
    <t>W_BP_PERSONALITY</t>
  </si>
  <si>
    <t>Brand Personality against Creator Personality, via matrix 7.</t>
  </si>
  <si>
    <t>W_BP_TONE</t>
  </si>
  <si>
    <t>Brand Tone against Content Style, via matrix 8.</t>
  </si>
  <si>
    <t>W_BP_VALUES</t>
  </si>
  <si>
    <t>Brand Values and Preferred Creator Values against Creator Values.</t>
  </si>
  <si>
    <t>W_BP_COMM</t>
  </si>
  <si>
    <t>Communication Style against Content Style, via matrix 8b.</t>
  </si>
  <si>
    <t>PERFORMANCE SUB-WEIGHTS</t>
  </si>
  <si>
    <t>W_PQ_ER</t>
  </si>
  <si>
    <t>Share of Performance Quality.</t>
  </si>
  <si>
    <t>W_PQ_AUDIENCE</t>
  </si>
  <si>
    <t>W_PQ_CONSISTENCY</t>
  </si>
  <si>
    <t>W_PQ_COMMUNITY</t>
  </si>
  <si>
    <t>W_PQ_VIEWS</t>
  </si>
  <si>
    <t>Share of Performance Quality, normalised as views per follower.</t>
  </si>
  <si>
    <t>Recent Growth</t>
  </si>
  <si>
    <t>W_PQ_GROWTH</t>
  </si>
  <si>
    <t>Share of Performance Quality, from 30D Growth.</t>
  </si>
  <si>
    <t>BRAND SAFETY SUB-WEIGHTS</t>
  </si>
  <si>
    <t>W_BS_BASE</t>
  </si>
  <si>
    <t>Brand Safety Score is the primary metric, as the spec requires.</t>
  </si>
  <si>
    <t>W_BS_SATURATION</t>
  </si>
  <si>
    <t>Saturation lowers the score but never excludes on its own — only Max Competitor Saturation does.</t>
  </si>
  <si>
    <t>RISK MULTIPLIERS</t>
  </si>
  <si>
    <t>Risk Flag = High</t>
  </si>
  <si>
    <t>RISK_HIGH</t>
  </si>
  <si>
    <t>Applied to Brand Safety. A flag discounts the score; it does not zero it.</t>
  </si>
  <si>
    <t>Risk Flag = Medium</t>
  </si>
  <si>
    <t>RISK_MEDIUM</t>
  </si>
  <si>
    <t>Applied to Brand Safety.</t>
  </si>
  <si>
    <t>Risk Flag = Low</t>
  </si>
  <si>
    <t>RISK_LOW</t>
  </si>
  <si>
    <t>Risk Flag = None</t>
  </si>
  <si>
    <t>RISK_NONE</t>
  </si>
  <si>
    <t>No discount.</t>
  </si>
  <si>
    <t>NORMALISATION TARGETS</t>
  </si>
  <si>
    <t>Engagement Rate = 100 at</t>
  </si>
  <si>
    <t>CAL_ER_TARGET</t>
  </si>
  <si>
    <t>ER in percent that scores 100 on the Performance component.</t>
  </si>
  <si>
    <t>Primary-band audience share = 100 at</t>
  </si>
  <si>
    <t>CAL_AGE_TARGET</t>
  </si>
  <si>
    <t>Primary age band share (plus half the secondary) that scores 100 on Age Match.</t>
  </si>
  <si>
    <t>Gender majority = 100 at</t>
  </si>
  <si>
    <t>CAL_GENDER_TARGET</t>
  </si>
  <si>
    <t>Female (or Male) share that scores 100 when Gender Majority names one.</t>
  </si>
  <si>
    <t>Views per follower = 100 at</t>
  </si>
  <si>
    <t>CAL_VFR_TARGET</t>
  </si>
  <si>
    <t>View-to-follower ratio that scores 100 on Average Views.</t>
  </si>
  <si>
    <t>30D Growth = 100 at</t>
  </si>
  <si>
    <t>CAL_GROWTH_TARGET</t>
  </si>
  <si>
    <t>Monthly follower growth in percent that scores 100. -2% scores 0.</t>
  </si>
  <si>
    <t>Value per engagement (IDR)</t>
  </si>
  <si>
    <t>CAL_VALUE_PER_ENG</t>
  </si>
  <si>
    <t>Earned value of one engagement, used by Estimated ROI.</t>
  </si>
  <si>
    <t>Estimated Reach — views factor</t>
  </si>
  <si>
    <t>CAL_REACH_VIEWS</t>
  </si>
  <si>
    <t>Estimated Reach = Average Views x this + Followers x the next.</t>
  </si>
  <si>
    <t>Estimated Reach — followers factor</t>
  </si>
  <si>
    <t>CAL_REACH_FOLL</t>
  </si>
  <si>
    <t>See above.</t>
  </si>
  <si>
    <t>Median CPE across the roster</t>
  </si>
  <si>
    <t>CAL_MEDIAN_CPE</t>
  </si>
  <si>
    <t>Derived. Cost Efficiency is this divided by the creator CPE.</t>
  </si>
  <si>
    <t>No-preference score</t>
  </si>
  <si>
    <t>CAL_NEUTRAL</t>
  </si>
  <si>
    <t>What a comparison scores when the brand left the field blank — neither a reward nor a penalty.</t>
  </si>
  <si>
    <t>Unrelated floor</t>
  </si>
  <si>
    <t>CAL_UNRELATED</t>
  </si>
  <si>
    <t>Bottom of the 100/80/60/40/20 relevance ladder.</t>
  </si>
  <si>
    <t>MATCH LEVEL BANDS</t>
  </si>
  <si>
    <t>Excellent Match at</t>
  </si>
  <si>
    <t>BAND_EXCELLENT</t>
  </si>
  <si>
    <t>Final Match Score at or above this.</t>
  </si>
  <si>
    <t>Strong Match at</t>
  </si>
  <si>
    <t>BAND_STRONG</t>
  </si>
  <si>
    <t>Good Match at</t>
  </si>
  <si>
    <t>BAND_GOOD</t>
  </si>
  <si>
    <t>Moderate Match at</t>
  </si>
  <si>
    <t>BAND_MODERATE</t>
  </si>
  <si>
    <t>Below this is a Low Match — still visible unless Minimum Brand Match is set.</t>
  </si>
  <si>
    <t>RECOMMENDATION BANDS</t>
  </si>
  <si>
    <t>Highly Recommended at</t>
  </si>
  <si>
    <t>REC_HIGH</t>
  </si>
  <si>
    <t>Final Match Score at or above this, and not excluded.</t>
  </si>
  <si>
    <t>Recommended at</t>
  </si>
  <si>
    <t>REC_MID</t>
  </si>
  <si>
    <t>Consider at</t>
  </si>
  <si>
    <t>REC_LOW</t>
  </si>
  <si>
    <t>Below this is Low Priority.</t>
  </si>
  <si>
    <t>CONFIDENCE BANDS</t>
  </si>
  <si>
    <t>High at data completeness</t>
  </si>
  <si>
    <t>CONF_HIGH</t>
  </si>
  <si>
    <t>Percent of the 12 tracked KOL fields that carry a value.</t>
  </si>
  <si>
    <t>Medium at data completeness</t>
  </si>
  <si>
    <t>CONF_MEDIUM</t>
  </si>
  <si>
    <t>Below this is Limited Data.</t>
  </si>
  <si>
    <t>EXPLANATION</t>
  </si>
  <si>
    <t>Consideration threshold</t>
  </si>
  <si>
    <t>EXP_CONSIDERATION</t>
  </si>
  <si>
    <t>A component below this is written up as a consideration rather than a strength.</t>
  </si>
  <si>
    <t>OPPORTUNITY SUB-WEIGHTS</t>
  </si>
  <si>
    <t>Head-room (100 - saturation)</t>
  </si>
  <si>
    <t>W_OP_HEADROOM</t>
  </si>
  <si>
    <t>Share of Opportunity Score.</t>
  </si>
  <si>
    <t>W_OP_COST</t>
  </si>
  <si>
    <t>W_OP_GROWTH</t>
  </si>
  <si>
    <t>W_OP_ER</t>
  </si>
  <si>
    <t>CHECK</t>
  </si>
  <si>
    <t>Component weights total</t>
  </si>
  <si>
    <t>CHECK_WEIGHT_TOTAL</t>
  </si>
  <si>
    <t>5. INDUSTRY × CREATOR CATEGORY  ·  drives Industry Match. 100 exact · 80 strongly related · 60 partially · 40 weakly · 20 unrelated</t>
  </si>
  <si>
    <t>↓ brand / creator →</t>
  </si>
  <si>
    <t>6. CATEGORY × CATEGORY  ·  drives Content Category Match and the Category Match fallback</t>
  </si>
  <si>
    <t>7. BRAND PERSONALITY × CREATOR PERSONALITY  ·  related matches count. Innovative is answered by Tech-savvy and Creative, not only by "Innovative".</t>
  </si>
  <si>
    <t>8. BRAND TONE × CONTENT STYLE  ·  drives Tone vs Content Style</t>
  </si>
  <si>
    <t>8b. COMMUNICATION STYLE × CONTENT STYLE  ·  drives Communication Style Match</t>
  </si>
  <si>
    <t>9. CONTENT STYLE × CONTENT STYLE  ·  drives Content Style Match</t>
  </si>
  <si>
    <t>10. RANKING PRESETS  ·  the Discovery_Ranking preset picker reads this table. "Available today" is the prototype answer, not an aspiration.</t>
  </si>
  <si>
    <t>Preset</t>
  </si>
  <si>
    <t>Ranked by</t>
  </si>
  <si>
    <t>Direction</t>
  </si>
  <si>
    <t>Available today</t>
  </si>
  <si>
    <t>desc</t>
  </si>
  <si>
    <t>Engagement Quality Index</t>
  </si>
  <si>
    <t>Rising Score</t>
  </si>
  <si>
    <t>asc</t>
  </si>
  <si>
    <t>Trending Score</t>
  </si>
  <si>
    <t>Relevance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</si>
</sst>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yyyy-mm-dd"/>
    <numFmt numFmtId="166" formatCode="0.000"/>
    <numFmt numFmtId="167" formatCode="0.00000000"/>
  </numFmts>
  <fonts count="15" x14ac:knownFonts="1">
    <font>
      <color theme="1"/>
      <family val="2"/>
      <scheme val="minor"/>
      <sz val="11"/>
      <name val="Calibri"/>
    </font>
    <font>
      <b/>
      <color rgb="FFFFFFFF"/>
      <sz val="13"/>
      <name val="Calibri"/>
    </font>
    <font>
      <i/>
      <color rgb="FF6B7280"/>
      <sz val="9"/>
      <name val="Calibri"/>
    </font>
    <font>
      <b/>
      <color rgb="FFFFFFFF"/>
      <sz val="11"/>
      <name val="Calibri"/>
    </font>
    <font>
      <b/>
      <color rgb="FF111827"/>
      <sz val="9"/>
      <name val="Calibri"/>
    </font>
    <font>
      <color rgb="FF111827"/>
      <sz val="10"/>
      <name val="Calibri"/>
    </font>
    <font>
      <b/>
      <color rgb="FF15325B"/>
      <sz val="12"/>
      <name val="Calibri"/>
    </font>
    <font>
      <b/>
      <color rgb="FF111827"/>
      <sz val="10"/>
      <name val="Calibri"/>
    </font>
    <font>
      <b/>
      <color rgb="FF111827"/>
      <sz val="11"/>
      <name val="Calibri"/>
    </font>
    <font>
      <color rgb="FF6B7280"/>
      <sz val="8"/>
      <name val="Calibri"/>
    </font>
    <font>
      <b/>
      <color rgb="FFFFFFFF"/>
      <sz val="9"/>
      <name val="Calibri"/>
    </font>
    <font>
      <b/>
      <color rgb="FFFFFFFF"/>
      <sz val="10"/>
      <name val="Calibri"/>
    </font>
    <font>
      <color rgb="FF6B7280"/>
      <sz val="9"/>
      <name val="Calibri"/>
    </font>
    <font>
      <color rgb="FF111827"/>
      <sz val="9"/>
      <name val="Calibri"/>
    </font>
    <font>
      <b/>
      <color rgb="FFFFFFFF"/>
      <sz val="8"/>
      <name val="Calibri"/>
    </font>
  </fonts>
  <fills count="10">
    <fill>
      <patternFill patternType="none"/>
    </fill>
    <fill>
      <patternFill patternType="gray125"/>
    </fill>
    <fill>
      <patternFill patternType="solid">
        <fgColor rgb="FF15325B"/>
      </patternFill>
    </fill>
    <fill>
      <patternFill patternType="solid">
        <fgColor rgb="FF1F2937"/>
      </patternFill>
    </fill>
    <fill>
      <patternFill patternType="solid">
        <fgColor rgb="FFEFF6FF"/>
      </patternFill>
    </fill>
    <fill>
      <patternFill patternType="solid">
        <fgColor rgb="FFF3F4F6"/>
      </patternFill>
    </fill>
    <fill>
      <patternFill patternType="solid">
        <fgColor rgb="FFFFF8E1"/>
      </patternFill>
    </fill>
    <fill>
      <patternFill patternType="solid">
        <fgColor rgb="FF334E68"/>
      </patternFill>
    </fill>
    <fill>
      <patternFill patternType="solid">
        <fgColor rgb="FFF0F6FF"/>
      </patternFill>
    </fill>
    <fill>
      <patternFill patternType="solid">
        <fgColor rgb="FFFAFAFA"/>
      </patternFill>
    </fill>
  </fills>
  <borders count="7">
    <border>
      <left/>
      <right/>
      <top/>
      <bottom/>
      <diagonal/>
    </border>
    <border>
      <left style="thin">
        <color rgb="FF15325B"/>
      </left>
      <right style="thin">
        <color rgb="FF15325B"/>
      </right>
      <top style="thin">
        <color rgb="FF15325B"/>
      </top>
      <bottom style="thin">
        <color rgb="FF15325B"/>
      </bottom>
      <diagonal/>
    </border>
    <border>
      <left style="thin">
        <color rgb="FFE5E7EB"/>
      </left>
      <right style="thin">
        <color rgb="FFE5E7EB"/>
      </right>
      <top style="thin">
        <color rgb="FFE5E7EB"/>
      </top>
      <bottom style="thin">
        <color rgb="FFE5E7EB"/>
      </bottom>
      <diagonal/>
    </border>
    <border>
      <left style="thin">
        <color rgb="FFF59E0B"/>
      </left>
      <right style="thin">
        <color rgb="FFF59E0B"/>
      </right>
      <top style="thin">
        <color rgb="FFF59E0B"/>
      </top>
      <bottom style="thin">
        <color rgb="FFF59E0B"/>
      </bottom>
      <diagonal/>
    </border>
    <border>
      <left style="thin">
        <color rgb="FF0F172A"/>
      </left>
      <right style="thin">
        <color rgb="FF0F172A"/>
      </right>
      <top style="thin">
        <color rgb="FF0F172A"/>
      </top>
      <bottom style="thin">
        <color rgb="FF0F172A"/>
      </bottom>
      <diagonal/>
    </border>
    <border>
      <left style="thin">
        <color rgb="FFE8C77B"/>
      </left>
      <right style="thin">
        <color rgb="FFE8C77B"/>
      </right>
      <top style="thin">
        <color rgb="FFE8C77B"/>
      </top>
      <bottom style="thin">
        <color rgb="FFE8C77B"/>
      </bottom>
      <diagonal/>
    </border>
    <border>
      <left style="thin">
        <color rgb="FF1F2937"/>
      </left>
      <right style="thin">
        <color rgb="FF1F2937"/>
      </right>
      <top style="thin">
        <color rgb="FF1F2937"/>
      </top>
      <bottom style="thin">
        <color rgb="FF1F2937"/>
      </bottom>
      <diagonal/>
    </border>
  </borders>
  <cellStyleXfs count="1">
    <xf numFmtId="0" fontId="0" fillId="0" borderId="0"/>
  </cellStyleXfs>
  <cellXfs count="89">
    <xf numFmtId="0" fontId="0" fillId="0" borderId="0" xfId="0"/>
    <xf numFmtId="0" fontId="1" fillId="2" borderId="0" xfId="0" applyFont="1" applyFill="1" applyAlignment="1">
      <alignment vertical="center" indent="1"/>
    </xf>
    <xf numFmtId="0" fontId="2" fillId="0" borderId="0" xfId="0" applyFont="1" applyAlignment="1">
      <alignment vertical="center" wrapText="1" indent="1"/>
    </xf>
    <xf numFmtId="0" fontId="3" fillId="3" borderId="0" xfId="0" applyFont="1" applyFill="1" applyAlignment="1">
      <alignment vertical="center" indent="1"/>
    </xf>
    <xf numFmtId="0" fontId="4" fillId="0" borderId="0" xfId="0" applyFont="1" applyAlignment="1">
      <alignment vertical="center" wrapText="1"/>
    </xf>
    <xf numFmtId="0" fontId="5" fillId="0" borderId="0" xfId="0" applyFont="1" applyAlignment="1">
      <alignment vertical="center" wrapText="1"/>
    </xf>
    <xf numFmtId="0" fontId="6" fillId="4" borderId="1" xfId="0" applyFont="1" applyFill="1" applyBorder="1" applyAlignment="1">
      <alignment horizontal="center" vertical="center" wrapText="1"/>
    </xf>
    <xf numFmtId="0" fontId="7" fillId="5" borderId="2" xfId="0" applyFont="1" applyFill="1" applyBorder="1" applyAlignment="1">
      <alignment vertical="center"/>
    </xf>
    <xf numFmtId="0" fontId="8" fillId="6" borderId="3" xfId="0" applyFont="1" applyFill="1" applyBorder="1" applyAlignment="1">
      <alignment horizontal="center" vertical="center"/>
    </xf>
    <xf numFmtId="0" fontId="5" fillId="0" borderId="0" xfId="0" applyFont="1" applyAlignment="1">
      <alignment vertical="center"/>
    </xf>
    <xf numFmtId="0" fontId="9" fillId="0" borderId="0" xfId="0" applyFont="1" applyAlignment="1">
      <alignment vertical="center"/>
    </xf>
    <xf numFmtId="0" fontId="9" fillId="0" borderId="0" xfId="0" applyFont="1"/>
    <xf numFmtId="0" fontId="10" fillId="3" borderId="4" xfId="0" applyFont="1" applyFill="1" applyBorder="1" applyAlignment="1">
      <alignment horizontal="center" vertical="center" wrapText="1"/>
    </xf>
    <xf numFmtId="0" fontId="11" fillId="7" borderId="0" xfId="0" applyFont="1" applyFill="1" applyAlignment="1">
      <alignment vertical="center" indent="1"/>
    </xf>
    <xf numFmtId="0" fontId="9" fillId="0" borderId="2" xfId="0" applyFont="1" applyBorder="1" applyAlignment="1">
      <alignment vertical="center"/>
    </xf>
    <xf numFmtId="0" fontId="4" fillId="0" borderId="2" xfId="0" applyFont="1" applyBorder="1" applyAlignment="1">
      <alignment vertical="center"/>
    </xf>
    <xf numFmtId="0" fontId="12" fillId="0" borderId="2" xfId="0" applyFont="1" applyBorder="1" applyAlignment="1">
      <alignment vertical="center"/>
    </xf>
    <xf numFmtId="0" fontId="13" fillId="6" borderId="5" xfId="0" applyFont="1" applyFill="1" applyBorder="1" applyAlignment="1">
      <alignment vertical="center" wrapText="1"/>
    </xf>
    <xf numFmtId="0" fontId="4" fillId="8" borderId="2" xfId="0" applyFont="1" applyFill="1" applyBorder="1" applyAlignment="1">
      <alignment vertical="center" wrapText="1"/>
    </xf>
    <xf numFmtId="0" fontId="9" fillId="0" borderId="2" xfId="0" applyFont="1" applyBorder="1" applyAlignment="1">
      <alignment vertical="center" wrapText="1"/>
    </xf>
    <xf numFmtId="3" fontId="13" fillId="6" borderId="5" xfId="0" applyNumberFormat="1" applyFont="1" applyFill="1" applyBorder="1" applyAlignment="1">
      <alignment vertical="center" wrapText="1"/>
    </xf>
    <xf numFmtId="3" fontId="4" fillId="8" borderId="2" xfId="0" applyNumberFormat="1" applyFont="1" applyFill="1" applyBorder="1" applyAlignment="1">
      <alignment vertical="center" wrapText="1"/>
    </xf>
    <xf numFmtId="164" fontId="13" fillId="6" borderId="5" xfId="0" applyNumberFormat="1" applyFont="1" applyFill="1" applyBorder="1" applyAlignment="1">
      <alignment vertical="center" wrapText="1"/>
    </xf>
    <xf numFmtId="164" fontId="4" fillId="8" borderId="2" xfId="0" applyNumberFormat="1" applyFont="1" applyFill="1" applyBorder="1" applyAlignment="1">
      <alignment vertical="center" wrapText="1"/>
    </xf>
    <xf numFmtId="1" fontId="13" fillId="6" borderId="5" xfId="0" applyNumberFormat="1" applyFont="1" applyFill="1" applyBorder="1" applyAlignment="1">
      <alignment vertical="center" wrapText="1"/>
    </xf>
    <xf numFmtId="1" fontId="4" fillId="8" borderId="2" xfId="0" applyNumberFormat="1" applyFont="1" applyFill="1" applyBorder="1" applyAlignment="1">
      <alignment vertical="center" wrapText="1"/>
    </xf>
    <xf numFmtId="0" fontId="11" fillId="3" borderId="0" xfId="0" applyFont="1" applyFill="1" applyAlignment="1">
      <alignment vertical="center" indent="1"/>
    </xf>
    <xf numFmtId="0" fontId="13" fillId="8" borderId="2" xfId="0" applyFont="1" applyFill="1" applyBorder="1"/>
    <xf numFmtId="0" fontId="13" fillId="0" borderId="2" xfId="0" applyFont="1" applyBorder="1" applyAlignment="1">
      <alignment vertical="center"/>
    </xf>
    <xf numFmtId="0" fontId="4" fillId="8" borderId="2" xfId="0" applyFont="1" applyFill="1" applyBorder="1" applyAlignment="1">
      <alignment horizontal="center"/>
    </xf>
    <xf numFmtId="0" fontId="4" fillId="8" borderId="2" xfId="0" applyFont="1" applyFill="1" applyBorder="1"/>
    <xf numFmtId="0" fontId="13" fillId="0" borderId="2" xfId="0" applyFont="1" applyBorder="1" applyAlignment="1">
      <alignment horizontal="center"/>
    </xf>
    <xf numFmtId="164" fontId="4" fillId="8" borderId="2" xfId="0" applyNumberFormat="1" applyFont="1" applyFill="1" applyBorder="1" applyAlignment="1">
      <alignment horizontal="center"/>
    </xf>
    <xf numFmtId="164" fontId="4" fillId="8" borderId="2" xfId="0" applyNumberFormat="1" applyFont="1" applyFill="1" applyBorder="1"/>
    <xf numFmtId="0" fontId="10" fillId="7" borderId="6" xfId="0" applyFont="1" applyFill="1" applyBorder="1" applyAlignment="1">
      <alignment horizontal="center" vertical="center"/>
    </xf>
    <xf numFmtId="0" fontId="13" fillId="0" borderId="0" xfId="0" applyFont="1"/>
    <xf numFmtId="3" fontId="13" fillId="0" borderId="0" xfId="0" applyNumberFormat="1" applyFont="1"/>
    <xf numFmtId="164" fontId="13" fillId="0" borderId="0" xfId="0" applyNumberFormat="1" applyFont="1"/>
    <xf numFmtId="1" fontId="13" fillId="0" borderId="0" xfId="0" applyNumberFormat="1" applyFont="1"/>
    <xf numFmtId="2" fontId="13" fillId="0" borderId="0" xfId="0" applyNumberFormat="1" applyFont="1"/>
    <xf numFmtId="4" fontId="13" fillId="0" borderId="0" xfId="0" applyNumberFormat="1" applyFont="1"/>
    <xf numFmtId="165" fontId="13" fillId="0" borderId="0" xfId="0" applyNumberFormat="1" applyFont="1"/>
    <xf numFmtId="166" fontId="13" fillId="0" borderId="0" xfId="0" applyNumberFormat="1" applyFont="1"/>
    <xf numFmtId="0" fontId="4" fillId="0" borderId="2" xfId="0" applyFont="1" applyBorder="1"/>
    <xf numFmtId="0" fontId="13" fillId="0" borderId="2" xfId="0" applyFont="1" applyBorder="1"/>
    <xf numFmtId="3" fontId="13" fillId="0" borderId="2" xfId="0" applyNumberFormat="1" applyFont="1" applyBorder="1"/>
    <xf numFmtId="164" fontId="13" fillId="0" borderId="2" xfId="0" applyNumberFormat="1" applyFont="1" applyBorder="1"/>
    <xf numFmtId="1" fontId="13" fillId="0" borderId="2" xfId="0" applyNumberFormat="1" applyFont="1" applyBorder="1"/>
    <xf numFmtId="2" fontId="13" fillId="0" borderId="2" xfId="0" applyNumberFormat="1" applyFont="1" applyBorder="1"/>
    <xf numFmtId="1" fontId="7" fillId="0" borderId="2" xfId="0" applyNumberFormat="1" applyFont="1" applyBorder="1"/>
    <xf numFmtId="0" fontId="13" fillId="0" borderId="2" xfId="0" applyFont="1" applyBorder="1" applyAlignment="1">
      <alignment vertical="top" wrapText="1"/>
    </xf>
    <xf numFmtId="1" fontId="7" fillId="0" borderId="2" xfId="0" applyNumberFormat="1" applyFont="1" applyBorder="1" applyAlignment="1">
      <alignment vertical="top" wrapText="1"/>
    </xf>
    <xf numFmtId="166" fontId="13" fillId="0" borderId="2" xfId="0" applyNumberFormat="1" applyFont="1" applyBorder="1" applyAlignment="1">
      <alignment vertical="top" wrapText="1"/>
    </xf>
    <xf numFmtId="0" fontId="13" fillId="0" borderId="0" xfId="0" applyFont="1" applyAlignment="1">
      <alignment vertical="top" wrapText="1"/>
    </xf>
    <xf numFmtId="0" fontId="8" fillId="6" borderId="3" xfId="0" applyFont="1" applyFill="1" applyBorder="1" applyAlignment="1">
      <alignment horizontal="center"/>
    </xf>
    <xf numFmtId="0" fontId="4" fillId="0" borderId="0" xfId="0" applyFont="1"/>
    <xf numFmtId="0" fontId="4" fillId="0" borderId="0" xfId="0" applyFont="1" applyAlignment="1">
      <alignment horizontal="center"/>
    </xf>
    <xf numFmtId="0" fontId="12" fillId="0" borderId="0" xfId="0" applyFont="1" applyAlignment="1">
      <alignment vertical="center"/>
    </xf>
    <xf numFmtId="0" fontId="7" fillId="0" borderId="0" xfId="0" applyFont="1"/>
    <xf numFmtId="167" fontId="13" fillId="0" borderId="2" xfId="0" applyNumberFormat="1" applyFont="1" applyBorder="1"/>
    <xf numFmtId="2" fontId="9" fillId="0" borderId="2" xfId="0" applyNumberFormat="1" applyFont="1" applyBorder="1"/>
    <xf numFmtId="0" fontId="4" fillId="0" borderId="2" xfId="0" applyFont="1" applyBorder="1" applyAlignment="1">
      <alignment horizontal="center"/>
    </xf>
    <xf numFmtId="0" fontId="12" fillId="0" borderId="2" xfId="0" applyFont="1" applyBorder="1" applyAlignment="1">
      <alignment vertical="center" wrapText="1"/>
    </xf>
    <xf numFmtId="0" fontId="4" fillId="0" borderId="2" xfId="0" applyFont="1" applyBorder="1" applyAlignment="1">
      <alignment horizontal="left" vertical="top" wrapText="1"/>
    </xf>
    <xf numFmtId="0" fontId="13" fillId="0" borderId="2" xfId="0" applyFont="1" applyBorder="1" applyAlignment="1">
      <alignment horizontal="left" vertical="top" wrapText="1"/>
    </xf>
    <xf numFmtId="0" fontId="12" fillId="0" borderId="2" xfId="0" applyFont="1" applyBorder="1" applyAlignment="1">
      <alignment horizontal="left" vertical="top" wrapText="1"/>
    </xf>
    <xf numFmtId="0" fontId="4" fillId="8" borderId="2" xfId="0" applyFont="1" applyFill="1" applyBorder="1" applyAlignment="1">
      <alignment horizontal="center" vertical="top"/>
    </xf>
    <xf numFmtId="0" fontId="4" fillId="0" borderId="2" xfId="0" applyFont="1" applyBorder="1" applyAlignment="1">
      <alignment horizontal="center" vertical="top"/>
    </xf>
    <xf numFmtId="0" fontId="4" fillId="5" borderId="2" xfId="0" applyFont="1" applyFill="1" applyBorder="1" applyAlignment="1">
      <alignment horizontal="left" vertical="top" wrapText="1"/>
    </xf>
    <xf numFmtId="0" fontId="13" fillId="5" borderId="2" xfId="0" applyFont="1" applyFill="1" applyBorder="1" applyAlignment="1">
      <alignment horizontal="left" vertical="top" wrapText="1"/>
    </xf>
    <xf numFmtId="0" fontId="12" fillId="5" borderId="2" xfId="0" applyFont="1" applyFill="1" applyBorder="1" applyAlignment="1">
      <alignment horizontal="left" vertical="top" wrapText="1"/>
    </xf>
    <xf numFmtId="0" fontId="4" fillId="6" borderId="2" xfId="0" applyFont="1" applyFill="1" applyBorder="1" applyAlignment="1">
      <alignment horizontal="center" vertical="top" wrapText="1"/>
    </xf>
    <xf numFmtId="0" fontId="13" fillId="9" borderId="2" xfId="0" applyFont="1" applyFill="1" applyBorder="1" applyAlignment="1">
      <alignment horizontal="center" vertical="top" wrapText="1"/>
    </xf>
    <xf numFmtId="0" fontId="12" fillId="0" borderId="2" xfId="0" applyFont="1" applyBorder="1" applyAlignment="1">
      <alignment horizontal="center" vertical="top" wrapText="1"/>
    </xf>
    <xf numFmtId="0" fontId="4" fillId="9" borderId="2" xfId="0" applyFont="1" applyFill="1" applyBorder="1" applyAlignment="1">
      <alignment horizontal="center" vertical="top" wrapText="1"/>
    </xf>
    <xf numFmtId="3" fontId="13" fillId="0" borderId="2" xfId="0" applyNumberFormat="1" applyFont="1" applyBorder="1" applyAlignment="1">
      <alignment horizontal="center" vertical="top" wrapText="1"/>
    </xf>
    <xf numFmtId="0" fontId="13" fillId="0" borderId="2" xfId="0" applyFont="1" applyBorder="1" applyAlignment="1">
      <alignment horizontal="center" vertical="top" wrapText="1"/>
    </xf>
    <xf numFmtId="0" fontId="4" fillId="9" borderId="2" xfId="0" applyFont="1" applyFill="1" applyBorder="1" applyAlignment="1">
      <alignment horizontal="left" vertical="top" wrapText="1"/>
    </xf>
    <xf numFmtId="0" fontId="12" fillId="9" borderId="2" xfId="0" applyFont="1" applyFill="1" applyBorder="1" applyAlignment="1">
      <alignment horizontal="left" vertical="top" wrapText="1"/>
    </xf>
    <xf numFmtId="0" fontId="13" fillId="9" borderId="2" xfId="0" applyFont="1" applyFill="1" applyBorder="1" applyAlignment="1">
      <alignment horizontal="left" vertical="top" wrapText="1"/>
    </xf>
    <xf numFmtId="0" fontId="4" fillId="0" borderId="2" xfId="0" applyFont="1" applyBorder="1" applyAlignment="1">
      <alignment vertical="top" wrapText="1"/>
    </xf>
    <xf numFmtId="1" fontId="13" fillId="0" borderId="2" xfId="0" applyNumberFormat="1" applyFont="1" applyBorder="1" applyAlignment="1">
      <alignment vertical="top" wrapText="1"/>
    </xf>
    <xf numFmtId="1" fontId="4" fillId="8" borderId="2" xfId="0" applyNumberFormat="1" applyFont="1" applyFill="1" applyBorder="1" applyAlignment="1">
      <alignment horizontal="center"/>
    </xf>
    <xf numFmtId="1" fontId="4" fillId="0" borderId="2" xfId="0" applyNumberFormat="1" applyFont="1" applyBorder="1"/>
    <xf numFmtId="3" fontId="13" fillId="0" borderId="2" xfId="0" applyNumberFormat="1" applyFont="1" applyBorder="1" applyAlignment="1">
      <alignment vertical="center"/>
    </xf>
    <xf numFmtId="0" fontId="4" fillId="5" borderId="2" xfId="0" applyFont="1" applyFill="1" applyBorder="1" applyAlignment="1">
      <alignment vertical="center"/>
    </xf>
    <xf numFmtId="0" fontId="4" fillId="6" borderId="2" xfId="0" applyFont="1" applyFill="1" applyBorder="1" applyAlignment="1">
      <alignment horizontal="center" vertical="center"/>
    </xf>
    <xf numFmtId="0" fontId="14" fillId="3" borderId="2" xfId="0" applyFont="1" applyFill="1" applyBorder="1" applyAlignment="1">
      <alignment horizontal="center" vertical="center" wrapText="1"/>
    </xf>
    <xf numFmtId="1" fontId="13" fillId="0" borderId="2" xfId="0" applyNumberFormat="1" applyFont="1" applyBorder="1" applyAlignment="1">
      <alignment horizontal="center"/>
    </xf>
  </cellXfs>
  <cellStyles count="1">
    <cellStyle name="Normal" xfId="0" builtinId="0"/>
  </cellStyles>
  <dxfs count="36">
    <dxf>
      <font>
        <b/>
        <color rgb="FF991B1B"/>
      </font>
      <fill>
        <patternFill patternType="solid">
          <fgColor rgb="FFFEE2E2"/>
        </patternFill>
      </fill>
    </dxf>
    <dxf>
      <font>
        <color rgb="FF92400E"/>
      </font>
      <fill>
        <patternFill patternType="solid">
          <fgColor rgb="FFFEF3C7"/>
        </patternFill>
      </fill>
    </dxf>
    <dxf>
      <font>
        <b/>
        <color rgb="FF166534"/>
      </font>
    </dxf>
    <dxf>
      <font>
        <color rgb="FF92400E"/>
      </font>
    </dxf>
    <dxf>
      <font>
        <b/>
        <color rgb="FF14532D"/>
      </font>
      <fill>
        <patternFill patternType="solid">
          <fgColor rgb="FFBBF7D0"/>
        </patternFill>
      </fill>
    </dxf>
    <dxf>
      <font>
        <b/>
        <color rgb="FF166534"/>
      </font>
      <fill>
        <patternFill patternType="solid">
          <fgColor rgb="FFDCFCE7"/>
        </patternFill>
      </fill>
    </dxf>
    <dxf>
      <font>
        <b/>
        <color rgb="FF854D0E"/>
      </font>
      <fill>
        <patternFill patternType="solid">
          <fgColor rgb="FFFEF9C3"/>
        </patternFill>
      </fill>
    </dxf>
    <dxf>
      <font>
        <b/>
        <color rgb="FF92400E"/>
      </font>
      <fill>
        <patternFill patternType="solid">
          <fgColor rgb="FFFEF3C7"/>
        </patternFill>
      </fill>
    </dxf>
    <dxf>
      <font>
        <b/>
        <color rgb="FF991B1B"/>
      </font>
      <fill>
        <patternFill patternType="solid">
          <fgColor rgb="FFFEE2E2"/>
        </patternFill>
      </fill>
    </dxf>
    <dxf>
      <font>
        <b/>
        <color rgb="FF991B1B"/>
      </font>
      <fill>
        <patternFill patternType="solid">
          <fgColor rgb="FFFEE2E2"/>
        </patternFill>
      </fill>
    </dxf>
    <dxf>
      <font>
        <b/>
        <color rgb="FF166534"/>
      </font>
      <fill>
        <patternFill patternType="solid">
          <fgColor rgb="FFDCFCE7"/>
        </patternFill>
      </fill>
    </dxf>
    <dxf>
      <font>
        <b/>
        <color rgb="FF991B1B"/>
      </font>
      <fill>
        <patternFill patternType="solid">
          <fgColor rgb="FFFEE2E2"/>
        </patternFill>
      </fill>
    </dxf>
    <dxf>
      <font>
        <b/>
        <color rgb="FF92400E"/>
      </font>
      <fill>
        <patternFill patternType="solid">
          <fgColor rgb="FFFEF3C7"/>
        </patternFill>
      </fill>
    </dxf>
    <dxf>
      <font>
        <b/>
        <color rgb="FF991B1B"/>
      </font>
      <fill>
        <patternFill patternType="solid">
          <fgColor rgb="FFFEE2E2"/>
        </patternFill>
      </fill>
    </dxf>
    <dxf>
      <font>
        <b/>
        <color rgb="FF92400E"/>
      </font>
      <fill>
        <patternFill patternType="solid">
          <fgColor rgb="FFFEF3C7"/>
        </patternFill>
      </fill>
    </dxf>
    <dxf>
      <font>
        <b/>
        <color rgb="FF14532D"/>
      </font>
      <fill>
        <patternFill patternType="solid">
          <fgColor rgb="FFBBF7D0"/>
        </patternFill>
      </fill>
    </dxf>
    <dxf>
      <font>
        <b/>
        <color rgb="FF991B1B"/>
      </font>
      <fill>
        <patternFill patternType="solid">
          <fgColor rgb="FFFEE2E2"/>
        </patternFill>
      </fill>
    </dxf>
    <dxf>
      <font>
        <color rgb="FF92400E"/>
      </font>
      <fill>
        <patternFill patternType="solid">
          <fgColor rgb="FFFEF3C7"/>
        </patternFill>
      </fill>
    </dxf>
    <dxf>
      <font>
        <b/>
        <color rgb="FF991B1B"/>
      </font>
      <fill>
        <patternFill patternType="solid">
          <fgColor rgb="FFFEE2E2"/>
        </patternFill>
      </fill>
    </dxf>
    <dxf>
      <font>
        <b/>
        <color rgb="FF1E40AF"/>
      </font>
      <fill>
        <patternFill patternType="solid">
          <fgColor rgb="FFDBEAFE"/>
        </patternFill>
      </fill>
    </dxf>
    <dxf>
      <font>
        <color rgb="FF991B1B"/>
      </font>
      <fill>
        <patternFill patternType="solid">
          <fgColor rgb="FFFEE2E2"/>
        </patternFill>
      </fill>
    </dxf>
    <dxf>
      <font>
        <color rgb="FF92400E"/>
      </font>
      <fill>
        <patternFill patternType="solid">
          <fgColor rgb="FFFEF3C7"/>
        </patternFill>
      </fill>
    </dxf>
    <dxf>
      <font>
        <color rgb="FF166534"/>
      </font>
      <fill>
        <patternFill patternType="solid">
          <fgColor rgb="FFDCFCE7"/>
        </patternFill>
      </fill>
    </dxf>
    <dxf>
      <font>
        <color rgb="FF3730A3"/>
      </font>
      <fill>
        <patternFill patternType="solid">
          <fgColor rgb="FFE0E7FF"/>
        </patternFill>
      </fill>
    </dxf>
    <dxf>
      <font>
        <b/>
        <color rgb="FF991B1B"/>
      </font>
      <fill>
        <patternFill patternType="solid">
          <fgColor rgb="FFFEE2E2"/>
        </patternFill>
      </fill>
    </dxf>
    <dxf>
      <font>
        <color rgb="FF166534"/>
      </font>
      <fill>
        <patternFill patternType="solid">
          <fgColor rgb="FFDCFCE7"/>
        </patternFill>
      </fill>
    </dxf>
    <dxf>
      <font>
        <b/>
        <color rgb="FF14532D"/>
      </font>
      <fill>
        <patternFill patternType="solid">
          <fgColor rgb="FFBBF7D0"/>
        </patternFill>
      </fill>
    </dxf>
    <dxf>
      <font>
        <color rgb="FF166534"/>
      </font>
      <fill>
        <patternFill patternType="solid">
          <fgColor rgb="FFDCFCE7"/>
        </patternFill>
      </fill>
    </dxf>
    <dxf>
      <font>
        <color rgb="FF991B1B"/>
      </font>
      <fill>
        <patternFill patternType="solid">
          <fgColor rgb="FFFEE2E2"/>
        </patternFill>
      </fill>
    </dxf>
    <dxf>
      <font>
        <b/>
        <color rgb="FF991B1B"/>
      </font>
      <fill>
        <patternFill patternType="solid">
          <fgColor rgb="FFFEE2E2"/>
        </patternFill>
      </fill>
    </dxf>
    <dxf>
      <font>
        <b/>
        <color rgb="FF1E40AF"/>
      </font>
      <fill>
        <patternFill patternType="solid">
          <fgColor rgb="FFDBEAFE"/>
        </patternFill>
      </fill>
    </dxf>
    <dxf>
      <font>
        <b/>
        <color rgb="FF166534"/>
      </font>
    </dxf>
    <dxf>
      <font>
        <b/>
        <color rgb="FF991B1B"/>
      </font>
    </dxf>
    <dxf>
      <font>
        <b/>
        <color rgb="FF991B1B"/>
      </font>
      <fill>
        <patternFill patternType="solid">
          <fgColor rgb="FFFEE2E2"/>
        </patternFill>
      </fill>
    </dxf>
    <dxf>
      <font>
        <color rgb="FF166534"/>
      </font>
      <fill>
        <patternFill patternType="solid">
          <fgColor rgb="FFDCFCE7"/>
        </patternFill>
      </fill>
    </dxf>
    <dxf>
      <font>
        <color rgb="FF92400E"/>
      </font>
      <fill>
        <patternFill patternType="solid">
          <fgColor rgb="FFFEF3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8.xml"/><Relationship Id="rId11" Type="http://schemas.openxmlformats.org/officeDocument/2006/relationships/worksheet" Target="worksheets/sheet7.xml"/><Relationship Id="rId12" Type="http://schemas.openxmlformats.org/officeDocument/2006/relationships/worksheet" Target="worksheets/sheet11.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blKOL" displayName="tblKOL" ref="A4:BF34" totalsRowShown="1" headerRowCount="1">
  <autoFilter ref="A4:BF34">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filterColumn colId="10" hiddenButton="0"/>
    <filterColumn colId="11" hiddenButton="0"/>
    <filterColumn colId="12" hiddenButton="0"/>
    <filterColumn colId="13" hiddenButton="0"/>
    <filterColumn colId="14" hiddenButton="0"/>
    <filterColumn colId="15" hiddenButton="0"/>
    <filterColumn colId="16" hiddenButton="0"/>
    <filterColumn colId="17" hiddenButton="0"/>
    <filterColumn colId="18" hiddenButton="0"/>
    <filterColumn colId="19" hiddenButton="0"/>
    <filterColumn colId="20" hiddenButton="0"/>
    <filterColumn colId="21" hiddenButton="0"/>
    <filterColumn colId="22" hiddenButton="0"/>
    <filterColumn colId="23" hiddenButton="0"/>
    <filterColumn colId="24" hiddenButton="0"/>
    <filterColumn colId="25" hiddenButton="0"/>
    <filterColumn colId="26" hiddenButton="0"/>
    <filterColumn colId="27" hiddenButton="0"/>
    <filterColumn colId="28" hiddenButton="0"/>
    <filterColumn colId="29" hiddenButton="0"/>
    <filterColumn colId="30" hiddenButton="0"/>
    <filterColumn colId="31" hiddenButton="0"/>
    <filterColumn colId="32" hiddenButton="0"/>
    <filterColumn colId="33" hiddenButton="0"/>
    <filterColumn colId="34" hiddenButton="0"/>
    <filterColumn colId="35" hiddenButton="0"/>
    <filterColumn colId="36" hiddenButton="0"/>
    <filterColumn colId="37" hiddenButton="0"/>
    <filterColumn colId="38" hiddenButton="0"/>
    <filterColumn colId="39" hiddenButton="0"/>
    <filterColumn colId="40" hiddenButton="0"/>
    <filterColumn colId="41" hiddenButton="0"/>
    <filterColumn colId="42" hiddenButton="0"/>
    <filterColumn colId="43" hiddenButton="0"/>
    <filterColumn colId="44" hiddenButton="0"/>
    <filterColumn colId="45" hiddenButton="0"/>
    <filterColumn colId="46" hiddenButton="0"/>
    <filterColumn colId="47" hiddenButton="0"/>
    <filterColumn colId="48" hiddenButton="0"/>
    <filterColumn colId="49" hiddenButton="0"/>
    <filterColumn colId="50" hiddenButton="0"/>
    <filterColumn colId="51" hiddenButton="0"/>
    <filterColumn colId="52" hiddenButton="0"/>
    <filterColumn colId="53" hiddenButton="0"/>
    <filterColumn colId="54" hiddenButton="0"/>
    <filterColumn colId="55" hiddenButton="0"/>
    <filterColumn colId="56" hiddenButton="0"/>
    <filterColumn colId="57" hiddenButton="0"/>
  </autoFilter>
  <tableColumns count="58">
    <tableColumn id="1" name="KOL ID" totalsRowLabel="Total"/>
    <tableColumn id="2" name="Creator Name" totalsRowFunction="none"/>
    <tableColumn id="3" name="Handle" totalsRowFunction="none"/>
    <tableColumn id="4" name="Platform" totalsRowFunction="none"/>
    <tableColumn id="5" name="Category" totalsRowFunction="none"/>
    <tableColumn id="6" name="Sub Category" totalsRowFunction="none"/>
    <tableColumn id="7" name="Tier" totalsRowFunction="none"/>
    <tableColumn id="8" name="Verified" totalsRowFunction="none"/>
    <tableColumn id="9" name="Creator City" totalsRowFunction="none"/>
    <tableColumn id="10" name="Followers" totalsRowFunction="none"/>
    <tableColumn id="11" name="Engagement Rate (%)" totalsRowFunction="none"/>
    <tableColumn id="12" name="Average Views" totalsRowFunction="none"/>
    <tableColumn id="13" name="Median Views" totalsRowFunction="none"/>
    <tableColumn id="14" name="30D Growth (%)" totalsRowFunction="none"/>
    <tableColumn id="15" name="90D Growth (%)" totalsRowFunction="none"/>
    <tableColumn id="16" name="Consistency Score" totalsRowFunction="none"/>
    <tableColumn id="17" name="Community Score" totalsRowFunction="none"/>
    <tableColumn id="18" name="Audience Quality" totalsRowFunction="none"/>
    <tableColumn id="19" name="Audience Authenticity" totalsRowFunction="none"/>
    <tableColumn id="20" name="Share Rate (%)" totalsRowFunction="none"/>
    <tableColumn id="21" name="Save Rate (%)" totalsRowFunction="none"/>
    <tableColumn id="22" name="Recent Performance" totalsRowFunction="none"/>
    <tableColumn id="23" name="Audience Age 13–17 %" totalsRowFunction="none"/>
    <tableColumn id="24" name="Audience Age 18–24 %" totalsRowFunction="none"/>
    <tableColumn id="25" name="Audience Age 25–34 %" totalsRowFunction="none"/>
    <tableColumn id="26" name="Audience Age 35–44 %" totalsRowFunction="none"/>
    <tableColumn id="27" name="Audience Age 45+ %" totalsRowFunction="none"/>
    <tableColumn id="28" name="Female %" totalsRowFunction="none"/>
    <tableColumn id="29" name="Male %" totalsRowFunction="none"/>
    <tableColumn id="30" name="Audience Country" totalsRowFunction="none"/>
    <tableColumn id="31" name="Audience Region" totalsRowFunction="none"/>
    <tableColumn id="32" name="Audience City" totalsRowFunction="none"/>
    <tableColumn id="33" name="Audience Interests" totalsRowFunction="none"/>
    <tableColumn id="34" name="Purchase Intent" totalsRowFunction="none"/>
    <tableColumn id="35" name="Content Topics" totalsRowFunction="none"/>
    <tableColumn id="36" name="Content Style" totalsRowFunction="none"/>
    <tableColumn id="37" name="Creator Personality" totalsRowFunction="none"/>
    <tableColumn id="38" name="Creator Values" totalsRowFunction="none"/>
    <tableColumn id="39" name="Content Quality" totalsRowFunction="none"/>
    <tableColumn id="40" name="Rate Card (IDR)" totalsRowFunction="none"/>
    <tableColumn id="41" name="CPV" totalsRowFunction="none"/>
    <tableColumn id="42" name="CPE" totalsRowFunction="none"/>
    <tableColumn id="43" name="CPM" totalsRowFunction="none"/>
    <tableColumn id="44" name="Estimated Reach" totalsRowFunction="none"/>
    <tableColumn id="45" name="Estimated ROI" totalsRowFunction="none"/>
    <tableColumn id="46" name="Brand Safety Score" totalsRowFunction="none"/>
    <tableColumn id="47" name="Competitor Saturation" totalsRowFunction="none"/>
    <tableColumn id="48" name="Risk Flag" totalsRowFunction="none"/>
    <tableColumn id="49" name="Already Selected" totalsRowFunction="none"/>
    <tableColumn id="50" name="In Cart" totalsRowFunction="none"/>
    <tableColumn id="51" name="Existing Partner" totalsRowFunction="none"/>
    <tableColumn id="52" name="Excluded Creator" totalsRowFunction="none"/>
    <tableColumn id="53" name="Added Date" totalsRowFunction="none"/>
    <tableColumn id="54" name="Last Updated" totalsRowFunction="none"/>
    <tableColumn id="55" name="View-to-Follower Ratio" totalsRowFunction="none"/>
    <tableColumn id="56" name="Cost Efficiency" totalsRowFunction="none"/>
    <tableColumn id="57" name="Data Completeness %" totalsRowFunction="none"/>
    <tableColumn id="58" name="Data Status" totalsRowFunction="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blDiscoveryFilters" displayName="tblDiscoveryFilters" ref="A4:J60" totalsRowShown="1" headerRowCount="1">
  <autoFilter ref="A4:J60">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autoFilter>
  <tableColumns count="10">
    <tableColumn id="1" name="Group" totalsRowLabel="Total"/>
    <tableColumn id="2" name="Filter" totalsRowFunction="none"/>
    <tableColumn id="3" name="Filter Key" totalsRowFunction="none"/>
    <tableColumn id="4" name="Type" totalsRowFunction="none"/>
    <tableColumn id="5" name="Control" totalsRowFunction="none"/>
    <tableColumn id="6" name="Brand_Profile input" totalsRowFunction="none"/>
    <tableColumn id="7" name="KOL_Database field" totalsRowFunction="none"/>
    <tableColumn id="8" name="Status in prototype" totalsRowFunction="none"/>
    <tableColumn id="9" name="KOL database source" totalsRowFunction="none"/>
    <tableColumn id="10" name="Coverage (8 Sep 2026)" totalsRowFunction="n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tblFilterLogic" displayName="tblFilterLogic" ref="A4:F27" totalsRowShown="1" headerRowCount="1">
  <autoFilter ref="A4:F27">
    <filterColumn colId="0" hiddenButton="0"/>
    <filterColumn colId="1" hiddenButton="0"/>
    <filterColumn colId="2" hiddenButton="0"/>
    <filterColumn colId="3" hiddenButton="0"/>
    <filterColumn colId="4" hiddenButton="0"/>
    <filterColumn colId="5" hiddenButton="0"/>
  </autoFilter>
  <tableColumns count="6">
    <tableColumn id="1" name="Type" totalsRowLabel="Total"/>
    <tableColumn id="2" name="Rule" totalsRowFunction="none"/>
    <tableColumn id="3" name="Condition" totalsRowFunction="none"/>
    <tableColumn id="4" name="Excel implementation" totalsRowFunction="none"/>
    <tableColumn id="5" name="What happens when it fails" totalsRowFunction="none"/>
    <tableColumn id="6" name="Backend note" totalsRowFunction="no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9"/>
  <sheetViews>
    <sheetView workbookViewId="0">
      <pane ySplit="5" topLeftCell="A6" activePane="bottomLeft" state="frozen"/>
      <selection pane="bottomLeft"/>
    </sheetView>
  </sheetViews>
  <sheetFormatPr defaultRowHeight="15" outlineLevelRow="0" outlineLevelCol="0" x14ac:dyDescent="55"/>
  <cols>
    <col min="1" max="1" width="30" customWidth="1"/>
    <col min="2" max="2" width="34" customWidth="1"/>
    <col min="3" max="3" width="26" customWidth="1"/>
    <col min="4" max="4" width="11" customWidth="1"/>
    <col min="5" max="5" width="78" customWidth="1"/>
    <col min="6" max="6" width="13" customWidth="1"/>
    <col min="7" max="7" width="20" customWidth="1"/>
    <col min="8" max="8" width="13" customWidth="1"/>
    <col min="9" max="9" width="12" customWidth="1"/>
    <col min="10" max="10" width="11" customWidth="1"/>
    <col min="11" max="11" width="14" customWidth="1"/>
    <col min="12" max="12" width="18" customWidth="1"/>
    <col min="13" max="13" width="24" customWidth="1"/>
    <col min="14" max="14" width="22" customWidth="1"/>
    <col min="15" max="16" width="15" customWidth="1"/>
    <col min="17" max="17" width="11" customWidth="1"/>
    <col min="18" max="18" width="17" customWidth="1"/>
    <col min="19" max="19" width="11" customWidth="1"/>
    <col min="20" max="20" width="20" customWidth="1"/>
    <col min="21" max="21" width="14" customWidth="1"/>
    <col min="22" max="22" width="11" customWidth="1"/>
    <col min="23" max="23" width="22" customWidth="1"/>
    <col min="24" max="24" width="16" customWidth="1"/>
    <col min="25" max="25" width="20" customWidth="1"/>
    <col min="26" max="27" width="16" customWidth="1"/>
    <col min="28" max="28" width="13" customWidth="1"/>
    <col min="29" max="29" width="15" customWidth="1"/>
    <col min="30" max="30" width="19" customWidth="1"/>
  </cols>
  <sheetData>
    <row r="1" ht="24" customHeight="1" spans="1:30" x14ac:dyDescent="0.25">
      <c r="A1" s="1" t="s">
        <v>1867</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ht="30" customHeight="1" spans="1:30" x14ac:dyDescent="0.25">
      <c r="A2" s="2" t="s">
        <v>1868</v>
      </c>
      <c r="B2" s="2"/>
      <c r="C2" s="2"/>
      <c r="D2" s="2"/>
      <c r="E2" s="2"/>
      <c r="F2" s="2"/>
      <c r="G2" s="2"/>
      <c r="H2" s="2"/>
      <c r="I2" s="2"/>
      <c r="J2" s="2"/>
      <c r="K2" s="2"/>
      <c r="L2" s="2"/>
      <c r="M2" s="2"/>
      <c r="N2" s="2"/>
      <c r="O2" s="2"/>
      <c r="P2" s="2"/>
      <c r="Q2" s="2"/>
      <c r="R2" s="2"/>
      <c r="S2" s="2"/>
      <c r="T2" s="2"/>
      <c r="U2" s="2"/>
      <c r="V2" s="2"/>
      <c r="W2" s="2"/>
      <c r="X2" s="2"/>
      <c r="Y2" s="2"/>
      <c r="Z2" s="2"/>
      <c r="AA2" s="2"/>
      <c r="AB2" s="2"/>
      <c r="AC2" s="2"/>
      <c r="AD2" s="2"/>
    </row>
    <row r="4" ht="18" customHeight="1" spans="1:30" x14ac:dyDescent="0.25">
      <c r="A4" s="26" t="s">
        <v>1869</v>
      </c>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row>
    <row r="5" ht="26" customHeight="1" spans="1:30" x14ac:dyDescent="0.25">
      <c r="A5" s="12" t="s">
        <v>345</v>
      </c>
      <c r="B5" s="12" t="s">
        <v>90</v>
      </c>
      <c r="C5" s="12" t="s">
        <v>346</v>
      </c>
      <c r="D5" s="12" t="s">
        <v>1870</v>
      </c>
      <c r="E5" s="12" t="s">
        <v>348</v>
      </c>
      <c r="F5" s="12" t="s">
        <v>1871</v>
      </c>
      <c r="G5" s="12" t="s">
        <v>1872</v>
      </c>
      <c r="H5" s="12" t="s">
        <v>1873</v>
      </c>
      <c r="I5" s="12" t="s">
        <v>1874</v>
      </c>
      <c r="J5" s="12" t="s">
        <v>1875</v>
      </c>
      <c r="K5" s="12" t="s">
        <v>155</v>
      </c>
      <c r="L5" s="12" t="s">
        <v>1876</v>
      </c>
      <c r="M5" s="12" t="s">
        <v>1877</v>
      </c>
      <c r="N5" s="12" t="s">
        <v>1878</v>
      </c>
      <c r="O5" s="12" t="s">
        <v>1879</v>
      </c>
      <c r="P5" s="12" t="s">
        <v>1880</v>
      </c>
      <c r="Q5" s="12" t="s">
        <v>1881</v>
      </c>
      <c r="R5" s="12" t="s">
        <v>1882</v>
      </c>
      <c r="S5" s="12" t="s">
        <v>1883</v>
      </c>
      <c r="T5" s="12" t="s">
        <v>1884</v>
      </c>
      <c r="U5" s="12" t="s">
        <v>1885</v>
      </c>
      <c r="V5" s="12" t="s">
        <v>1886</v>
      </c>
      <c r="W5" s="12" t="s">
        <v>1887</v>
      </c>
      <c r="X5" s="12" t="s">
        <v>1888</v>
      </c>
      <c r="Y5" s="12" t="s">
        <v>688</v>
      </c>
      <c r="Z5" s="12" t="s">
        <v>683</v>
      </c>
      <c r="AA5" s="12" t="s">
        <v>1889</v>
      </c>
      <c r="AB5" s="12" t="s">
        <v>1890</v>
      </c>
      <c r="AC5" s="12" t="s">
        <v>1891</v>
      </c>
      <c r="AD5" s="12" t="s">
        <v>1892</v>
      </c>
    </row>
    <row r="6" spans="1:30" x14ac:dyDescent="0.25">
      <c r="A6" s="44" t="s">
        <v>402</v>
      </c>
      <c r="B6" s="44" t="s">
        <v>92</v>
      </c>
      <c r="C6" s="44" t="s">
        <v>202</v>
      </c>
      <c r="D6" s="44" t="s">
        <v>104</v>
      </c>
      <c r="E6" s="44" t="s">
        <v>1893</v>
      </c>
      <c r="F6" s="44" t="s">
        <v>1894</v>
      </c>
      <c r="G6" s="44" t="s">
        <v>132</v>
      </c>
      <c r="H6" s="44" t="s">
        <v>137</v>
      </c>
      <c r="I6" s="44" t="s">
        <v>142</v>
      </c>
      <c r="J6" s="44" t="s">
        <v>142</v>
      </c>
      <c r="K6" s="44" t="s">
        <v>1895</v>
      </c>
      <c r="L6" s="44" t="s">
        <v>189</v>
      </c>
      <c r="M6" s="44" t="s">
        <v>458</v>
      </c>
      <c r="N6" s="44" t="s">
        <v>458</v>
      </c>
      <c r="O6" s="44" t="s">
        <v>1896</v>
      </c>
      <c r="P6" s="44" t="s">
        <v>189</v>
      </c>
      <c r="Q6" s="44" t="s">
        <v>1897</v>
      </c>
      <c r="R6" s="44" t="s">
        <v>1881</v>
      </c>
      <c r="S6" s="44" t="s">
        <v>115</v>
      </c>
      <c r="T6" s="44" t="s">
        <v>442</v>
      </c>
      <c r="U6" s="44" t="s">
        <v>408</v>
      </c>
      <c r="V6" s="44" t="s">
        <v>253</v>
      </c>
      <c r="W6" s="44" t="s">
        <v>133</v>
      </c>
      <c r="X6" s="44" t="s">
        <v>1059</v>
      </c>
      <c r="Y6" s="44" t="s">
        <v>1060</v>
      </c>
      <c r="Z6" s="44" t="s">
        <v>405</v>
      </c>
      <c r="AA6" s="44" t="s">
        <v>1898</v>
      </c>
      <c r="AB6" s="44" t="s">
        <v>71</v>
      </c>
      <c r="AC6" s="44" t="s">
        <v>13</v>
      </c>
      <c r="AD6" s="44" t="s">
        <v>935</v>
      </c>
    </row>
    <row r="7" spans="1:30" x14ac:dyDescent="0.25">
      <c r="A7" s="44" t="s">
        <v>412</v>
      </c>
      <c r="B7" s="44" t="s">
        <v>93</v>
      </c>
      <c r="C7" s="44" t="s">
        <v>505</v>
      </c>
      <c r="D7" s="44" t="s">
        <v>428</v>
      </c>
      <c r="E7" s="44" t="s">
        <v>1899</v>
      </c>
      <c r="F7" s="44" t="s">
        <v>124</v>
      </c>
      <c r="G7" s="44" t="s">
        <v>1900</v>
      </c>
      <c r="H7" s="44" t="s">
        <v>1901</v>
      </c>
      <c r="I7" s="44" t="s">
        <v>141</v>
      </c>
      <c r="J7" s="44" t="s">
        <v>146</v>
      </c>
      <c r="K7" s="44" t="s">
        <v>642</v>
      </c>
      <c r="L7" s="44" t="s">
        <v>433</v>
      </c>
      <c r="M7" s="44" t="s">
        <v>189</v>
      </c>
      <c r="N7" s="44" t="s">
        <v>163</v>
      </c>
      <c r="O7" s="44" t="s">
        <v>174</v>
      </c>
      <c r="P7" s="44" t="s">
        <v>191</v>
      </c>
      <c r="Q7" s="44" t="s">
        <v>1902</v>
      </c>
      <c r="R7" s="44" t="s">
        <v>181</v>
      </c>
      <c r="S7" s="44" t="s">
        <v>1644</v>
      </c>
      <c r="T7" s="44" t="s">
        <v>416</v>
      </c>
      <c r="U7" s="44" t="s">
        <v>442</v>
      </c>
      <c r="V7" s="44" t="s">
        <v>249</v>
      </c>
      <c r="W7" s="44" t="s">
        <v>157</v>
      </c>
      <c r="X7" s="44" t="s">
        <v>1061</v>
      </c>
      <c r="Y7" s="44" t="s">
        <v>1064</v>
      </c>
      <c r="Z7" s="44" t="s">
        <v>416</v>
      </c>
      <c r="AA7" s="44" t="s">
        <v>1903</v>
      </c>
      <c r="AB7" s="44" t="s">
        <v>76</v>
      </c>
      <c r="AC7" s="44" t="s">
        <v>15</v>
      </c>
      <c r="AD7" s="44" t="s">
        <v>950</v>
      </c>
    </row>
    <row r="8" spans="2:30" x14ac:dyDescent="0.25">
      <c r="B8" s="44" t="s">
        <v>94</v>
      </c>
      <c r="C8" s="44" t="s">
        <v>203</v>
      </c>
      <c r="D8" s="44" t="s">
        <v>1155</v>
      </c>
      <c r="E8" s="44" t="s">
        <v>1904</v>
      </c>
      <c r="F8" s="44" t="s">
        <v>123</v>
      </c>
      <c r="G8" s="44" t="s">
        <v>133</v>
      </c>
      <c r="H8" s="44" t="s">
        <v>1905</v>
      </c>
      <c r="I8" s="44" t="s">
        <v>414</v>
      </c>
      <c r="J8" s="44" t="s">
        <v>413</v>
      </c>
      <c r="K8" s="44" t="s">
        <v>470</v>
      </c>
      <c r="L8" s="44" t="s">
        <v>224</v>
      </c>
      <c r="M8" s="44" t="s">
        <v>434</v>
      </c>
      <c r="N8" s="44" t="s">
        <v>165</v>
      </c>
      <c r="O8" s="44" t="s">
        <v>176</v>
      </c>
      <c r="P8" s="44" t="s">
        <v>1906</v>
      </c>
      <c r="Q8" s="44" t="s">
        <v>1907</v>
      </c>
      <c r="R8" s="44" t="s">
        <v>180</v>
      </c>
      <c r="S8" s="44" t="s">
        <v>1651</v>
      </c>
      <c r="T8" s="44" t="s">
        <v>405</v>
      </c>
      <c r="U8" s="44" t="s">
        <v>416</v>
      </c>
      <c r="W8" s="44" t="s">
        <v>156</v>
      </c>
      <c r="X8" s="44" t="s">
        <v>1063</v>
      </c>
      <c r="Y8" s="44" t="s">
        <v>1066</v>
      </c>
      <c r="Z8" s="44" t="s">
        <v>1908</v>
      </c>
      <c r="AA8" s="44" t="s">
        <v>1909</v>
      </c>
      <c r="AB8" s="44" t="s">
        <v>77</v>
      </c>
      <c r="AC8" s="44" t="s">
        <v>17</v>
      </c>
      <c r="AD8" s="44" t="s">
        <v>951</v>
      </c>
    </row>
    <row r="9" spans="2:30" x14ac:dyDescent="0.25">
      <c r="B9" s="44" t="s">
        <v>1667</v>
      </c>
      <c r="C9" s="44" t="s">
        <v>487</v>
      </c>
      <c r="D9" s="44" t="s">
        <v>506</v>
      </c>
      <c r="E9" s="44" t="s">
        <v>1910</v>
      </c>
      <c r="F9" s="44" t="s">
        <v>128</v>
      </c>
      <c r="G9" s="44" t="s">
        <v>131</v>
      </c>
      <c r="H9" s="44" t="s">
        <v>1911</v>
      </c>
      <c r="I9" s="44" t="s">
        <v>473</v>
      </c>
      <c r="J9" s="44" t="s">
        <v>429</v>
      </c>
      <c r="K9" s="44" t="s">
        <v>454</v>
      </c>
      <c r="L9" s="44" t="s">
        <v>191</v>
      </c>
      <c r="M9" s="44" t="s">
        <v>602</v>
      </c>
      <c r="N9" s="44" t="s">
        <v>164</v>
      </c>
      <c r="O9" s="44" t="s">
        <v>175</v>
      </c>
      <c r="P9" s="44" t="s">
        <v>1912</v>
      </c>
      <c r="Q9" s="44" t="s">
        <v>1913</v>
      </c>
      <c r="R9" s="44" t="s">
        <v>164</v>
      </c>
      <c r="S9" s="44" t="s">
        <v>116</v>
      </c>
      <c r="U9" s="44" t="s">
        <v>405</v>
      </c>
      <c r="W9" s="44" t="s">
        <v>1914</v>
      </c>
      <c r="X9" s="44" t="s">
        <v>1065</v>
      </c>
      <c r="Y9" s="44" t="s">
        <v>1068</v>
      </c>
      <c r="AC9" s="44" t="s">
        <v>19</v>
      </c>
      <c r="AD9" s="44" t="s">
        <v>952</v>
      </c>
    </row>
    <row r="10" spans="2:30" x14ac:dyDescent="0.25">
      <c r="B10" s="44" t="s">
        <v>1678</v>
      </c>
      <c r="C10" s="44" t="s">
        <v>201</v>
      </c>
      <c r="D10" s="44" t="s">
        <v>514</v>
      </c>
      <c r="E10" s="44" t="s">
        <v>1915</v>
      </c>
      <c r="F10" s="44" t="s">
        <v>1916</v>
      </c>
      <c r="H10" s="44" t="s">
        <v>1917</v>
      </c>
      <c r="I10" s="44" t="s">
        <v>430</v>
      </c>
      <c r="J10" s="44" t="s">
        <v>598</v>
      </c>
      <c r="K10" s="44" t="s">
        <v>1918</v>
      </c>
      <c r="L10" s="44" t="s">
        <v>509</v>
      </c>
      <c r="M10" s="44" t="s">
        <v>232</v>
      </c>
      <c r="N10" s="44" t="s">
        <v>1919</v>
      </c>
      <c r="O10" s="44" t="s">
        <v>1919</v>
      </c>
      <c r="P10" s="44" t="s">
        <v>1920</v>
      </c>
      <c r="Q10" s="44" t="s">
        <v>1921</v>
      </c>
      <c r="R10" s="44" t="s">
        <v>1922</v>
      </c>
      <c r="S10" s="44" t="s">
        <v>1660</v>
      </c>
      <c r="W10" s="44" t="s">
        <v>155</v>
      </c>
      <c r="X10" s="44" t="s">
        <v>1067</v>
      </c>
      <c r="Y10" s="44" t="s">
        <v>1923</v>
      </c>
      <c r="AC10" s="44" t="s">
        <v>21</v>
      </c>
      <c r="AD10" s="44" t="s">
        <v>953</v>
      </c>
    </row>
    <row r="11" spans="2:30" x14ac:dyDescent="0.25">
      <c r="B11" s="44" t="s">
        <v>1687</v>
      </c>
      <c r="C11" s="44" t="s">
        <v>454</v>
      </c>
      <c r="D11" s="44" t="s">
        <v>1189</v>
      </c>
      <c r="H11" s="44" t="s">
        <v>1924</v>
      </c>
      <c r="I11" s="44" t="s">
        <v>498</v>
      </c>
      <c r="J11" s="44" t="s">
        <v>447</v>
      </c>
      <c r="K11" s="44" t="s">
        <v>202</v>
      </c>
      <c r="L11" s="44" t="s">
        <v>568</v>
      </c>
      <c r="M11" s="44" t="s">
        <v>233</v>
      </c>
      <c r="N11" s="44" t="s">
        <v>189</v>
      </c>
      <c r="O11" s="44" t="s">
        <v>1925</v>
      </c>
      <c r="P11" s="44" t="s">
        <v>190</v>
      </c>
      <c r="Q11" s="44" t="s">
        <v>1926</v>
      </c>
      <c r="S11" s="44" t="s">
        <v>117</v>
      </c>
      <c r="AC11" s="44" t="s">
        <v>23</v>
      </c>
      <c r="AD11" s="44" t="s">
        <v>954</v>
      </c>
    </row>
    <row r="12" spans="2:30" x14ac:dyDescent="0.25">
      <c r="B12" s="44" t="s">
        <v>470</v>
      </c>
      <c r="C12" s="44" t="s">
        <v>470</v>
      </c>
      <c r="D12" s="44" t="s">
        <v>207</v>
      </c>
      <c r="I12" s="44" t="s">
        <v>540</v>
      </c>
      <c r="J12" s="44" t="s">
        <v>540</v>
      </c>
      <c r="K12" s="44" t="s">
        <v>104</v>
      </c>
      <c r="L12" s="44" t="s">
        <v>525</v>
      </c>
      <c r="M12" s="44" t="s">
        <v>550</v>
      </c>
      <c r="N12" s="44" t="s">
        <v>1927</v>
      </c>
      <c r="O12" s="44" t="s">
        <v>1928</v>
      </c>
      <c r="P12" s="44" t="s">
        <v>569</v>
      </c>
      <c r="Q12" s="44" t="s">
        <v>1929</v>
      </c>
      <c r="S12" s="44" t="s">
        <v>1671</v>
      </c>
      <c r="AD12" s="44" t="s">
        <v>955</v>
      </c>
    </row>
    <row r="13" spans="2:30" x14ac:dyDescent="0.25">
      <c r="B13" s="44" t="s">
        <v>1709</v>
      </c>
      <c r="C13" s="44" t="s">
        <v>521</v>
      </c>
      <c r="D13" s="44" t="s">
        <v>446</v>
      </c>
      <c r="I13" s="44" t="s">
        <v>531</v>
      </c>
      <c r="J13" s="44" t="s">
        <v>1930</v>
      </c>
      <c r="K13" s="44" t="s">
        <v>428</v>
      </c>
      <c r="L13" s="44" t="s">
        <v>491</v>
      </c>
      <c r="M13" s="44" t="s">
        <v>164</v>
      </c>
      <c r="N13" s="44" t="s">
        <v>1931</v>
      </c>
      <c r="O13" s="44" t="s">
        <v>1912</v>
      </c>
      <c r="P13" s="44" t="s">
        <v>1932</v>
      </c>
      <c r="Q13" s="44" t="s">
        <v>1933</v>
      </c>
      <c r="S13" s="44" t="s">
        <v>1675</v>
      </c>
      <c r="AD13" s="44" t="s">
        <v>956</v>
      </c>
    </row>
    <row r="14" spans="2:30" x14ac:dyDescent="0.25">
      <c r="B14" s="44" t="s">
        <v>622</v>
      </c>
      <c r="C14" s="44" t="s">
        <v>538</v>
      </c>
      <c r="D14" s="44" t="s">
        <v>105</v>
      </c>
      <c r="I14" s="44" t="s">
        <v>599</v>
      </c>
      <c r="J14" s="44" t="s">
        <v>497</v>
      </c>
      <c r="K14" s="44" t="s">
        <v>505</v>
      </c>
      <c r="L14" s="44" t="s">
        <v>645</v>
      </c>
      <c r="M14" s="44" t="s">
        <v>1922</v>
      </c>
      <c r="N14" s="44" t="s">
        <v>1934</v>
      </c>
      <c r="Q14" s="44" t="s">
        <v>1935</v>
      </c>
      <c r="S14" s="44" t="s">
        <v>1682</v>
      </c>
      <c r="AD14" s="44" t="s">
        <v>957</v>
      </c>
    </row>
    <row r="15" spans="2:30" x14ac:dyDescent="0.25">
      <c r="B15" s="44" t="s">
        <v>607</v>
      </c>
      <c r="C15" s="44" t="s">
        <v>555</v>
      </c>
      <c r="D15" s="44" t="s">
        <v>496</v>
      </c>
      <c r="I15" s="44" t="s">
        <v>1936</v>
      </c>
      <c r="J15" s="44" t="s">
        <v>472</v>
      </c>
      <c r="K15" s="44" t="s">
        <v>1937</v>
      </c>
      <c r="L15" s="44" t="s">
        <v>575</v>
      </c>
      <c r="M15" s="44" t="s">
        <v>568</v>
      </c>
      <c r="N15" s="44" t="s">
        <v>1938</v>
      </c>
      <c r="Q15" s="44" t="s">
        <v>1939</v>
      </c>
      <c r="S15" s="44" t="s">
        <v>1259</v>
      </c>
      <c r="AD15" s="44" t="s">
        <v>958</v>
      </c>
    </row>
    <row r="16" spans="2:30" x14ac:dyDescent="0.25">
      <c r="B16" s="44" t="s">
        <v>1738</v>
      </c>
      <c r="C16" s="44" t="s">
        <v>574</v>
      </c>
      <c r="D16" s="44" t="s">
        <v>488</v>
      </c>
      <c r="J16" s="44" t="s">
        <v>565</v>
      </c>
      <c r="K16" s="44" t="s">
        <v>203</v>
      </c>
      <c r="M16" s="44" t="s">
        <v>569</v>
      </c>
      <c r="Q16" s="44" t="s">
        <v>1940</v>
      </c>
      <c r="S16" s="44" t="s">
        <v>1691</v>
      </c>
      <c r="AD16" s="44" t="s">
        <v>959</v>
      </c>
    </row>
    <row r="17" spans="2:30" x14ac:dyDescent="0.25">
      <c r="B17" s="44" t="s">
        <v>1749</v>
      </c>
      <c r="C17" s="44" t="s">
        <v>589</v>
      </c>
      <c r="D17" s="44" t="s">
        <v>1263</v>
      </c>
      <c r="J17" s="44" t="s">
        <v>557</v>
      </c>
      <c r="K17" s="44" t="s">
        <v>1941</v>
      </c>
      <c r="M17" s="44" t="s">
        <v>500</v>
      </c>
      <c r="Q17" s="44" t="s">
        <v>1942</v>
      </c>
      <c r="S17" s="44" t="s">
        <v>1695</v>
      </c>
      <c r="AD17" s="44" t="s">
        <v>898</v>
      </c>
    </row>
    <row r="18" spans="3:30" x14ac:dyDescent="0.25">
      <c r="C18" s="44" t="s">
        <v>607</v>
      </c>
      <c r="D18" s="44" t="s">
        <v>403</v>
      </c>
      <c r="K18" s="44" t="s">
        <v>1943</v>
      </c>
      <c r="Q18" s="44" t="s">
        <v>1944</v>
      </c>
      <c r="S18" s="44" t="s">
        <v>1702</v>
      </c>
      <c r="AD18" s="44" t="s">
        <v>960</v>
      </c>
    </row>
    <row r="19" spans="3:30" x14ac:dyDescent="0.25">
      <c r="C19" s="44" t="s">
        <v>622</v>
      </c>
      <c r="D19" s="44" t="s">
        <v>103</v>
      </c>
      <c r="K19" s="44" t="s">
        <v>538</v>
      </c>
      <c r="Q19" s="44" t="s">
        <v>944</v>
      </c>
      <c r="S19" s="44" t="s">
        <v>1705</v>
      </c>
      <c r="AD19" s="44" t="s">
        <v>961</v>
      </c>
    </row>
    <row r="20" spans="4:30" x14ac:dyDescent="0.25">
      <c r="D20" s="44" t="s">
        <v>1298</v>
      </c>
      <c r="K20" s="44" t="s">
        <v>487</v>
      </c>
      <c r="S20" s="44" t="s">
        <v>1713</v>
      </c>
      <c r="AD20" s="44" t="s">
        <v>962</v>
      </c>
    </row>
    <row r="21" spans="4:30" x14ac:dyDescent="0.25">
      <c r="D21" s="44" t="s">
        <v>455</v>
      </c>
      <c r="K21" s="44" t="s">
        <v>1940</v>
      </c>
      <c r="S21" s="44" t="s">
        <v>1716</v>
      </c>
      <c r="AD21" s="44" t="s">
        <v>963</v>
      </c>
    </row>
    <row r="22" spans="4:30" x14ac:dyDescent="0.25">
      <c r="D22" s="44" t="s">
        <v>463</v>
      </c>
      <c r="K22" s="44" t="s">
        <v>555</v>
      </c>
      <c r="S22" s="44" t="s">
        <v>1722</v>
      </c>
      <c r="AD22" s="44" t="s">
        <v>964</v>
      </c>
    </row>
    <row r="23" spans="4:30" x14ac:dyDescent="0.25">
      <c r="D23" s="44" t="s">
        <v>642</v>
      </c>
      <c r="K23" s="44" t="s">
        <v>582</v>
      </c>
      <c r="S23" s="44" t="s">
        <v>1607</v>
      </c>
      <c r="AD23" s="44" t="s">
        <v>965</v>
      </c>
    </row>
    <row r="24" spans="4:30" x14ac:dyDescent="0.25">
      <c r="D24" s="44" t="s">
        <v>471</v>
      </c>
      <c r="K24" s="44" t="s">
        <v>574</v>
      </c>
      <c r="S24" s="44" t="s">
        <v>1730</v>
      </c>
      <c r="AD24" s="44" t="s">
        <v>966</v>
      </c>
    </row>
    <row r="25" spans="4:30" x14ac:dyDescent="0.25">
      <c r="D25" s="44" t="s">
        <v>480</v>
      </c>
      <c r="K25" s="44" t="s">
        <v>589</v>
      </c>
      <c r="S25" s="44" t="s">
        <v>1734</v>
      </c>
      <c r="AD25" s="44" t="s">
        <v>967</v>
      </c>
    </row>
    <row r="26" spans="4:30" x14ac:dyDescent="0.25">
      <c r="D26" s="44" t="s">
        <v>1371</v>
      </c>
      <c r="K26" s="44" t="s">
        <v>607</v>
      </c>
      <c r="S26" s="44" t="s">
        <v>1742</v>
      </c>
      <c r="AD26" s="44" t="s">
        <v>968</v>
      </c>
    </row>
    <row r="27" spans="4:30" x14ac:dyDescent="0.25">
      <c r="D27" s="44" t="s">
        <v>522</v>
      </c>
      <c r="K27" s="44" t="s">
        <v>1945</v>
      </c>
      <c r="S27" s="44" t="s">
        <v>1745</v>
      </c>
      <c r="AD27" s="44" t="s">
        <v>969</v>
      </c>
    </row>
    <row r="28" spans="4:30" x14ac:dyDescent="0.25">
      <c r="D28" s="44" t="s">
        <v>530</v>
      </c>
      <c r="S28" s="44" t="s">
        <v>1753</v>
      </c>
      <c r="AD28" s="44" t="s">
        <v>970</v>
      </c>
    </row>
    <row r="29" spans="4:30" x14ac:dyDescent="0.25">
      <c r="D29" s="44" t="s">
        <v>1408</v>
      </c>
      <c r="S29" s="44" t="s">
        <v>1757</v>
      </c>
      <c r="AD29" s="44" t="s">
        <v>971</v>
      </c>
    </row>
    <row r="30" spans="4:30" x14ac:dyDescent="0.25">
      <c r="D30" s="44" t="s">
        <v>539</v>
      </c>
      <c r="AD30" s="44" t="s">
        <v>972</v>
      </c>
    </row>
    <row r="31" spans="4:30" x14ac:dyDescent="0.25">
      <c r="D31" s="44" t="s">
        <v>547</v>
      </c>
      <c r="AD31" s="44" t="s">
        <v>887</v>
      </c>
    </row>
    <row r="32" spans="4:30" x14ac:dyDescent="0.25">
      <c r="D32" s="44" t="s">
        <v>1442</v>
      </c>
      <c r="AD32" s="44" t="s">
        <v>892</v>
      </c>
    </row>
    <row r="33" spans="4:30" x14ac:dyDescent="0.25">
      <c r="D33" s="44" t="s">
        <v>556</v>
      </c>
      <c r="AD33" s="44" t="s">
        <v>895</v>
      </c>
    </row>
    <row r="34" spans="4:30" x14ac:dyDescent="0.25">
      <c r="D34" s="44" t="s">
        <v>564</v>
      </c>
      <c r="AD34" s="44" t="s">
        <v>903</v>
      </c>
    </row>
    <row r="35" spans="4:30" x14ac:dyDescent="0.25">
      <c r="D35" s="44" t="s">
        <v>1478</v>
      </c>
      <c r="AD35" s="44" t="s">
        <v>908</v>
      </c>
    </row>
    <row r="36" spans="4:4" x14ac:dyDescent="0.25">
      <c r="D36" s="44" t="s">
        <v>575</v>
      </c>
    </row>
    <row r="37" spans="4:4" x14ac:dyDescent="0.25">
      <c r="D37" s="44" t="s">
        <v>582</v>
      </c>
    </row>
    <row r="38" spans="4:4" x14ac:dyDescent="0.25">
      <c r="D38" s="44" t="s">
        <v>1515</v>
      </c>
    </row>
    <row r="39" spans="4:4" x14ac:dyDescent="0.25">
      <c r="D39" s="44" t="s">
        <v>590</v>
      </c>
    </row>
    <row r="40" spans="4:4" x14ac:dyDescent="0.25">
      <c r="D40" s="44" t="s">
        <v>597</v>
      </c>
    </row>
    <row r="41" spans="4:4" x14ac:dyDescent="0.25">
      <c r="D41" s="44" t="s">
        <v>1551</v>
      </c>
    </row>
    <row r="42" spans="4:4" x14ac:dyDescent="0.25">
      <c r="D42" s="44" t="s">
        <v>608</v>
      </c>
    </row>
    <row r="43" spans="4:4" x14ac:dyDescent="0.25">
      <c r="D43" s="44" t="s">
        <v>615</v>
      </c>
    </row>
    <row r="44" spans="4:4" x14ac:dyDescent="0.25">
      <c r="D44" s="44" t="s">
        <v>1586</v>
      </c>
    </row>
    <row r="45" spans="4:4" x14ac:dyDescent="0.25">
      <c r="D45" s="44" t="s">
        <v>623</v>
      </c>
    </row>
    <row r="46" spans="4:4" x14ac:dyDescent="0.25">
      <c r="D46" s="44" t="s">
        <v>630</v>
      </c>
    </row>
    <row r="47" spans="4:4" x14ac:dyDescent="0.25">
      <c r="D47" s="44" t="s">
        <v>1622</v>
      </c>
    </row>
    <row r="49" ht="18" customHeight="1" spans="1:30" x14ac:dyDescent="0.25">
      <c r="A49" s="26" t="s">
        <v>1946</v>
      </c>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row>
    <row r="50" ht="20" customHeight="1" spans="1:2" x14ac:dyDescent="0.25">
      <c r="A50" s="12" t="s">
        <v>347</v>
      </c>
      <c r="B50" s="12" t="s">
        <v>1763</v>
      </c>
    </row>
    <row r="51" spans="1:2" x14ac:dyDescent="0.25">
      <c r="A51" s="28" t="s">
        <v>104</v>
      </c>
      <c r="B51" s="28" t="s">
        <v>202</v>
      </c>
    </row>
    <row r="52" spans="1:2" x14ac:dyDescent="0.25">
      <c r="A52" s="28" t="s">
        <v>428</v>
      </c>
      <c r="B52" s="28" t="s">
        <v>202</v>
      </c>
    </row>
    <row r="53" spans="1:2" x14ac:dyDescent="0.25">
      <c r="A53" s="28" t="s">
        <v>1155</v>
      </c>
      <c r="B53" s="28" t="s">
        <v>202</v>
      </c>
    </row>
    <row r="54" spans="1:2" x14ac:dyDescent="0.25">
      <c r="A54" s="28" t="s">
        <v>506</v>
      </c>
      <c r="B54" s="28" t="s">
        <v>505</v>
      </c>
    </row>
    <row r="55" spans="1:2" x14ac:dyDescent="0.25">
      <c r="A55" s="28" t="s">
        <v>514</v>
      </c>
      <c r="B55" s="28" t="s">
        <v>505</v>
      </c>
    </row>
    <row r="56" spans="1:2" x14ac:dyDescent="0.25">
      <c r="A56" s="28" t="s">
        <v>1189</v>
      </c>
      <c r="B56" s="28" t="s">
        <v>505</v>
      </c>
    </row>
    <row r="57" spans="1:2" x14ac:dyDescent="0.25">
      <c r="A57" s="28" t="s">
        <v>207</v>
      </c>
      <c r="B57" s="28" t="s">
        <v>203</v>
      </c>
    </row>
    <row r="58" spans="1:2" x14ac:dyDescent="0.25">
      <c r="A58" s="28" t="s">
        <v>446</v>
      </c>
      <c r="B58" s="28" t="s">
        <v>203</v>
      </c>
    </row>
    <row r="59" spans="1:2" x14ac:dyDescent="0.25">
      <c r="A59" s="28" t="s">
        <v>105</v>
      </c>
      <c r="B59" s="28" t="s">
        <v>203</v>
      </c>
    </row>
    <row r="60" spans="1:2" x14ac:dyDescent="0.25">
      <c r="A60" s="28" t="s">
        <v>496</v>
      </c>
      <c r="B60" s="28" t="s">
        <v>487</v>
      </c>
    </row>
    <row r="61" spans="1:2" x14ac:dyDescent="0.25">
      <c r="A61" s="28" t="s">
        <v>488</v>
      </c>
      <c r="B61" s="28" t="s">
        <v>487</v>
      </c>
    </row>
    <row r="62" spans="1:2" x14ac:dyDescent="0.25">
      <c r="A62" s="28" t="s">
        <v>1263</v>
      </c>
      <c r="B62" s="28" t="s">
        <v>487</v>
      </c>
    </row>
    <row r="63" spans="1:2" x14ac:dyDescent="0.25">
      <c r="A63" s="28" t="s">
        <v>403</v>
      </c>
      <c r="B63" s="28" t="s">
        <v>201</v>
      </c>
    </row>
    <row r="64" spans="1:2" x14ac:dyDescent="0.25">
      <c r="A64" s="28" t="s">
        <v>103</v>
      </c>
      <c r="B64" s="28" t="s">
        <v>201</v>
      </c>
    </row>
    <row r="65" spans="1:2" x14ac:dyDescent="0.25">
      <c r="A65" s="28" t="s">
        <v>1298</v>
      </c>
      <c r="B65" s="28" t="s">
        <v>201</v>
      </c>
    </row>
    <row r="66" spans="1:2" x14ac:dyDescent="0.25">
      <c r="A66" s="28" t="s">
        <v>455</v>
      </c>
      <c r="B66" s="28" t="s">
        <v>454</v>
      </c>
    </row>
    <row r="67" spans="1:2" x14ac:dyDescent="0.25">
      <c r="A67" s="28" t="s">
        <v>463</v>
      </c>
      <c r="B67" s="28" t="s">
        <v>454</v>
      </c>
    </row>
    <row r="68" spans="1:2" x14ac:dyDescent="0.25">
      <c r="A68" s="28" t="s">
        <v>642</v>
      </c>
      <c r="B68" s="28" t="s">
        <v>454</v>
      </c>
    </row>
    <row r="69" spans="1:2" x14ac:dyDescent="0.25">
      <c r="A69" s="28" t="s">
        <v>471</v>
      </c>
      <c r="B69" s="28" t="s">
        <v>470</v>
      </c>
    </row>
    <row r="70" spans="1:2" x14ac:dyDescent="0.25">
      <c r="A70" s="28" t="s">
        <v>480</v>
      </c>
      <c r="B70" s="28" t="s">
        <v>470</v>
      </c>
    </row>
    <row r="71" spans="1:2" x14ac:dyDescent="0.25">
      <c r="A71" s="28" t="s">
        <v>1371</v>
      </c>
      <c r="B71" s="28" t="s">
        <v>470</v>
      </c>
    </row>
    <row r="72" spans="1:2" x14ac:dyDescent="0.25">
      <c r="A72" s="28" t="s">
        <v>522</v>
      </c>
      <c r="B72" s="28" t="s">
        <v>521</v>
      </c>
    </row>
    <row r="73" spans="1:2" x14ac:dyDescent="0.25">
      <c r="A73" s="28" t="s">
        <v>530</v>
      </c>
      <c r="B73" s="28" t="s">
        <v>521</v>
      </c>
    </row>
    <row r="74" spans="1:2" x14ac:dyDescent="0.25">
      <c r="A74" s="28" t="s">
        <v>1408</v>
      </c>
      <c r="B74" s="28" t="s">
        <v>521</v>
      </c>
    </row>
    <row r="75" spans="1:2" x14ac:dyDescent="0.25">
      <c r="A75" s="28" t="s">
        <v>539</v>
      </c>
      <c r="B75" s="28" t="s">
        <v>538</v>
      </c>
    </row>
    <row r="76" spans="1:2" x14ac:dyDescent="0.25">
      <c r="A76" s="28" t="s">
        <v>547</v>
      </c>
      <c r="B76" s="28" t="s">
        <v>538</v>
      </c>
    </row>
    <row r="77" spans="1:2" x14ac:dyDescent="0.25">
      <c r="A77" s="28" t="s">
        <v>1442</v>
      </c>
      <c r="B77" s="28" t="s">
        <v>538</v>
      </c>
    </row>
    <row r="78" spans="1:2" x14ac:dyDescent="0.25">
      <c r="A78" s="28" t="s">
        <v>556</v>
      </c>
      <c r="B78" s="28" t="s">
        <v>555</v>
      </c>
    </row>
    <row r="79" spans="1:2" x14ac:dyDescent="0.25">
      <c r="A79" s="28" t="s">
        <v>564</v>
      </c>
      <c r="B79" s="28" t="s">
        <v>555</v>
      </c>
    </row>
    <row r="80" spans="1:2" x14ac:dyDescent="0.25">
      <c r="A80" s="28" t="s">
        <v>1478</v>
      </c>
      <c r="B80" s="28" t="s">
        <v>555</v>
      </c>
    </row>
    <row r="81" spans="1:2" x14ac:dyDescent="0.25">
      <c r="A81" s="28" t="s">
        <v>575</v>
      </c>
      <c r="B81" s="28" t="s">
        <v>574</v>
      </c>
    </row>
    <row r="82" spans="1:2" x14ac:dyDescent="0.25">
      <c r="A82" s="28" t="s">
        <v>582</v>
      </c>
      <c r="B82" s="28" t="s">
        <v>574</v>
      </c>
    </row>
    <row r="83" spans="1:2" x14ac:dyDescent="0.25">
      <c r="A83" s="28" t="s">
        <v>1515</v>
      </c>
      <c r="B83" s="28" t="s">
        <v>574</v>
      </c>
    </row>
    <row r="84" spans="1:2" x14ac:dyDescent="0.25">
      <c r="A84" s="28" t="s">
        <v>590</v>
      </c>
      <c r="B84" s="28" t="s">
        <v>589</v>
      </c>
    </row>
    <row r="85" spans="1:2" x14ac:dyDescent="0.25">
      <c r="A85" s="28" t="s">
        <v>597</v>
      </c>
      <c r="B85" s="28" t="s">
        <v>589</v>
      </c>
    </row>
    <row r="86" spans="1:2" x14ac:dyDescent="0.25">
      <c r="A86" s="28" t="s">
        <v>1551</v>
      </c>
      <c r="B86" s="28" t="s">
        <v>589</v>
      </c>
    </row>
    <row r="87" spans="1:2" x14ac:dyDescent="0.25">
      <c r="A87" s="28" t="s">
        <v>608</v>
      </c>
      <c r="B87" s="28" t="s">
        <v>607</v>
      </c>
    </row>
    <row r="88" spans="1:2" x14ac:dyDescent="0.25">
      <c r="A88" s="28" t="s">
        <v>615</v>
      </c>
      <c r="B88" s="28" t="s">
        <v>607</v>
      </c>
    </row>
    <row r="89" spans="1:2" x14ac:dyDescent="0.25">
      <c r="A89" s="28" t="s">
        <v>1586</v>
      </c>
      <c r="B89" s="28" t="s">
        <v>607</v>
      </c>
    </row>
    <row r="90" spans="1:2" x14ac:dyDescent="0.25">
      <c r="A90" s="28" t="s">
        <v>623</v>
      </c>
      <c r="B90" s="28" t="s">
        <v>622</v>
      </c>
    </row>
    <row r="91" spans="1:2" x14ac:dyDescent="0.25">
      <c r="A91" s="28" t="s">
        <v>630</v>
      </c>
      <c r="B91" s="28" t="s">
        <v>622</v>
      </c>
    </row>
    <row r="92" spans="1:2" x14ac:dyDescent="0.25">
      <c r="A92" s="28" t="s">
        <v>1622</v>
      </c>
      <c r="B92" s="28" t="s">
        <v>622</v>
      </c>
    </row>
    <row r="94" ht="18" customHeight="1" spans="1:30" x14ac:dyDescent="0.25">
      <c r="A94" s="26" t="s">
        <v>1947</v>
      </c>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row>
    <row r="95" ht="20" customHeight="1" spans="1:3" x14ac:dyDescent="0.25">
      <c r="A95" s="12" t="s">
        <v>348</v>
      </c>
      <c r="B95" s="12" t="s">
        <v>1948</v>
      </c>
      <c r="C95" s="12" t="s">
        <v>1949</v>
      </c>
    </row>
    <row r="96" spans="1:3" x14ac:dyDescent="0.25">
      <c r="A96" s="28" t="s">
        <v>1893</v>
      </c>
      <c r="B96" s="84">
        <v>0</v>
      </c>
      <c r="C96" s="84">
        <v>9999</v>
      </c>
    </row>
    <row r="97" spans="1:3" x14ac:dyDescent="0.25">
      <c r="A97" s="28" t="s">
        <v>1899</v>
      </c>
      <c r="B97" s="84">
        <v>10000</v>
      </c>
      <c r="C97" s="84">
        <v>49999</v>
      </c>
    </row>
    <row r="98" spans="1:3" x14ac:dyDescent="0.25">
      <c r="A98" s="28" t="s">
        <v>1904</v>
      </c>
      <c r="B98" s="84">
        <v>50000</v>
      </c>
      <c r="C98" s="84">
        <v>99999</v>
      </c>
    </row>
    <row r="99" spans="1:3" x14ac:dyDescent="0.25">
      <c r="A99" s="28" t="s">
        <v>1910</v>
      </c>
      <c r="B99" s="84">
        <v>100000</v>
      </c>
      <c r="C99" s="84">
        <v>999999</v>
      </c>
    </row>
    <row r="100" spans="1:3" x14ac:dyDescent="0.25">
      <c r="A100" s="28" t="s">
        <v>1915</v>
      </c>
      <c r="B100" s="84">
        <v>1000000</v>
      </c>
      <c r="C100" s="84" t="s">
        <v>737</v>
      </c>
    </row>
    <row r="102" ht="18" customHeight="1" spans="1:30" x14ac:dyDescent="0.25">
      <c r="A102" s="26" t="s">
        <v>1950</v>
      </c>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row>
    <row r="103" ht="26" customHeight="1" spans="1:5" x14ac:dyDescent="0.25">
      <c r="A103" s="12" t="s">
        <v>1951</v>
      </c>
      <c r="B103" s="12" t="s">
        <v>1952</v>
      </c>
      <c r="C103" s="12" t="s">
        <v>269</v>
      </c>
      <c r="D103" s="12" t="s">
        <v>1881</v>
      </c>
      <c r="E103" s="12" t="s">
        <v>1953</v>
      </c>
    </row>
    <row r="104" spans="1:5" x14ac:dyDescent="0.25">
      <c r="A104" s="85" t="s">
        <v>1954</v>
      </c>
      <c r="B104" s="28" t="s">
        <v>13</v>
      </c>
      <c r="C104" s="16" t="s">
        <v>1955</v>
      </c>
      <c r="D104" s="86">
        <v>20</v>
      </c>
      <c r="E104" s="62" t="s">
        <v>1956</v>
      </c>
    </row>
    <row r="105" spans="1:5" x14ac:dyDescent="0.25">
      <c r="A105" s="28" t="s">
        <v>3</v>
      </c>
      <c r="B105" s="28" t="s">
        <v>15</v>
      </c>
      <c r="C105" s="16" t="s">
        <v>1957</v>
      </c>
      <c r="D105" s="86">
        <v>30</v>
      </c>
      <c r="E105" s="62" t="s">
        <v>1958</v>
      </c>
    </row>
    <row r="106" spans="1:5" x14ac:dyDescent="0.25">
      <c r="A106" s="28" t="s">
        <v>3</v>
      </c>
      <c r="B106" s="28" t="s">
        <v>17</v>
      </c>
      <c r="C106" s="16" t="s">
        <v>1959</v>
      </c>
      <c r="D106" s="86">
        <v>20</v>
      </c>
      <c r="E106" s="62" t="s">
        <v>1960</v>
      </c>
    </row>
    <row r="107" spans="1:5" x14ac:dyDescent="0.25">
      <c r="A107" s="28" t="s">
        <v>3</v>
      </c>
      <c r="B107" s="28" t="s">
        <v>19</v>
      </c>
      <c r="C107" s="16" t="s">
        <v>1961</v>
      </c>
      <c r="D107" s="86">
        <v>10</v>
      </c>
      <c r="E107" s="62" t="s">
        <v>1962</v>
      </c>
    </row>
    <row r="108" spans="1:5" x14ac:dyDescent="0.25">
      <c r="A108" s="28" t="s">
        <v>3</v>
      </c>
      <c r="B108" s="28" t="s">
        <v>21</v>
      </c>
      <c r="C108" s="16" t="s">
        <v>1963</v>
      </c>
      <c r="D108" s="86">
        <v>10</v>
      </c>
      <c r="E108" s="62" t="s">
        <v>1964</v>
      </c>
    </row>
    <row r="109" spans="1:5" x14ac:dyDescent="0.25">
      <c r="A109" s="28" t="s">
        <v>3</v>
      </c>
      <c r="B109" s="28" t="s">
        <v>23</v>
      </c>
      <c r="C109" s="16" t="s">
        <v>1965</v>
      </c>
      <c r="D109" s="86">
        <v>10</v>
      </c>
      <c r="E109" s="62" t="s">
        <v>1966</v>
      </c>
    </row>
    <row r="110" spans="1:5" x14ac:dyDescent="0.25">
      <c r="A110" s="85" t="s">
        <v>1967</v>
      </c>
      <c r="B110" s="28" t="s">
        <v>660</v>
      </c>
      <c r="C110" s="16" t="s">
        <v>1968</v>
      </c>
      <c r="D110" s="86">
        <v>40</v>
      </c>
      <c r="E110" s="62" t="s">
        <v>1969</v>
      </c>
    </row>
    <row r="111" spans="1:5" x14ac:dyDescent="0.25">
      <c r="A111" s="28" t="s">
        <v>3</v>
      </c>
      <c r="B111" s="28" t="s">
        <v>661</v>
      </c>
      <c r="C111" s="16" t="s">
        <v>1970</v>
      </c>
      <c r="D111" s="86">
        <v>30</v>
      </c>
      <c r="E111" s="62" t="s">
        <v>1971</v>
      </c>
    </row>
    <row r="112" spans="1:5" x14ac:dyDescent="0.25">
      <c r="A112" s="28" t="s">
        <v>3</v>
      </c>
      <c r="B112" s="28" t="s">
        <v>662</v>
      </c>
      <c r="C112" s="16" t="s">
        <v>1972</v>
      </c>
      <c r="D112" s="86">
        <v>30</v>
      </c>
      <c r="E112" s="62" t="s">
        <v>1973</v>
      </c>
    </row>
    <row r="113" spans="1:5" x14ac:dyDescent="0.25">
      <c r="A113" s="85" t="s">
        <v>1974</v>
      </c>
      <c r="B113" s="28" t="s">
        <v>319</v>
      </c>
      <c r="C113" s="16" t="s">
        <v>1975</v>
      </c>
      <c r="D113" s="86">
        <v>25</v>
      </c>
      <c r="E113" s="62" t="s">
        <v>1976</v>
      </c>
    </row>
    <row r="114" spans="1:5" x14ac:dyDescent="0.25">
      <c r="A114" s="28" t="s">
        <v>3</v>
      </c>
      <c r="B114" s="28" t="s">
        <v>322</v>
      </c>
      <c r="C114" s="16" t="s">
        <v>1977</v>
      </c>
      <c r="D114" s="86">
        <v>15</v>
      </c>
      <c r="E114" s="62" t="s">
        <v>1978</v>
      </c>
    </row>
    <row r="115" spans="1:5" x14ac:dyDescent="0.25">
      <c r="A115" s="28" t="s">
        <v>3</v>
      </c>
      <c r="B115" s="28" t="s">
        <v>325</v>
      </c>
      <c r="C115" s="16" t="s">
        <v>1979</v>
      </c>
      <c r="D115" s="86">
        <v>30</v>
      </c>
      <c r="E115" s="62" t="s">
        <v>1978</v>
      </c>
    </row>
    <row r="116" spans="1:5" x14ac:dyDescent="0.25">
      <c r="A116" s="28" t="s">
        <v>3</v>
      </c>
      <c r="B116" s="28" t="s">
        <v>328</v>
      </c>
      <c r="C116" s="16" t="s">
        <v>1980</v>
      </c>
      <c r="D116" s="86">
        <v>30</v>
      </c>
      <c r="E116" s="62" t="s">
        <v>1978</v>
      </c>
    </row>
    <row r="117" spans="1:5" x14ac:dyDescent="0.25">
      <c r="A117" s="28" t="s">
        <v>3</v>
      </c>
      <c r="B117" s="28" t="s">
        <v>1981</v>
      </c>
      <c r="C117" s="16" t="s">
        <v>1982</v>
      </c>
      <c r="D117" s="86">
        <v>12</v>
      </c>
      <c r="E117" s="62" t="s">
        <v>1983</v>
      </c>
    </row>
    <row r="118" spans="1:5" x14ac:dyDescent="0.25">
      <c r="A118" s="85" t="s">
        <v>1984</v>
      </c>
      <c r="B118" s="28" t="s">
        <v>1873</v>
      </c>
      <c r="C118" s="16" t="s">
        <v>1985</v>
      </c>
      <c r="D118" s="86">
        <v>50</v>
      </c>
      <c r="E118" s="62" t="s">
        <v>1986</v>
      </c>
    </row>
    <row r="119" spans="1:5" x14ac:dyDescent="0.25">
      <c r="A119" s="28" t="s">
        <v>3</v>
      </c>
      <c r="B119" s="28" t="s">
        <v>1874</v>
      </c>
      <c r="C119" s="16" t="s">
        <v>1987</v>
      </c>
      <c r="D119" s="86">
        <v>25</v>
      </c>
      <c r="E119" s="62" t="s">
        <v>1988</v>
      </c>
    </row>
    <row r="120" spans="1:5" x14ac:dyDescent="0.25">
      <c r="A120" s="28" t="s">
        <v>3</v>
      </c>
      <c r="B120" s="28" t="s">
        <v>1875</v>
      </c>
      <c r="C120" s="16" t="s">
        <v>1989</v>
      </c>
      <c r="D120" s="86">
        <v>25</v>
      </c>
      <c r="E120" s="62" t="s">
        <v>1990</v>
      </c>
    </row>
    <row r="121" spans="1:5" x14ac:dyDescent="0.25">
      <c r="A121" s="85" t="s">
        <v>1991</v>
      </c>
      <c r="B121" s="28" t="s">
        <v>661</v>
      </c>
      <c r="C121" s="16" t="s">
        <v>1992</v>
      </c>
      <c r="D121" s="86">
        <v>30</v>
      </c>
      <c r="E121" s="62" t="s">
        <v>1993</v>
      </c>
    </row>
    <row r="122" spans="1:5" x14ac:dyDescent="0.25">
      <c r="A122" s="28" t="s">
        <v>3</v>
      </c>
      <c r="B122" s="28" t="s">
        <v>668</v>
      </c>
      <c r="C122" s="16" t="s">
        <v>1994</v>
      </c>
      <c r="D122" s="86">
        <v>20</v>
      </c>
      <c r="E122" s="62" t="s">
        <v>1995</v>
      </c>
    </row>
    <row r="123" spans="1:5" x14ac:dyDescent="0.25">
      <c r="A123" s="28" t="s">
        <v>3</v>
      </c>
      <c r="B123" s="28" t="s">
        <v>669</v>
      </c>
      <c r="C123" s="16" t="s">
        <v>1996</v>
      </c>
      <c r="D123" s="86">
        <v>30</v>
      </c>
      <c r="E123" s="62" t="s">
        <v>1997</v>
      </c>
    </row>
    <row r="124" spans="1:5" x14ac:dyDescent="0.25">
      <c r="A124" s="28" t="s">
        <v>3</v>
      </c>
      <c r="B124" s="28" t="s">
        <v>670</v>
      </c>
      <c r="C124" s="16" t="s">
        <v>1998</v>
      </c>
      <c r="D124" s="86">
        <v>20</v>
      </c>
      <c r="E124" s="62" t="s">
        <v>1999</v>
      </c>
    </row>
    <row r="125" spans="1:5" x14ac:dyDescent="0.25">
      <c r="A125" s="85" t="s">
        <v>2000</v>
      </c>
      <c r="B125" s="28" t="s">
        <v>671</v>
      </c>
      <c r="C125" s="16" t="s">
        <v>2001</v>
      </c>
      <c r="D125" s="86">
        <v>35</v>
      </c>
      <c r="E125" s="62" t="s">
        <v>2002</v>
      </c>
    </row>
    <row r="126" spans="1:5" x14ac:dyDescent="0.25">
      <c r="A126" s="28" t="s">
        <v>3</v>
      </c>
      <c r="B126" s="28" t="s">
        <v>672</v>
      </c>
      <c r="C126" s="16" t="s">
        <v>2003</v>
      </c>
      <c r="D126" s="86">
        <v>25</v>
      </c>
      <c r="E126" s="62" t="s">
        <v>2004</v>
      </c>
    </row>
    <row r="127" spans="1:5" x14ac:dyDescent="0.25">
      <c r="A127" s="28" t="s">
        <v>3</v>
      </c>
      <c r="B127" s="28" t="s">
        <v>673</v>
      </c>
      <c r="C127" s="16" t="s">
        <v>2005</v>
      </c>
      <c r="D127" s="86">
        <v>25</v>
      </c>
      <c r="E127" s="62" t="s">
        <v>2006</v>
      </c>
    </row>
    <row r="128" spans="1:5" x14ac:dyDescent="0.25">
      <c r="A128" s="28" t="s">
        <v>3</v>
      </c>
      <c r="B128" s="28" t="s">
        <v>674</v>
      </c>
      <c r="C128" s="16" t="s">
        <v>2007</v>
      </c>
      <c r="D128" s="86">
        <v>15</v>
      </c>
      <c r="E128" s="62" t="s">
        <v>2008</v>
      </c>
    </row>
    <row r="129" spans="1:5" x14ac:dyDescent="0.25">
      <c r="A129" s="85" t="s">
        <v>2009</v>
      </c>
      <c r="B129" s="28" t="s">
        <v>777</v>
      </c>
      <c r="C129" s="16" t="s">
        <v>2010</v>
      </c>
      <c r="D129" s="86">
        <v>35</v>
      </c>
      <c r="E129" s="62" t="s">
        <v>2011</v>
      </c>
    </row>
    <row r="130" spans="1:5" x14ac:dyDescent="0.25">
      <c r="A130" s="28" t="s">
        <v>3</v>
      </c>
      <c r="B130" s="28" t="s">
        <v>359</v>
      </c>
      <c r="C130" s="16" t="s">
        <v>2012</v>
      </c>
      <c r="D130" s="86">
        <v>20</v>
      </c>
      <c r="E130" s="62" t="s">
        <v>2011</v>
      </c>
    </row>
    <row r="131" spans="1:5" x14ac:dyDescent="0.25">
      <c r="A131" s="28" t="s">
        <v>3</v>
      </c>
      <c r="B131" s="28" t="s">
        <v>838</v>
      </c>
      <c r="C131" s="16" t="s">
        <v>2013</v>
      </c>
      <c r="D131" s="86">
        <v>20</v>
      </c>
      <c r="E131" s="62" t="s">
        <v>2011</v>
      </c>
    </row>
    <row r="132" spans="1:5" x14ac:dyDescent="0.25">
      <c r="A132" s="28" t="s">
        <v>3</v>
      </c>
      <c r="B132" s="28" t="s">
        <v>1929</v>
      </c>
      <c r="C132" s="16" t="s">
        <v>2014</v>
      </c>
      <c r="D132" s="86">
        <v>10</v>
      </c>
      <c r="E132" s="62" t="s">
        <v>2011</v>
      </c>
    </row>
    <row r="133" spans="1:5" x14ac:dyDescent="0.25">
      <c r="A133" s="28" t="s">
        <v>3</v>
      </c>
      <c r="B133" s="28" t="s">
        <v>353</v>
      </c>
      <c r="C133" s="16" t="s">
        <v>2015</v>
      </c>
      <c r="D133" s="86">
        <v>10</v>
      </c>
      <c r="E133" s="62" t="s">
        <v>2016</v>
      </c>
    </row>
    <row r="134" spans="1:5" x14ac:dyDescent="0.25">
      <c r="A134" s="28" t="s">
        <v>3</v>
      </c>
      <c r="B134" s="28" t="s">
        <v>2017</v>
      </c>
      <c r="C134" s="16" t="s">
        <v>2018</v>
      </c>
      <c r="D134" s="86">
        <v>5</v>
      </c>
      <c r="E134" s="62" t="s">
        <v>2019</v>
      </c>
    </row>
    <row r="135" spans="1:5" x14ac:dyDescent="0.25">
      <c r="A135" s="85" t="s">
        <v>2020</v>
      </c>
      <c r="B135" s="28" t="s">
        <v>386</v>
      </c>
      <c r="C135" s="16" t="s">
        <v>2021</v>
      </c>
      <c r="D135" s="86">
        <v>80</v>
      </c>
      <c r="E135" s="62" t="s">
        <v>2022</v>
      </c>
    </row>
    <row r="136" spans="1:5" x14ac:dyDescent="0.25">
      <c r="A136" s="28" t="s">
        <v>3</v>
      </c>
      <c r="B136" s="28" t="s">
        <v>387</v>
      </c>
      <c r="C136" s="16" t="s">
        <v>2023</v>
      </c>
      <c r="D136" s="86">
        <v>20</v>
      </c>
      <c r="E136" s="62" t="s">
        <v>2024</v>
      </c>
    </row>
    <row r="137" spans="1:5" x14ac:dyDescent="0.25">
      <c r="A137" s="85" t="s">
        <v>2025</v>
      </c>
      <c r="B137" s="28" t="s">
        <v>2026</v>
      </c>
      <c r="C137" s="16" t="s">
        <v>2027</v>
      </c>
      <c r="D137" s="86">
        <v>0.6</v>
      </c>
      <c r="E137" s="62" t="s">
        <v>2028</v>
      </c>
    </row>
    <row r="138" spans="1:5" x14ac:dyDescent="0.25">
      <c r="A138" s="28" t="s">
        <v>3</v>
      </c>
      <c r="B138" s="28" t="s">
        <v>2029</v>
      </c>
      <c r="C138" s="16" t="s">
        <v>2030</v>
      </c>
      <c r="D138" s="86">
        <v>0.85</v>
      </c>
      <c r="E138" s="62" t="s">
        <v>2031</v>
      </c>
    </row>
    <row r="139" spans="1:5" x14ac:dyDescent="0.25">
      <c r="A139" s="28" t="s">
        <v>3</v>
      </c>
      <c r="B139" s="28" t="s">
        <v>2032</v>
      </c>
      <c r="C139" s="16" t="s">
        <v>2033</v>
      </c>
      <c r="D139" s="86">
        <v>0.95</v>
      </c>
      <c r="E139" s="62" t="s">
        <v>2031</v>
      </c>
    </row>
    <row r="140" spans="1:5" x14ac:dyDescent="0.25">
      <c r="A140" s="28" t="s">
        <v>3</v>
      </c>
      <c r="B140" s="28" t="s">
        <v>2034</v>
      </c>
      <c r="C140" s="16" t="s">
        <v>2035</v>
      </c>
      <c r="D140" s="86">
        <v>1</v>
      </c>
      <c r="E140" s="62" t="s">
        <v>2036</v>
      </c>
    </row>
    <row r="141" spans="1:5" x14ac:dyDescent="0.25">
      <c r="A141" s="85" t="s">
        <v>2037</v>
      </c>
      <c r="B141" s="28" t="s">
        <v>2038</v>
      </c>
      <c r="C141" s="16" t="s">
        <v>2039</v>
      </c>
      <c r="D141" s="86">
        <v>6</v>
      </c>
      <c r="E141" s="62" t="s">
        <v>2040</v>
      </c>
    </row>
    <row r="142" spans="1:5" x14ac:dyDescent="0.25">
      <c r="A142" s="28" t="s">
        <v>3</v>
      </c>
      <c r="B142" s="28" t="s">
        <v>2041</v>
      </c>
      <c r="C142" s="16" t="s">
        <v>2042</v>
      </c>
      <c r="D142" s="86">
        <v>45</v>
      </c>
      <c r="E142" s="62" t="s">
        <v>2043</v>
      </c>
    </row>
    <row r="143" spans="1:5" x14ac:dyDescent="0.25">
      <c r="A143" s="28" t="s">
        <v>3</v>
      </c>
      <c r="B143" s="28" t="s">
        <v>2044</v>
      </c>
      <c r="C143" s="16" t="s">
        <v>2045</v>
      </c>
      <c r="D143" s="86">
        <v>65</v>
      </c>
      <c r="E143" s="62" t="s">
        <v>2046</v>
      </c>
    </row>
    <row r="144" spans="1:5" x14ac:dyDescent="0.25">
      <c r="A144" s="28" t="s">
        <v>3</v>
      </c>
      <c r="B144" s="28" t="s">
        <v>2047</v>
      </c>
      <c r="C144" s="16" t="s">
        <v>2048</v>
      </c>
      <c r="D144" s="86">
        <v>0.5</v>
      </c>
      <c r="E144" s="62" t="s">
        <v>2049</v>
      </c>
    </row>
    <row r="145" spans="1:5" x14ac:dyDescent="0.25">
      <c r="A145" s="28" t="s">
        <v>3</v>
      </c>
      <c r="B145" s="28" t="s">
        <v>2050</v>
      </c>
      <c r="C145" s="16" t="s">
        <v>2051</v>
      </c>
      <c r="D145" s="86">
        <v>8</v>
      </c>
      <c r="E145" s="62" t="s">
        <v>2052</v>
      </c>
    </row>
    <row r="146" spans="1:5" x14ac:dyDescent="0.25">
      <c r="A146" s="28" t="s">
        <v>3</v>
      </c>
      <c r="B146" s="28" t="s">
        <v>2053</v>
      </c>
      <c r="C146" s="16" t="s">
        <v>2054</v>
      </c>
      <c r="D146" s="86">
        <v>9000</v>
      </c>
      <c r="E146" s="62" t="s">
        <v>2055</v>
      </c>
    </row>
    <row r="147" spans="1:5" x14ac:dyDescent="0.25">
      <c r="A147" s="28" t="s">
        <v>3</v>
      </c>
      <c r="B147" s="28" t="s">
        <v>2056</v>
      </c>
      <c r="C147" s="16" t="s">
        <v>2057</v>
      </c>
      <c r="D147" s="86">
        <v>1.15</v>
      </c>
      <c r="E147" s="62" t="s">
        <v>2058</v>
      </c>
    </row>
    <row r="148" spans="1:5" x14ac:dyDescent="0.25">
      <c r="A148" s="28" t="s">
        <v>3</v>
      </c>
      <c r="B148" s="28" t="s">
        <v>2059</v>
      </c>
      <c r="C148" s="16" t="s">
        <v>2060</v>
      </c>
      <c r="D148" s="86">
        <v>0.12</v>
      </c>
      <c r="E148" s="62" t="s">
        <v>2061</v>
      </c>
    </row>
    <row r="149" spans="1:5" x14ac:dyDescent="0.25">
      <c r="A149" s="28" t="s">
        <v>3</v>
      </c>
      <c r="B149" s="28" t="s">
        <v>2062</v>
      </c>
      <c r="C149" s="16" t="s">
        <v>2063</v>
      </c>
      <c r="D149" s="86">
        <f>IFERROR(MEDIAN(KOL_Database!$AP$5:$AP$34),0)</f>
      </c>
      <c r="E149" s="62" t="s">
        <v>2064</v>
      </c>
    </row>
    <row r="150" spans="1:5" x14ac:dyDescent="0.25">
      <c r="A150" s="28" t="s">
        <v>3</v>
      </c>
      <c r="B150" s="28" t="s">
        <v>2065</v>
      </c>
      <c r="C150" s="16" t="s">
        <v>2066</v>
      </c>
      <c r="D150" s="86">
        <v>50</v>
      </c>
      <c r="E150" s="62" t="s">
        <v>2067</v>
      </c>
    </row>
    <row r="151" spans="1:5" x14ac:dyDescent="0.25">
      <c r="A151" s="28" t="s">
        <v>3</v>
      </c>
      <c r="B151" s="28" t="s">
        <v>2068</v>
      </c>
      <c r="C151" s="16" t="s">
        <v>2069</v>
      </c>
      <c r="D151" s="86">
        <v>20</v>
      </c>
      <c r="E151" s="62" t="s">
        <v>2070</v>
      </c>
    </row>
    <row r="152" spans="1:5" x14ac:dyDescent="0.25">
      <c r="A152" s="85" t="s">
        <v>2071</v>
      </c>
      <c r="B152" s="28" t="s">
        <v>2072</v>
      </c>
      <c r="C152" s="16" t="s">
        <v>2073</v>
      </c>
      <c r="D152" s="86">
        <v>90</v>
      </c>
      <c r="E152" s="62" t="s">
        <v>2074</v>
      </c>
    </row>
    <row r="153" spans="1:5" x14ac:dyDescent="0.25">
      <c r="A153" s="28" t="s">
        <v>3</v>
      </c>
      <c r="B153" s="28" t="s">
        <v>2075</v>
      </c>
      <c r="C153" s="16" t="s">
        <v>2076</v>
      </c>
      <c r="D153" s="86">
        <v>80</v>
      </c>
      <c r="E153" s="62" t="s">
        <v>3</v>
      </c>
    </row>
    <row r="154" spans="1:5" x14ac:dyDescent="0.25">
      <c r="A154" s="28" t="s">
        <v>3</v>
      </c>
      <c r="B154" s="28" t="s">
        <v>2077</v>
      </c>
      <c r="C154" s="16" t="s">
        <v>2078</v>
      </c>
      <c r="D154" s="86">
        <v>70</v>
      </c>
      <c r="E154" s="62" t="s">
        <v>3</v>
      </c>
    </row>
    <row r="155" spans="1:5" x14ac:dyDescent="0.25">
      <c r="A155" s="28" t="s">
        <v>3</v>
      </c>
      <c r="B155" s="28" t="s">
        <v>2079</v>
      </c>
      <c r="C155" s="16" t="s">
        <v>2080</v>
      </c>
      <c r="D155" s="86">
        <v>60</v>
      </c>
      <c r="E155" s="62" t="s">
        <v>2081</v>
      </c>
    </row>
    <row r="156" spans="1:5" x14ac:dyDescent="0.25">
      <c r="A156" s="85" t="s">
        <v>2082</v>
      </c>
      <c r="B156" s="28" t="s">
        <v>2083</v>
      </c>
      <c r="C156" s="16" t="s">
        <v>2084</v>
      </c>
      <c r="D156" s="86">
        <v>85</v>
      </c>
      <c r="E156" s="62" t="s">
        <v>2085</v>
      </c>
    </row>
    <row r="157" spans="1:5" x14ac:dyDescent="0.25">
      <c r="A157" s="28" t="s">
        <v>3</v>
      </c>
      <c r="B157" s="28" t="s">
        <v>2086</v>
      </c>
      <c r="C157" s="16" t="s">
        <v>2087</v>
      </c>
      <c r="D157" s="86">
        <v>72</v>
      </c>
      <c r="E157" s="62" t="s">
        <v>3</v>
      </c>
    </row>
    <row r="158" spans="1:5" x14ac:dyDescent="0.25">
      <c r="A158" s="28" t="s">
        <v>3</v>
      </c>
      <c r="B158" s="28" t="s">
        <v>2088</v>
      </c>
      <c r="C158" s="16" t="s">
        <v>2089</v>
      </c>
      <c r="D158" s="86">
        <v>60</v>
      </c>
      <c r="E158" s="62" t="s">
        <v>2090</v>
      </c>
    </row>
    <row r="159" spans="1:5" x14ac:dyDescent="0.25">
      <c r="A159" s="85" t="s">
        <v>2091</v>
      </c>
      <c r="B159" s="28" t="s">
        <v>2092</v>
      </c>
      <c r="C159" s="16" t="s">
        <v>2093</v>
      </c>
      <c r="D159" s="86">
        <v>100</v>
      </c>
      <c r="E159" s="62" t="s">
        <v>2094</v>
      </c>
    </row>
    <row r="160" spans="1:5" x14ac:dyDescent="0.25">
      <c r="A160" s="28" t="s">
        <v>3</v>
      </c>
      <c r="B160" s="28" t="s">
        <v>2095</v>
      </c>
      <c r="C160" s="16" t="s">
        <v>2096</v>
      </c>
      <c r="D160" s="86">
        <v>84</v>
      </c>
      <c r="E160" s="62" t="s">
        <v>2097</v>
      </c>
    </row>
    <row r="161" spans="1:5" x14ac:dyDescent="0.25">
      <c r="A161" s="85" t="s">
        <v>2098</v>
      </c>
      <c r="B161" s="28" t="s">
        <v>2099</v>
      </c>
      <c r="C161" s="16" t="s">
        <v>2100</v>
      </c>
      <c r="D161" s="86">
        <v>75</v>
      </c>
      <c r="E161" s="62" t="s">
        <v>2101</v>
      </c>
    </row>
    <row r="162" spans="1:5" x14ac:dyDescent="0.25">
      <c r="A162" s="85" t="s">
        <v>2102</v>
      </c>
      <c r="B162" s="28" t="s">
        <v>2103</v>
      </c>
      <c r="C162" s="16" t="s">
        <v>2104</v>
      </c>
      <c r="D162" s="86">
        <v>35</v>
      </c>
      <c r="E162" s="62" t="s">
        <v>2105</v>
      </c>
    </row>
    <row r="163" spans="1:5" x14ac:dyDescent="0.25">
      <c r="A163" s="28" t="s">
        <v>3</v>
      </c>
      <c r="B163" s="28" t="s">
        <v>396</v>
      </c>
      <c r="C163" s="16" t="s">
        <v>2106</v>
      </c>
      <c r="D163" s="86">
        <v>25</v>
      </c>
      <c r="E163" s="62" t="s">
        <v>2105</v>
      </c>
    </row>
    <row r="164" spans="1:5" x14ac:dyDescent="0.25">
      <c r="A164" s="28" t="s">
        <v>3</v>
      </c>
      <c r="B164" s="28" t="s">
        <v>2017</v>
      </c>
      <c r="C164" s="16" t="s">
        <v>2107</v>
      </c>
      <c r="D164" s="86">
        <v>25</v>
      </c>
      <c r="E164" s="62" t="s">
        <v>2105</v>
      </c>
    </row>
    <row r="165" spans="1:5" x14ac:dyDescent="0.25">
      <c r="A165" s="28" t="s">
        <v>3</v>
      </c>
      <c r="B165" s="28" t="s">
        <v>777</v>
      </c>
      <c r="C165" s="16" t="s">
        <v>2108</v>
      </c>
      <c r="D165" s="86">
        <v>15</v>
      </c>
      <c r="E165" s="62" t="s">
        <v>2105</v>
      </c>
    </row>
    <row r="166" spans="1:5" x14ac:dyDescent="0.25">
      <c r="A166" s="85" t="s">
        <v>2109</v>
      </c>
      <c r="B166" s="15" t="s">
        <v>2110</v>
      </c>
      <c r="C166" s="16" t="s">
        <v>2111</v>
      </c>
      <c r="D166" s="29">
        <f>Lookup_Lists!$D$104+Lookup_Lists!$D$105+Lookup_Lists!$D$106+Lookup_Lists!$D$107+Lookup_Lists!$D$108+Lookup_Lists!$D$109</f>
      </c>
      <c r="E166" s="15">
        <f>IF(Lookup_Lists!$D$166=100,"OK — the six components total 100%","ERROR — the six components total "&amp;Lookup_Lists!$D$166&amp;"%, they must total 100")</f>
      </c>
    </row>
    <row r="168" ht="18" customHeight="1" spans="1:30" x14ac:dyDescent="0.25">
      <c r="A168" s="26" t="s">
        <v>2112</v>
      </c>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row>
    <row r="169" ht="44" customHeight="1" spans="1:15" x14ac:dyDescent="0.25">
      <c r="A169" s="87" t="s">
        <v>2113</v>
      </c>
      <c r="B169" s="12" t="s">
        <v>202</v>
      </c>
      <c r="C169" s="12" t="s">
        <v>505</v>
      </c>
      <c r="D169" s="12" t="s">
        <v>203</v>
      </c>
      <c r="E169" s="12" t="s">
        <v>487</v>
      </c>
      <c r="F169" s="12" t="s">
        <v>201</v>
      </c>
      <c r="G169" s="12" t="s">
        <v>454</v>
      </c>
      <c r="H169" s="12" t="s">
        <v>470</v>
      </c>
      <c r="I169" s="12" t="s">
        <v>521</v>
      </c>
      <c r="J169" s="12" t="s">
        <v>538</v>
      </c>
      <c r="K169" s="12" t="s">
        <v>555</v>
      </c>
      <c r="L169" s="12" t="s">
        <v>574</v>
      </c>
      <c r="M169" s="12" t="s">
        <v>589</v>
      </c>
      <c r="N169" s="12" t="s">
        <v>607</v>
      </c>
      <c r="O169" s="12" t="s">
        <v>622</v>
      </c>
    </row>
    <row r="170" spans="1:15" x14ac:dyDescent="0.25">
      <c r="A170" s="85" t="s">
        <v>92</v>
      </c>
      <c r="B170" s="88">
        <v>20</v>
      </c>
      <c r="C170" s="88">
        <v>20</v>
      </c>
      <c r="D170" s="88">
        <v>20</v>
      </c>
      <c r="E170" s="88">
        <v>40</v>
      </c>
      <c r="F170" s="88">
        <v>100</v>
      </c>
      <c r="G170" s="88">
        <v>80</v>
      </c>
      <c r="H170" s="88">
        <v>80</v>
      </c>
      <c r="I170" s="88">
        <v>60</v>
      </c>
      <c r="J170" s="88">
        <v>40</v>
      </c>
      <c r="K170" s="88">
        <v>20</v>
      </c>
      <c r="L170" s="88">
        <v>40</v>
      </c>
      <c r="M170" s="88">
        <v>60</v>
      </c>
      <c r="N170" s="88">
        <v>40</v>
      </c>
      <c r="O170" s="88">
        <v>40</v>
      </c>
    </row>
    <row r="171" spans="1:15" x14ac:dyDescent="0.25">
      <c r="A171" s="85" t="s">
        <v>93</v>
      </c>
      <c r="B171" s="88">
        <v>100</v>
      </c>
      <c r="C171" s="88">
        <v>80</v>
      </c>
      <c r="D171" s="88">
        <v>40</v>
      </c>
      <c r="E171" s="88">
        <v>60</v>
      </c>
      <c r="F171" s="88">
        <v>20</v>
      </c>
      <c r="G171" s="88">
        <v>20</v>
      </c>
      <c r="H171" s="88">
        <v>20</v>
      </c>
      <c r="I171" s="88">
        <v>80</v>
      </c>
      <c r="J171" s="88">
        <v>40</v>
      </c>
      <c r="K171" s="88">
        <v>40</v>
      </c>
      <c r="L171" s="88">
        <v>40</v>
      </c>
      <c r="M171" s="88">
        <v>20</v>
      </c>
      <c r="N171" s="88">
        <v>20</v>
      </c>
      <c r="O171" s="88">
        <v>40</v>
      </c>
    </row>
    <row r="172" spans="1:15" x14ac:dyDescent="0.25">
      <c r="A172" s="85" t="s">
        <v>94</v>
      </c>
      <c r="B172" s="88">
        <v>40</v>
      </c>
      <c r="C172" s="88">
        <v>40</v>
      </c>
      <c r="D172" s="88">
        <v>100</v>
      </c>
      <c r="E172" s="88">
        <v>60</v>
      </c>
      <c r="F172" s="88">
        <v>20</v>
      </c>
      <c r="G172" s="88">
        <v>20</v>
      </c>
      <c r="H172" s="88">
        <v>40</v>
      </c>
      <c r="I172" s="88">
        <v>80</v>
      </c>
      <c r="J172" s="88">
        <v>80</v>
      </c>
      <c r="K172" s="88">
        <v>60</v>
      </c>
      <c r="L172" s="88">
        <v>60</v>
      </c>
      <c r="M172" s="88">
        <v>20</v>
      </c>
      <c r="N172" s="88">
        <v>20</v>
      </c>
      <c r="O172" s="88">
        <v>60</v>
      </c>
    </row>
    <row r="173" spans="1:15" x14ac:dyDescent="0.25">
      <c r="A173" s="85" t="s">
        <v>1667</v>
      </c>
      <c r="B173" s="88">
        <v>80</v>
      </c>
      <c r="C173" s="88">
        <v>100</v>
      </c>
      <c r="D173" s="88">
        <v>40</v>
      </c>
      <c r="E173" s="88">
        <v>40</v>
      </c>
      <c r="F173" s="88">
        <v>20</v>
      </c>
      <c r="G173" s="88">
        <v>20</v>
      </c>
      <c r="H173" s="88">
        <v>20</v>
      </c>
      <c r="I173" s="88">
        <v>80</v>
      </c>
      <c r="J173" s="88">
        <v>60</v>
      </c>
      <c r="K173" s="88">
        <v>40</v>
      </c>
      <c r="L173" s="88">
        <v>60</v>
      </c>
      <c r="M173" s="88">
        <v>20</v>
      </c>
      <c r="N173" s="88">
        <v>20</v>
      </c>
      <c r="O173" s="88">
        <v>40</v>
      </c>
    </row>
    <row r="174" spans="1:15" x14ac:dyDescent="0.25">
      <c r="A174" s="85" t="s">
        <v>1678</v>
      </c>
      <c r="B174" s="88">
        <v>60</v>
      </c>
      <c r="C174" s="88">
        <v>40</v>
      </c>
      <c r="D174" s="88">
        <v>80</v>
      </c>
      <c r="E174" s="88">
        <v>100</v>
      </c>
      <c r="F174" s="88">
        <v>40</v>
      </c>
      <c r="G174" s="88">
        <v>20</v>
      </c>
      <c r="H174" s="88">
        <v>40</v>
      </c>
      <c r="I174" s="88">
        <v>80</v>
      </c>
      <c r="J174" s="88">
        <v>40</v>
      </c>
      <c r="K174" s="88">
        <v>60</v>
      </c>
      <c r="L174" s="88">
        <v>20</v>
      </c>
      <c r="M174" s="88">
        <v>20</v>
      </c>
      <c r="N174" s="88">
        <v>20</v>
      </c>
      <c r="O174" s="88">
        <v>40</v>
      </c>
    </row>
    <row r="175" spans="1:15" x14ac:dyDescent="0.25">
      <c r="A175" s="85" t="s">
        <v>1687</v>
      </c>
      <c r="B175" s="88">
        <v>20</v>
      </c>
      <c r="C175" s="88">
        <v>20</v>
      </c>
      <c r="D175" s="88">
        <v>20</v>
      </c>
      <c r="E175" s="88">
        <v>20</v>
      </c>
      <c r="F175" s="88">
        <v>80</v>
      </c>
      <c r="G175" s="88">
        <v>100</v>
      </c>
      <c r="H175" s="88">
        <v>80</v>
      </c>
      <c r="I175" s="88">
        <v>60</v>
      </c>
      <c r="J175" s="88">
        <v>40</v>
      </c>
      <c r="K175" s="88">
        <v>40</v>
      </c>
      <c r="L175" s="88">
        <v>20</v>
      </c>
      <c r="M175" s="88">
        <v>20</v>
      </c>
      <c r="N175" s="88">
        <v>40</v>
      </c>
      <c r="O175" s="88">
        <v>40</v>
      </c>
    </row>
    <row r="176" spans="1:15" x14ac:dyDescent="0.25">
      <c r="A176" s="85" t="s">
        <v>470</v>
      </c>
      <c r="B176" s="88">
        <v>20</v>
      </c>
      <c r="C176" s="88">
        <v>20</v>
      </c>
      <c r="D176" s="88">
        <v>20</v>
      </c>
      <c r="E176" s="88">
        <v>40</v>
      </c>
      <c r="F176" s="88">
        <v>80</v>
      </c>
      <c r="G176" s="88">
        <v>80</v>
      </c>
      <c r="H176" s="88">
        <v>100</v>
      </c>
      <c r="I176" s="88">
        <v>60</v>
      </c>
      <c r="J176" s="88">
        <v>40</v>
      </c>
      <c r="K176" s="88">
        <v>60</v>
      </c>
      <c r="L176" s="88">
        <v>40</v>
      </c>
      <c r="M176" s="88">
        <v>40</v>
      </c>
      <c r="N176" s="88">
        <v>20</v>
      </c>
      <c r="O176" s="88">
        <v>20</v>
      </c>
    </row>
    <row r="177" spans="1:15" x14ac:dyDescent="0.25">
      <c r="A177" s="85" t="s">
        <v>1709</v>
      </c>
      <c r="B177" s="88">
        <v>40</v>
      </c>
      <c r="C177" s="88">
        <v>60</v>
      </c>
      <c r="D177" s="88">
        <v>80</v>
      </c>
      <c r="E177" s="88">
        <v>40</v>
      </c>
      <c r="F177" s="88">
        <v>20</v>
      </c>
      <c r="G177" s="88">
        <v>20</v>
      </c>
      <c r="H177" s="88">
        <v>20</v>
      </c>
      <c r="I177" s="88">
        <v>80</v>
      </c>
      <c r="J177" s="88">
        <v>100</v>
      </c>
      <c r="K177" s="88">
        <v>60</v>
      </c>
      <c r="L177" s="88">
        <v>60</v>
      </c>
      <c r="M177" s="88">
        <v>20</v>
      </c>
      <c r="N177" s="88">
        <v>40</v>
      </c>
      <c r="O177" s="88">
        <v>40</v>
      </c>
    </row>
    <row r="178" spans="1:15" x14ac:dyDescent="0.25">
      <c r="A178" s="85" t="s">
        <v>622</v>
      </c>
      <c r="B178" s="88">
        <v>40</v>
      </c>
      <c r="C178" s="88">
        <v>40</v>
      </c>
      <c r="D178" s="88">
        <v>60</v>
      </c>
      <c r="E178" s="88">
        <v>20</v>
      </c>
      <c r="F178" s="88">
        <v>40</v>
      </c>
      <c r="G178" s="88">
        <v>40</v>
      </c>
      <c r="H178" s="88">
        <v>20</v>
      </c>
      <c r="I178" s="88">
        <v>80</v>
      </c>
      <c r="J178" s="88">
        <v>40</v>
      </c>
      <c r="K178" s="88">
        <v>80</v>
      </c>
      <c r="L178" s="88">
        <v>20</v>
      </c>
      <c r="M178" s="88">
        <v>20</v>
      </c>
      <c r="N178" s="88">
        <v>20</v>
      </c>
      <c r="O178" s="88">
        <v>100</v>
      </c>
    </row>
    <row r="179" spans="1:15" x14ac:dyDescent="0.25">
      <c r="A179" s="85" t="s">
        <v>607</v>
      </c>
      <c r="B179" s="88">
        <v>20</v>
      </c>
      <c r="C179" s="88">
        <v>20</v>
      </c>
      <c r="D179" s="88">
        <v>20</v>
      </c>
      <c r="E179" s="88">
        <v>20</v>
      </c>
      <c r="F179" s="88">
        <v>80</v>
      </c>
      <c r="G179" s="88">
        <v>40</v>
      </c>
      <c r="H179" s="88">
        <v>20</v>
      </c>
      <c r="I179" s="88">
        <v>60</v>
      </c>
      <c r="J179" s="88">
        <v>60</v>
      </c>
      <c r="K179" s="88">
        <v>20</v>
      </c>
      <c r="L179" s="88">
        <v>40</v>
      </c>
      <c r="M179" s="88">
        <v>40</v>
      </c>
      <c r="N179" s="88">
        <v>100</v>
      </c>
      <c r="O179" s="88">
        <v>20</v>
      </c>
    </row>
    <row r="180" spans="1:15" x14ac:dyDescent="0.25">
      <c r="A180" s="85" t="s">
        <v>1738</v>
      </c>
      <c r="B180" s="88">
        <v>20</v>
      </c>
      <c r="C180" s="88">
        <v>40</v>
      </c>
      <c r="D180" s="88">
        <v>40</v>
      </c>
      <c r="E180" s="88">
        <v>20</v>
      </c>
      <c r="F180" s="88">
        <v>80</v>
      </c>
      <c r="G180" s="88">
        <v>20</v>
      </c>
      <c r="H180" s="88">
        <v>40</v>
      </c>
      <c r="I180" s="88">
        <v>60</v>
      </c>
      <c r="J180" s="88">
        <v>20</v>
      </c>
      <c r="K180" s="88">
        <v>20</v>
      </c>
      <c r="L180" s="88">
        <v>100</v>
      </c>
      <c r="M180" s="88">
        <v>100</v>
      </c>
      <c r="N180" s="88">
        <v>40</v>
      </c>
      <c r="O180" s="88">
        <v>20</v>
      </c>
    </row>
    <row r="181" spans="1:15" x14ac:dyDescent="0.25">
      <c r="A181" s="85" t="s">
        <v>1749</v>
      </c>
      <c r="B181" s="88">
        <v>60</v>
      </c>
      <c r="C181" s="88">
        <v>40</v>
      </c>
      <c r="D181" s="88">
        <v>60</v>
      </c>
      <c r="E181" s="88">
        <v>60</v>
      </c>
      <c r="F181" s="88">
        <v>20</v>
      </c>
      <c r="G181" s="88">
        <v>40</v>
      </c>
      <c r="H181" s="88">
        <v>60</v>
      </c>
      <c r="I181" s="88">
        <v>80</v>
      </c>
      <c r="J181" s="88">
        <v>40</v>
      </c>
      <c r="K181" s="88">
        <v>100</v>
      </c>
      <c r="L181" s="88">
        <v>20</v>
      </c>
      <c r="M181" s="88">
        <v>20</v>
      </c>
      <c r="N181" s="88">
        <v>20</v>
      </c>
      <c r="O181" s="88">
        <v>80</v>
      </c>
    </row>
    <row r="183" ht="18" customHeight="1" spans="1:30" x14ac:dyDescent="0.25">
      <c r="A183" s="26" t="s">
        <v>2114</v>
      </c>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row>
    <row r="184" ht="44" customHeight="1" spans="1:15" x14ac:dyDescent="0.25">
      <c r="A184" s="87" t="s">
        <v>2113</v>
      </c>
      <c r="B184" s="12" t="s">
        <v>202</v>
      </c>
      <c r="C184" s="12" t="s">
        <v>505</v>
      </c>
      <c r="D184" s="12" t="s">
        <v>203</v>
      </c>
      <c r="E184" s="12" t="s">
        <v>487</v>
      </c>
      <c r="F184" s="12" t="s">
        <v>201</v>
      </c>
      <c r="G184" s="12" t="s">
        <v>454</v>
      </c>
      <c r="H184" s="12" t="s">
        <v>470</v>
      </c>
      <c r="I184" s="12" t="s">
        <v>521</v>
      </c>
      <c r="J184" s="12" t="s">
        <v>538</v>
      </c>
      <c r="K184" s="12" t="s">
        <v>555</v>
      </c>
      <c r="L184" s="12" t="s">
        <v>574</v>
      </c>
      <c r="M184" s="12" t="s">
        <v>589</v>
      </c>
      <c r="N184" s="12" t="s">
        <v>607</v>
      </c>
      <c r="O184" s="12" t="s">
        <v>622</v>
      </c>
    </row>
    <row r="185" spans="1:15" x14ac:dyDescent="0.25">
      <c r="A185" s="85" t="s">
        <v>202</v>
      </c>
      <c r="B185" s="88">
        <v>100</v>
      </c>
      <c r="C185" s="88">
        <v>80</v>
      </c>
      <c r="D185" s="88">
        <v>60</v>
      </c>
      <c r="E185" s="88">
        <v>60</v>
      </c>
      <c r="F185" s="88">
        <v>20</v>
      </c>
      <c r="G185" s="88">
        <v>20</v>
      </c>
      <c r="H185" s="88">
        <v>20</v>
      </c>
      <c r="I185" s="88">
        <v>80</v>
      </c>
      <c r="J185" s="88">
        <v>60</v>
      </c>
      <c r="K185" s="88">
        <v>80</v>
      </c>
      <c r="L185" s="88">
        <v>40</v>
      </c>
      <c r="M185" s="88">
        <v>20</v>
      </c>
      <c r="N185" s="88">
        <v>20</v>
      </c>
      <c r="O185" s="88">
        <v>60</v>
      </c>
    </row>
    <row r="186" spans="1:15" x14ac:dyDescent="0.25">
      <c r="A186" s="85" t="s">
        <v>505</v>
      </c>
      <c r="B186" s="88">
        <v>80</v>
      </c>
      <c r="C186" s="88">
        <v>100</v>
      </c>
      <c r="D186" s="88">
        <v>60</v>
      </c>
      <c r="E186" s="88">
        <v>60</v>
      </c>
      <c r="F186" s="88">
        <v>20</v>
      </c>
      <c r="G186" s="88">
        <v>20</v>
      </c>
      <c r="H186" s="88">
        <v>20</v>
      </c>
      <c r="I186" s="88">
        <v>80</v>
      </c>
      <c r="J186" s="88">
        <v>60</v>
      </c>
      <c r="K186" s="88">
        <v>60</v>
      </c>
      <c r="L186" s="88">
        <v>80</v>
      </c>
      <c r="M186" s="88">
        <v>20</v>
      </c>
      <c r="N186" s="88">
        <v>20</v>
      </c>
      <c r="O186" s="88">
        <v>60</v>
      </c>
    </row>
    <row r="187" spans="1:15" x14ac:dyDescent="0.25">
      <c r="A187" s="85" t="s">
        <v>203</v>
      </c>
      <c r="B187" s="88">
        <v>60</v>
      </c>
      <c r="C187" s="88">
        <v>60</v>
      </c>
      <c r="D187" s="88">
        <v>100</v>
      </c>
      <c r="E187" s="88">
        <v>80</v>
      </c>
      <c r="F187" s="88">
        <v>20</v>
      </c>
      <c r="G187" s="88">
        <v>20</v>
      </c>
      <c r="H187" s="88">
        <v>20</v>
      </c>
      <c r="I187" s="88">
        <v>80</v>
      </c>
      <c r="J187" s="88">
        <v>80</v>
      </c>
      <c r="K187" s="88">
        <v>60</v>
      </c>
      <c r="L187" s="88">
        <v>40</v>
      </c>
      <c r="M187" s="88">
        <v>20</v>
      </c>
      <c r="N187" s="88">
        <v>20</v>
      </c>
      <c r="O187" s="88">
        <v>60</v>
      </c>
    </row>
    <row r="188" spans="1:15" x14ac:dyDescent="0.25">
      <c r="A188" s="85" t="s">
        <v>487</v>
      </c>
      <c r="B188" s="88">
        <v>60</v>
      </c>
      <c r="C188" s="88">
        <v>60</v>
      </c>
      <c r="D188" s="88">
        <v>80</v>
      </c>
      <c r="E188" s="88">
        <v>100</v>
      </c>
      <c r="F188" s="88">
        <v>20</v>
      </c>
      <c r="G188" s="88">
        <v>20</v>
      </c>
      <c r="H188" s="88">
        <v>20</v>
      </c>
      <c r="I188" s="88">
        <v>80</v>
      </c>
      <c r="J188" s="88">
        <v>60</v>
      </c>
      <c r="K188" s="88">
        <v>60</v>
      </c>
      <c r="L188" s="88">
        <v>40</v>
      </c>
      <c r="M188" s="88">
        <v>20</v>
      </c>
      <c r="N188" s="88">
        <v>20</v>
      </c>
      <c r="O188" s="88">
        <v>60</v>
      </c>
    </row>
    <row r="189" spans="1:15" x14ac:dyDescent="0.25">
      <c r="A189" s="85" t="s">
        <v>201</v>
      </c>
      <c r="B189" s="88">
        <v>20</v>
      </c>
      <c r="C189" s="88">
        <v>20</v>
      </c>
      <c r="D189" s="88">
        <v>20</v>
      </c>
      <c r="E189" s="88">
        <v>20</v>
      </c>
      <c r="F189" s="88">
        <v>100</v>
      </c>
      <c r="G189" s="88">
        <v>80</v>
      </c>
      <c r="H189" s="88">
        <v>80</v>
      </c>
      <c r="I189" s="88">
        <v>40</v>
      </c>
      <c r="J189" s="88">
        <v>20</v>
      </c>
      <c r="K189" s="88">
        <v>20</v>
      </c>
      <c r="L189" s="88">
        <v>40</v>
      </c>
      <c r="M189" s="88">
        <v>80</v>
      </c>
      <c r="N189" s="88">
        <v>80</v>
      </c>
      <c r="O189" s="88">
        <v>20</v>
      </c>
    </row>
    <row r="190" spans="1:15" x14ac:dyDescent="0.25">
      <c r="A190" s="85" t="s">
        <v>454</v>
      </c>
      <c r="B190" s="88">
        <v>20</v>
      </c>
      <c r="C190" s="88">
        <v>20</v>
      </c>
      <c r="D190" s="88">
        <v>20</v>
      </c>
      <c r="E190" s="88">
        <v>20</v>
      </c>
      <c r="F190" s="88">
        <v>80</v>
      </c>
      <c r="G190" s="88">
        <v>100</v>
      </c>
      <c r="H190" s="88">
        <v>80</v>
      </c>
      <c r="I190" s="88">
        <v>80</v>
      </c>
      <c r="J190" s="88">
        <v>20</v>
      </c>
      <c r="K190" s="88">
        <v>20</v>
      </c>
      <c r="L190" s="88">
        <v>40</v>
      </c>
      <c r="M190" s="88">
        <v>20</v>
      </c>
      <c r="N190" s="88">
        <v>20</v>
      </c>
      <c r="O190" s="88">
        <v>20</v>
      </c>
    </row>
    <row r="191" spans="1:15" x14ac:dyDescent="0.25">
      <c r="A191" s="85" t="s">
        <v>470</v>
      </c>
      <c r="B191" s="88">
        <v>20</v>
      </c>
      <c r="C191" s="88">
        <v>20</v>
      </c>
      <c r="D191" s="88">
        <v>20</v>
      </c>
      <c r="E191" s="88">
        <v>20</v>
      </c>
      <c r="F191" s="88">
        <v>80</v>
      </c>
      <c r="G191" s="88">
        <v>80</v>
      </c>
      <c r="H191" s="88">
        <v>100</v>
      </c>
      <c r="I191" s="88">
        <v>40</v>
      </c>
      <c r="J191" s="88">
        <v>20</v>
      </c>
      <c r="K191" s="88">
        <v>80</v>
      </c>
      <c r="L191" s="88">
        <v>40</v>
      </c>
      <c r="M191" s="88">
        <v>20</v>
      </c>
      <c r="N191" s="88">
        <v>20</v>
      </c>
      <c r="O191" s="88">
        <v>20</v>
      </c>
    </row>
    <row r="192" spans="1:15" x14ac:dyDescent="0.25">
      <c r="A192" s="85" t="s">
        <v>521</v>
      </c>
      <c r="B192" s="88">
        <v>80</v>
      </c>
      <c r="C192" s="88">
        <v>80</v>
      </c>
      <c r="D192" s="88">
        <v>80</v>
      </c>
      <c r="E192" s="88">
        <v>80</v>
      </c>
      <c r="F192" s="88">
        <v>40</v>
      </c>
      <c r="G192" s="88">
        <v>80</v>
      </c>
      <c r="H192" s="88">
        <v>40</v>
      </c>
      <c r="I192" s="88">
        <v>100</v>
      </c>
      <c r="J192" s="88">
        <v>80</v>
      </c>
      <c r="K192" s="88">
        <v>80</v>
      </c>
      <c r="L192" s="88">
        <v>80</v>
      </c>
      <c r="M192" s="88">
        <v>40</v>
      </c>
      <c r="N192" s="88">
        <v>40</v>
      </c>
      <c r="O192" s="88">
        <v>80</v>
      </c>
    </row>
    <row r="193" spans="1:15" x14ac:dyDescent="0.25">
      <c r="A193" s="85" t="s">
        <v>538</v>
      </c>
      <c r="B193" s="88">
        <v>60</v>
      </c>
      <c r="C193" s="88">
        <v>60</v>
      </c>
      <c r="D193" s="88">
        <v>80</v>
      </c>
      <c r="E193" s="88">
        <v>60</v>
      </c>
      <c r="F193" s="88">
        <v>20</v>
      </c>
      <c r="G193" s="88">
        <v>20</v>
      </c>
      <c r="H193" s="88">
        <v>20</v>
      </c>
      <c r="I193" s="88">
        <v>80</v>
      </c>
      <c r="J193" s="88">
        <v>100</v>
      </c>
      <c r="K193" s="88">
        <v>60</v>
      </c>
      <c r="L193" s="88">
        <v>80</v>
      </c>
      <c r="M193" s="88">
        <v>20</v>
      </c>
      <c r="N193" s="88">
        <v>20</v>
      </c>
      <c r="O193" s="88">
        <v>60</v>
      </c>
    </row>
    <row r="194" spans="1:15" x14ac:dyDescent="0.25">
      <c r="A194" s="85" t="s">
        <v>555</v>
      </c>
      <c r="B194" s="88">
        <v>80</v>
      </c>
      <c r="C194" s="88">
        <v>60</v>
      </c>
      <c r="D194" s="88">
        <v>60</v>
      </c>
      <c r="E194" s="88">
        <v>60</v>
      </c>
      <c r="F194" s="88">
        <v>20</v>
      </c>
      <c r="G194" s="88">
        <v>20</v>
      </c>
      <c r="H194" s="88">
        <v>80</v>
      </c>
      <c r="I194" s="88">
        <v>80</v>
      </c>
      <c r="J194" s="88">
        <v>60</v>
      </c>
      <c r="K194" s="88">
        <v>100</v>
      </c>
      <c r="L194" s="88">
        <v>40</v>
      </c>
      <c r="M194" s="88">
        <v>20</v>
      </c>
      <c r="N194" s="88">
        <v>20</v>
      </c>
      <c r="O194" s="88">
        <v>80</v>
      </c>
    </row>
    <row r="195" spans="1:15" x14ac:dyDescent="0.25">
      <c r="A195" s="85" t="s">
        <v>574</v>
      </c>
      <c r="B195" s="88">
        <v>40</v>
      </c>
      <c r="C195" s="88">
        <v>80</v>
      </c>
      <c r="D195" s="88">
        <v>40</v>
      </c>
      <c r="E195" s="88">
        <v>40</v>
      </c>
      <c r="F195" s="88">
        <v>40</v>
      </c>
      <c r="G195" s="88">
        <v>40</v>
      </c>
      <c r="H195" s="88">
        <v>40</v>
      </c>
      <c r="I195" s="88">
        <v>80</v>
      </c>
      <c r="J195" s="88">
        <v>80</v>
      </c>
      <c r="K195" s="88">
        <v>40</v>
      </c>
      <c r="L195" s="88">
        <v>100</v>
      </c>
      <c r="M195" s="88">
        <v>80</v>
      </c>
      <c r="N195" s="88">
        <v>40</v>
      </c>
      <c r="O195" s="88">
        <v>40</v>
      </c>
    </row>
    <row r="196" spans="1:15" x14ac:dyDescent="0.25">
      <c r="A196" s="85" t="s">
        <v>589</v>
      </c>
      <c r="B196" s="88">
        <v>20</v>
      </c>
      <c r="C196" s="88">
        <v>20</v>
      </c>
      <c r="D196" s="88">
        <v>20</v>
      </c>
      <c r="E196" s="88">
        <v>20</v>
      </c>
      <c r="F196" s="88">
        <v>80</v>
      </c>
      <c r="G196" s="88">
        <v>20</v>
      </c>
      <c r="H196" s="88">
        <v>20</v>
      </c>
      <c r="I196" s="88">
        <v>40</v>
      </c>
      <c r="J196" s="88">
        <v>20</v>
      </c>
      <c r="K196" s="88">
        <v>20</v>
      </c>
      <c r="L196" s="88">
        <v>80</v>
      </c>
      <c r="M196" s="88">
        <v>100</v>
      </c>
      <c r="N196" s="88">
        <v>20</v>
      </c>
      <c r="O196" s="88">
        <v>20</v>
      </c>
    </row>
    <row r="197" spans="1:15" x14ac:dyDescent="0.25">
      <c r="A197" s="85" t="s">
        <v>607</v>
      </c>
      <c r="B197" s="88">
        <v>20</v>
      </c>
      <c r="C197" s="88">
        <v>20</v>
      </c>
      <c r="D197" s="88">
        <v>20</v>
      </c>
      <c r="E197" s="88">
        <v>20</v>
      </c>
      <c r="F197" s="88">
        <v>80</v>
      </c>
      <c r="G197" s="88">
        <v>20</v>
      </c>
      <c r="H197" s="88">
        <v>20</v>
      </c>
      <c r="I197" s="88">
        <v>40</v>
      </c>
      <c r="J197" s="88">
        <v>20</v>
      </c>
      <c r="K197" s="88">
        <v>20</v>
      </c>
      <c r="L197" s="88">
        <v>40</v>
      </c>
      <c r="M197" s="88">
        <v>20</v>
      </c>
      <c r="N197" s="88">
        <v>100</v>
      </c>
      <c r="O197" s="88">
        <v>20</v>
      </c>
    </row>
    <row r="198" spans="1:15" x14ac:dyDescent="0.25">
      <c r="A198" s="85" t="s">
        <v>622</v>
      </c>
      <c r="B198" s="88">
        <v>60</v>
      </c>
      <c r="C198" s="88">
        <v>60</v>
      </c>
      <c r="D198" s="88">
        <v>60</v>
      </c>
      <c r="E198" s="88">
        <v>60</v>
      </c>
      <c r="F198" s="88">
        <v>20</v>
      </c>
      <c r="G198" s="88">
        <v>20</v>
      </c>
      <c r="H198" s="88">
        <v>20</v>
      </c>
      <c r="I198" s="88">
        <v>80</v>
      </c>
      <c r="J198" s="88">
        <v>60</v>
      </c>
      <c r="K198" s="88">
        <v>80</v>
      </c>
      <c r="L198" s="88">
        <v>40</v>
      </c>
      <c r="M198" s="88">
        <v>20</v>
      </c>
      <c r="N198" s="88">
        <v>20</v>
      </c>
      <c r="O198" s="88">
        <v>100</v>
      </c>
    </row>
    <row r="200" ht="18" customHeight="1" spans="1:30" x14ac:dyDescent="0.25">
      <c r="A200" s="26" t="s">
        <v>2115</v>
      </c>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row>
    <row r="201" ht="44" customHeight="1" spans="1:13" x14ac:dyDescent="0.25">
      <c r="A201" s="87" t="s">
        <v>2113</v>
      </c>
      <c r="B201" s="12" t="s">
        <v>458</v>
      </c>
      <c r="C201" s="12" t="s">
        <v>189</v>
      </c>
      <c r="D201" s="12" t="s">
        <v>434</v>
      </c>
      <c r="E201" s="12" t="s">
        <v>602</v>
      </c>
      <c r="F201" s="12" t="s">
        <v>232</v>
      </c>
      <c r="G201" s="12" t="s">
        <v>233</v>
      </c>
      <c r="H201" s="12" t="s">
        <v>550</v>
      </c>
      <c r="I201" s="12" t="s">
        <v>164</v>
      </c>
      <c r="J201" s="12" t="s">
        <v>1922</v>
      </c>
      <c r="K201" s="12" t="s">
        <v>568</v>
      </c>
      <c r="L201" s="12" t="s">
        <v>569</v>
      </c>
      <c r="M201" s="12" t="s">
        <v>500</v>
      </c>
    </row>
    <row r="202" spans="1:13" x14ac:dyDescent="0.25">
      <c r="A202" s="85" t="s">
        <v>458</v>
      </c>
      <c r="B202" s="88">
        <v>100</v>
      </c>
      <c r="C202" s="88">
        <v>90</v>
      </c>
      <c r="D202" s="88">
        <v>50</v>
      </c>
      <c r="E202" s="88">
        <v>70</v>
      </c>
      <c r="F202" s="88">
        <v>70</v>
      </c>
      <c r="G202" s="88">
        <v>50</v>
      </c>
      <c r="H202" s="88">
        <v>30</v>
      </c>
      <c r="I202" s="88">
        <v>70</v>
      </c>
      <c r="J202" s="88">
        <v>60</v>
      </c>
      <c r="K202" s="88">
        <v>30</v>
      </c>
      <c r="L202" s="88">
        <v>20</v>
      </c>
      <c r="M202" s="88">
        <v>60</v>
      </c>
    </row>
    <row r="203" spans="1:13" x14ac:dyDescent="0.25">
      <c r="A203" s="85" t="s">
        <v>163</v>
      </c>
      <c r="B203" s="88">
        <v>70</v>
      </c>
      <c r="C203" s="88">
        <v>75</v>
      </c>
      <c r="D203" s="88">
        <v>95</v>
      </c>
      <c r="E203" s="88">
        <v>100</v>
      </c>
      <c r="F203" s="88">
        <v>85</v>
      </c>
      <c r="G203" s="88">
        <v>50</v>
      </c>
      <c r="H203" s="88">
        <v>40</v>
      </c>
      <c r="I203" s="88">
        <v>60</v>
      </c>
      <c r="J203" s="88">
        <v>50</v>
      </c>
      <c r="K203" s="88">
        <v>45</v>
      </c>
      <c r="L203" s="88">
        <v>30</v>
      </c>
      <c r="M203" s="88">
        <v>70</v>
      </c>
    </row>
    <row r="204" spans="1:13" x14ac:dyDescent="0.25">
      <c r="A204" s="85" t="s">
        <v>165</v>
      </c>
      <c r="B204" s="88">
        <v>45</v>
      </c>
      <c r="C204" s="88">
        <v>60</v>
      </c>
      <c r="D204" s="88">
        <v>60</v>
      </c>
      <c r="E204" s="88">
        <v>45</v>
      </c>
      <c r="F204" s="88">
        <v>60</v>
      </c>
      <c r="G204" s="88">
        <v>100</v>
      </c>
      <c r="H204" s="88">
        <v>95</v>
      </c>
      <c r="I204" s="88">
        <v>35</v>
      </c>
      <c r="J204" s="88">
        <v>25</v>
      </c>
      <c r="K204" s="88">
        <v>75</v>
      </c>
      <c r="L204" s="88">
        <v>70</v>
      </c>
      <c r="M204" s="88">
        <v>65</v>
      </c>
    </row>
    <row r="205" spans="1:13" x14ac:dyDescent="0.25">
      <c r="A205" s="85" t="s">
        <v>164</v>
      </c>
      <c r="B205" s="88">
        <v>85</v>
      </c>
      <c r="C205" s="88">
        <v>55</v>
      </c>
      <c r="D205" s="88">
        <v>65</v>
      </c>
      <c r="E205" s="88">
        <v>50</v>
      </c>
      <c r="F205" s="88">
        <v>60</v>
      </c>
      <c r="G205" s="88">
        <v>35</v>
      </c>
      <c r="H205" s="88">
        <v>25</v>
      </c>
      <c r="I205" s="88">
        <v>100</v>
      </c>
      <c r="J205" s="88">
        <v>95</v>
      </c>
      <c r="K205" s="88">
        <v>30</v>
      </c>
      <c r="L205" s="88">
        <v>20</v>
      </c>
      <c r="M205" s="88">
        <v>65</v>
      </c>
    </row>
    <row r="206" spans="1:13" x14ac:dyDescent="0.25">
      <c r="A206" s="85" t="s">
        <v>1919</v>
      </c>
      <c r="B206" s="88">
        <v>25</v>
      </c>
      <c r="C206" s="88">
        <v>40</v>
      </c>
      <c r="D206" s="88">
        <v>75</v>
      </c>
      <c r="E206" s="88">
        <v>40</v>
      </c>
      <c r="F206" s="88">
        <v>50</v>
      </c>
      <c r="G206" s="88">
        <v>80</v>
      </c>
      <c r="H206" s="88">
        <v>85</v>
      </c>
      <c r="I206" s="88">
        <v>25</v>
      </c>
      <c r="J206" s="88">
        <v>20</v>
      </c>
      <c r="K206" s="88">
        <v>100</v>
      </c>
      <c r="L206" s="88">
        <v>95</v>
      </c>
      <c r="M206" s="88">
        <v>50</v>
      </c>
    </row>
    <row r="207" spans="1:13" x14ac:dyDescent="0.25">
      <c r="A207" s="85" t="s">
        <v>189</v>
      </c>
      <c r="B207" s="88">
        <v>85</v>
      </c>
      <c r="C207" s="88">
        <v>100</v>
      </c>
      <c r="D207" s="88">
        <v>60</v>
      </c>
      <c r="E207" s="88">
        <v>80</v>
      </c>
      <c r="F207" s="88">
        <v>75</v>
      </c>
      <c r="G207" s="88">
        <v>55</v>
      </c>
      <c r="H207" s="88">
        <v>45</v>
      </c>
      <c r="I207" s="88">
        <v>45</v>
      </c>
      <c r="J207" s="88">
        <v>30</v>
      </c>
      <c r="K207" s="88">
        <v>40</v>
      </c>
      <c r="L207" s="88">
        <v>30</v>
      </c>
      <c r="M207" s="88">
        <v>65</v>
      </c>
    </row>
    <row r="208" spans="1:13" x14ac:dyDescent="0.25">
      <c r="A208" s="85" t="s">
        <v>1927</v>
      </c>
      <c r="B208" s="88">
        <v>55</v>
      </c>
      <c r="C208" s="88">
        <v>70</v>
      </c>
      <c r="D208" s="88">
        <v>70</v>
      </c>
      <c r="E208" s="88">
        <v>50</v>
      </c>
      <c r="F208" s="88">
        <v>70</v>
      </c>
      <c r="G208" s="88">
        <v>100</v>
      </c>
      <c r="H208" s="88">
        <v>80</v>
      </c>
      <c r="I208" s="88">
        <v>45</v>
      </c>
      <c r="J208" s="88">
        <v>35</v>
      </c>
      <c r="K208" s="88">
        <v>60</v>
      </c>
      <c r="L208" s="88">
        <v>55</v>
      </c>
      <c r="M208" s="88">
        <v>85</v>
      </c>
    </row>
    <row r="209" spans="1:13" x14ac:dyDescent="0.25">
      <c r="A209" s="85" t="s">
        <v>1931</v>
      </c>
      <c r="B209" s="88">
        <v>50</v>
      </c>
      <c r="C209" s="88">
        <v>45</v>
      </c>
      <c r="D209" s="88">
        <v>90</v>
      </c>
      <c r="E209" s="88">
        <v>70</v>
      </c>
      <c r="F209" s="88">
        <v>65</v>
      </c>
      <c r="G209" s="88">
        <v>60</v>
      </c>
      <c r="H209" s="88">
        <v>55</v>
      </c>
      <c r="I209" s="88">
        <v>65</v>
      </c>
      <c r="J209" s="88">
        <v>60</v>
      </c>
      <c r="K209" s="88">
        <v>85</v>
      </c>
      <c r="L209" s="88">
        <v>75</v>
      </c>
      <c r="M209" s="88">
        <v>80</v>
      </c>
    </row>
    <row r="210" spans="1:13" x14ac:dyDescent="0.25">
      <c r="A210" s="85" t="s">
        <v>1934</v>
      </c>
      <c r="B210" s="88">
        <v>55</v>
      </c>
      <c r="C210" s="88">
        <v>75</v>
      </c>
      <c r="D210" s="88">
        <v>60</v>
      </c>
      <c r="E210" s="88">
        <v>40</v>
      </c>
      <c r="F210" s="88">
        <v>60</v>
      </c>
      <c r="G210" s="88">
        <v>95</v>
      </c>
      <c r="H210" s="88">
        <v>75</v>
      </c>
      <c r="I210" s="88">
        <v>40</v>
      </c>
      <c r="J210" s="88">
        <v>30</v>
      </c>
      <c r="K210" s="88">
        <v>55</v>
      </c>
      <c r="L210" s="88">
        <v>45</v>
      </c>
      <c r="M210" s="88">
        <v>85</v>
      </c>
    </row>
    <row r="211" spans="1:13" x14ac:dyDescent="0.25">
      <c r="A211" s="85" t="s">
        <v>1938</v>
      </c>
      <c r="B211" s="88">
        <v>70</v>
      </c>
      <c r="C211" s="88">
        <v>70</v>
      </c>
      <c r="D211" s="88">
        <v>90</v>
      </c>
      <c r="E211" s="88">
        <v>90</v>
      </c>
      <c r="F211" s="88">
        <v>75</v>
      </c>
      <c r="G211" s="88">
        <v>60</v>
      </c>
      <c r="H211" s="88">
        <v>55</v>
      </c>
      <c r="I211" s="88">
        <v>80</v>
      </c>
      <c r="J211" s="88">
        <v>70</v>
      </c>
      <c r="K211" s="88">
        <v>60</v>
      </c>
      <c r="L211" s="88">
        <v>40</v>
      </c>
      <c r="M211" s="88">
        <v>75</v>
      </c>
    </row>
    <row r="213" ht="18" customHeight="1" spans="1:30" x14ac:dyDescent="0.25">
      <c r="A213" s="26" t="s">
        <v>2116</v>
      </c>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row>
    <row r="214" ht="44" customHeight="1" spans="1:11" x14ac:dyDescent="0.25">
      <c r="A214" s="87" t="s">
        <v>2113</v>
      </c>
      <c r="B214" s="12" t="s">
        <v>189</v>
      </c>
      <c r="C214" s="12" t="s">
        <v>433</v>
      </c>
      <c r="D214" s="12" t="s">
        <v>224</v>
      </c>
      <c r="E214" s="12" t="s">
        <v>191</v>
      </c>
      <c r="F214" s="12" t="s">
        <v>509</v>
      </c>
      <c r="G214" s="12" t="s">
        <v>568</v>
      </c>
      <c r="H214" s="12" t="s">
        <v>525</v>
      </c>
      <c r="I214" s="12" t="s">
        <v>491</v>
      </c>
      <c r="J214" s="12" t="s">
        <v>645</v>
      </c>
      <c r="K214" s="12" t="s">
        <v>575</v>
      </c>
    </row>
    <row r="215" spans="1:11" x14ac:dyDescent="0.25">
      <c r="A215" s="85" t="s">
        <v>1896</v>
      </c>
      <c r="B215" s="88">
        <v>90</v>
      </c>
      <c r="C215" s="88">
        <v>85</v>
      </c>
      <c r="D215" s="88">
        <v>70</v>
      </c>
      <c r="E215" s="88">
        <v>55</v>
      </c>
      <c r="F215" s="88">
        <v>50</v>
      </c>
      <c r="G215" s="88">
        <v>30</v>
      </c>
      <c r="H215" s="88">
        <v>40</v>
      </c>
      <c r="I215" s="88">
        <v>80</v>
      </c>
      <c r="J215" s="88">
        <v>75</v>
      </c>
      <c r="K215" s="88">
        <v>20</v>
      </c>
    </row>
    <row r="216" spans="1:11" x14ac:dyDescent="0.25">
      <c r="A216" s="85" t="s">
        <v>174</v>
      </c>
      <c r="B216" s="88">
        <v>100</v>
      </c>
      <c r="C216" s="88">
        <v>95</v>
      </c>
      <c r="D216" s="88">
        <v>90</v>
      </c>
      <c r="E216" s="88">
        <v>65</v>
      </c>
      <c r="F216" s="88">
        <v>50</v>
      </c>
      <c r="G216" s="88">
        <v>40</v>
      </c>
      <c r="H216" s="88">
        <v>55</v>
      </c>
      <c r="I216" s="88">
        <v>85</v>
      </c>
      <c r="J216" s="88">
        <v>80</v>
      </c>
      <c r="K216" s="88">
        <v>30</v>
      </c>
    </row>
    <row r="217" spans="1:11" x14ac:dyDescent="0.25">
      <c r="A217" s="85" t="s">
        <v>176</v>
      </c>
      <c r="B217" s="88">
        <v>60</v>
      </c>
      <c r="C217" s="88">
        <v>70</v>
      </c>
      <c r="D217" s="88">
        <v>65</v>
      </c>
      <c r="E217" s="88">
        <v>95</v>
      </c>
      <c r="F217" s="88">
        <v>65</v>
      </c>
      <c r="G217" s="88">
        <v>70</v>
      </c>
      <c r="H217" s="88">
        <v>90</v>
      </c>
      <c r="I217" s="88">
        <v>55</v>
      </c>
      <c r="J217" s="88">
        <v>75</v>
      </c>
      <c r="K217" s="88">
        <v>60</v>
      </c>
    </row>
    <row r="218" spans="1:11" x14ac:dyDescent="0.25">
      <c r="A218" s="85" t="s">
        <v>175</v>
      </c>
      <c r="B218" s="88">
        <v>65</v>
      </c>
      <c r="C218" s="88">
        <v>65</v>
      </c>
      <c r="D218" s="88">
        <v>70</v>
      </c>
      <c r="E218" s="88">
        <v>85</v>
      </c>
      <c r="F218" s="88">
        <v>95</v>
      </c>
      <c r="G218" s="88">
        <v>60</v>
      </c>
      <c r="H218" s="88">
        <v>75</v>
      </c>
      <c r="I218" s="88">
        <v>60</v>
      </c>
      <c r="J218" s="88">
        <v>60</v>
      </c>
      <c r="K218" s="88">
        <v>35</v>
      </c>
    </row>
    <row r="219" spans="1:11" x14ac:dyDescent="0.25">
      <c r="A219" s="85" t="s">
        <v>1919</v>
      </c>
      <c r="B219" s="88">
        <v>40</v>
      </c>
      <c r="C219" s="88">
        <v>55</v>
      </c>
      <c r="D219" s="88">
        <v>60</v>
      </c>
      <c r="E219" s="88">
        <v>70</v>
      </c>
      <c r="F219" s="88">
        <v>60</v>
      </c>
      <c r="G219" s="88">
        <v>100</v>
      </c>
      <c r="H219" s="88">
        <v>80</v>
      </c>
      <c r="I219" s="88">
        <v>45</v>
      </c>
      <c r="J219" s="88">
        <v>55</v>
      </c>
      <c r="K219" s="88">
        <v>95</v>
      </c>
    </row>
    <row r="220" spans="1:11" x14ac:dyDescent="0.25">
      <c r="A220" s="85" t="s">
        <v>1925</v>
      </c>
      <c r="B220" s="88">
        <v>75</v>
      </c>
      <c r="C220" s="88">
        <v>60</v>
      </c>
      <c r="D220" s="88">
        <v>60</v>
      </c>
      <c r="E220" s="88">
        <v>95</v>
      </c>
      <c r="F220" s="88">
        <v>80</v>
      </c>
      <c r="G220" s="88">
        <v>60</v>
      </c>
      <c r="H220" s="88">
        <v>75</v>
      </c>
      <c r="I220" s="88">
        <v>50</v>
      </c>
      <c r="J220" s="88">
        <v>70</v>
      </c>
      <c r="K220" s="88">
        <v>40</v>
      </c>
    </row>
    <row r="221" spans="1:11" x14ac:dyDescent="0.25">
      <c r="A221" s="85" t="s">
        <v>1928</v>
      </c>
      <c r="B221" s="88">
        <v>85</v>
      </c>
      <c r="C221" s="88">
        <v>90</v>
      </c>
      <c r="D221" s="88">
        <v>95</v>
      </c>
      <c r="E221" s="88">
        <v>55</v>
      </c>
      <c r="F221" s="88">
        <v>45</v>
      </c>
      <c r="G221" s="88">
        <v>40</v>
      </c>
      <c r="H221" s="88">
        <v>55</v>
      </c>
      <c r="I221" s="88">
        <v>95</v>
      </c>
      <c r="J221" s="88">
        <v>80</v>
      </c>
      <c r="K221" s="88">
        <v>30</v>
      </c>
    </row>
    <row r="222" spans="1:11" x14ac:dyDescent="0.25">
      <c r="A222" s="85" t="s">
        <v>1912</v>
      </c>
      <c r="B222" s="88">
        <v>65</v>
      </c>
      <c r="C222" s="88">
        <v>65</v>
      </c>
      <c r="D222" s="88">
        <v>75</v>
      </c>
      <c r="E222" s="88">
        <v>85</v>
      </c>
      <c r="F222" s="88">
        <v>55</v>
      </c>
      <c r="G222" s="88">
        <v>75</v>
      </c>
      <c r="H222" s="88">
        <v>90</v>
      </c>
      <c r="I222" s="88">
        <v>55</v>
      </c>
      <c r="J222" s="88">
        <v>95</v>
      </c>
      <c r="K222" s="88">
        <v>70</v>
      </c>
    </row>
    <row r="224" ht="18" customHeight="1" spans="1:30" x14ac:dyDescent="0.25">
      <c r="A224" s="26" t="s">
        <v>2117</v>
      </c>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row>
    <row r="225" ht="44" customHeight="1" spans="1:11" x14ac:dyDescent="0.25">
      <c r="A225" s="87" t="s">
        <v>2113</v>
      </c>
      <c r="B225" s="12" t="s">
        <v>189</v>
      </c>
      <c r="C225" s="12" t="s">
        <v>433</v>
      </c>
      <c r="D225" s="12" t="s">
        <v>224</v>
      </c>
      <c r="E225" s="12" t="s">
        <v>191</v>
      </c>
      <c r="F225" s="12" t="s">
        <v>509</v>
      </c>
      <c r="G225" s="12" t="s">
        <v>568</v>
      </c>
      <c r="H225" s="12" t="s">
        <v>525</v>
      </c>
      <c r="I225" s="12" t="s">
        <v>491</v>
      </c>
      <c r="J225" s="12" t="s">
        <v>645</v>
      </c>
      <c r="K225" s="12" t="s">
        <v>575</v>
      </c>
    </row>
    <row r="226" spans="1:11" x14ac:dyDescent="0.25">
      <c r="A226" s="85" t="s">
        <v>189</v>
      </c>
      <c r="B226" s="88">
        <v>100</v>
      </c>
      <c r="C226" s="88">
        <v>95</v>
      </c>
      <c r="D226" s="88">
        <v>70</v>
      </c>
      <c r="E226" s="88">
        <v>60</v>
      </c>
      <c r="F226" s="88">
        <v>45</v>
      </c>
      <c r="G226" s="88">
        <v>40</v>
      </c>
      <c r="H226" s="88">
        <v>50</v>
      </c>
      <c r="I226" s="88">
        <v>80</v>
      </c>
      <c r="J226" s="88">
        <v>75</v>
      </c>
      <c r="K226" s="88">
        <v>30</v>
      </c>
    </row>
    <row r="227" spans="1:11" x14ac:dyDescent="0.25">
      <c r="A227" s="85" t="s">
        <v>191</v>
      </c>
      <c r="B227" s="88">
        <v>60</v>
      </c>
      <c r="C227" s="88">
        <v>55</v>
      </c>
      <c r="D227" s="88">
        <v>60</v>
      </c>
      <c r="E227" s="88">
        <v>100</v>
      </c>
      <c r="F227" s="88">
        <v>70</v>
      </c>
      <c r="G227" s="88">
        <v>70</v>
      </c>
      <c r="H227" s="88">
        <v>90</v>
      </c>
      <c r="I227" s="88">
        <v>45</v>
      </c>
      <c r="J227" s="88">
        <v>75</v>
      </c>
      <c r="K227" s="88">
        <v>60</v>
      </c>
    </row>
    <row r="228" spans="1:11" x14ac:dyDescent="0.25">
      <c r="A228" s="85" t="s">
        <v>1906</v>
      </c>
      <c r="B228" s="88">
        <v>80</v>
      </c>
      <c r="C228" s="88">
        <v>95</v>
      </c>
      <c r="D228" s="88">
        <v>90</v>
      </c>
      <c r="E228" s="88">
        <v>50</v>
      </c>
      <c r="F228" s="88">
        <v>55</v>
      </c>
      <c r="G228" s="88">
        <v>45</v>
      </c>
      <c r="H228" s="88">
        <v>60</v>
      </c>
      <c r="I228" s="88">
        <v>100</v>
      </c>
      <c r="J228" s="88">
        <v>65</v>
      </c>
      <c r="K228" s="88">
        <v>30</v>
      </c>
    </row>
    <row r="229" spans="1:11" x14ac:dyDescent="0.25">
      <c r="A229" s="85" t="s">
        <v>1912</v>
      </c>
      <c r="B229" s="88">
        <v>60</v>
      </c>
      <c r="C229" s="88">
        <v>60</v>
      </c>
      <c r="D229" s="88">
        <v>70</v>
      </c>
      <c r="E229" s="88">
        <v>80</v>
      </c>
      <c r="F229" s="88">
        <v>50</v>
      </c>
      <c r="G229" s="88">
        <v>75</v>
      </c>
      <c r="H229" s="88">
        <v>90</v>
      </c>
      <c r="I229" s="88">
        <v>50</v>
      </c>
      <c r="J229" s="88">
        <v>100</v>
      </c>
      <c r="K229" s="88">
        <v>70</v>
      </c>
    </row>
    <row r="230" spans="1:11" x14ac:dyDescent="0.25">
      <c r="A230" s="85" t="s">
        <v>1920</v>
      </c>
      <c r="B230" s="88">
        <v>95</v>
      </c>
      <c r="C230" s="88">
        <v>80</v>
      </c>
      <c r="D230" s="88">
        <v>90</v>
      </c>
      <c r="E230" s="88">
        <v>50</v>
      </c>
      <c r="F230" s="88">
        <v>40</v>
      </c>
      <c r="G230" s="88">
        <v>35</v>
      </c>
      <c r="H230" s="88">
        <v>45</v>
      </c>
      <c r="I230" s="88">
        <v>85</v>
      </c>
      <c r="J230" s="88">
        <v>70</v>
      </c>
      <c r="K230" s="88">
        <v>20</v>
      </c>
    </row>
    <row r="231" spans="1:11" x14ac:dyDescent="0.25">
      <c r="A231" s="85" t="s">
        <v>190</v>
      </c>
      <c r="B231" s="88">
        <v>55</v>
      </c>
      <c r="C231" s="88">
        <v>70</v>
      </c>
      <c r="D231" s="88">
        <v>65</v>
      </c>
      <c r="E231" s="88">
        <v>70</v>
      </c>
      <c r="F231" s="88">
        <v>100</v>
      </c>
      <c r="G231" s="88">
        <v>70</v>
      </c>
      <c r="H231" s="88">
        <v>85</v>
      </c>
      <c r="I231" s="88">
        <v>75</v>
      </c>
      <c r="J231" s="88">
        <v>50</v>
      </c>
      <c r="K231" s="88">
        <v>55</v>
      </c>
    </row>
    <row r="232" spans="1:11" x14ac:dyDescent="0.25">
      <c r="A232" s="85" t="s">
        <v>569</v>
      </c>
      <c r="B232" s="88">
        <v>40</v>
      </c>
      <c r="C232" s="88">
        <v>45</v>
      </c>
      <c r="D232" s="88">
        <v>60</v>
      </c>
      <c r="E232" s="88">
        <v>70</v>
      </c>
      <c r="F232" s="88">
        <v>50</v>
      </c>
      <c r="G232" s="88">
        <v>95</v>
      </c>
      <c r="H232" s="88">
        <v>80</v>
      </c>
      <c r="I232" s="88">
        <v>35</v>
      </c>
      <c r="J232" s="88">
        <v>70</v>
      </c>
      <c r="K232" s="88">
        <v>100</v>
      </c>
    </row>
    <row r="233" spans="1:11" x14ac:dyDescent="0.25">
      <c r="A233" s="85" t="s">
        <v>1932</v>
      </c>
      <c r="B233" s="88">
        <v>60</v>
      </c>
      <c r="C233" s="88">
        <v>65</v>
      </c>
      <c r="D233" s="88">
        <v>100</v>
      </c>
      <c r="E233" s="88">
        <v>85</v>
      </c>
      <c r="F233" s="88">
        <v>55</v>
      </c>
      <c r="G233" s="88">
        <v>55</v>
      </c>
      <c r="H233" s="88">
        <v>75</v>
      </c>
      <c r="I233" s="88">
        <v>70</v>
      </c>
      <c r="J233" s="88">
        <v>80</v>
      </c>
      <c r="K233" s="88">
        <v>40</v>
      </c>
    </row>
    <row r="235" ht="18" customHeight="1" spans="1:30" x14ac:dyDescent="0.25">
      <c r="A235" s="26" t="s">
        <v>2118</v>
      </c>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row>
    <row r="236" ht="44" customHeight="1" spans="1:11" x14ac:dyDescent="0.25">
      <c r="A236" s="87" t="s">
        <v>2113</v>
      </c>
      <c r="B236" s="12" t="s">
        <v>189</v>
      </c>
      <c r="C236" s="12" t="s">
        <v>433</v>
      </c>
      <c r="D236" s="12" t="s">
        <v>224</v>
      </c>
      <c r="E236" s="12" t="s">
        <v>191</v>
      </c>
      <c r="F236" s="12" t="s">
        <v>509</v>
      </c>
      <c r="G236" s="12" t="s">
        <v>568</v>
      </c>
      <c r="H236" s="12" t="s">
        <v>525</v>
      </c>
      <c r="I236" s="12" t="s">
        <v>491</v>
      </c>
      <c r="J236" s="12" t="s">
        <v>645</v>
      </c>
      <c r="K236" s="12" t="s">
        <v>575</v>
      </c>
    </row>
    <row r="237" spans="1:11" x14ac:dyDescent="0.25">
      <c r="A237" s="85" t="s">
        <v>189</v>
      </c>
      <c r="B237" s="88">
        <v>100</v>
      </c>
      <c r="C237" s="88">
        <v>80</v>
      </c>
      <c r="D237" s="88">
        <v>80</v>
      </c>
      <c r="E237" s="88">
        <v>45</v>
      </c>
      <c r="F237" s="88">
        <v>45</v>
      </c>
      <c r="G237" s="88">
        <v>45</v>
      </c>
      <c r="H237" s="88">
        <v>45</v>
      </c>
      <c r="I237" s="88">
        <v>80</v>
      </c>
      <c r="J237" s="88">
        <v>80</v>
      </c>
      <c r="K237" s="88">
        <v>45</v>
      </c>
    </row>
    <row r="238" spans="1:11" x14ac:dyDescent="0.25">
      <c r="A238" s="85" t="s">
        <v>433</v>
      </c>
      <c r="B238" s="88">
        <v>80</v>
      </c>
      <c r="C238" s="88">
        <v>100</v>
      </c>
      <c r="D238" s="88">
        <v>80</v>
      </c>
      <c r="E238" s="88">
        <v>45</v>
      </c>
      <c r="F238" s="88">
        <v>45</v>
      </c>
      <c r="G238" s="88">
        <v>45</v>
      </c>
      <c r="H238" s="88">
        <v>45</v>
      </c>
      <c r="I238" s="88">
        <v>80</v>
      </c>
      <c r="J238" s="88">
        <v>80</v>
      </c>
      <c r="K238" s="88">
        <v>45</v>
      </c>
    </row>
    <row r="239" spans="1:11" x14ac:dyDescent="0.25">
      <c r="A239" s="85" t="s">
        <v>224</v>
      </c>
      <c r="B239" s="88">
        <v>80</v>
      </c>
      <c r="C239" s="88">
        <v>80</v>
      </c>
      <c r="D239" s="88">
        <v>100</v>
      </c>
      <c r="E239" s="88">
        <v>45</v>
      </c>
      <c r="F239" s="88">
        <v>45</v>
      </c>
      <c r="G239" s="88">
        <v>45</v>
      </c>
      <c r="H239" s="88">
        <v>45</v>
      </c>
      <c r="I239" s="88">
        <v>80</v>
      </c>
      <c r="J239" s="88">
        <v>80</v>
      </c>
      <c r="K239" s="88">
        <v>45</v>
      </c>
    </row>
    <row r="240" spans="1:11" x14ac:dyDescent="0.25">
      <c r="A240" s="85" t="s">
        <v>191</v>
      </c>
      <c r="B240" s="88">
        <v>45</v>
      </c>
      <c r="C240" s="88">
        <v>45</v>
      </c>
      <c r="D240" s="88">
        <v>45</v>
      </c>
      <c r="E240" s="88">
        <v>100</v>
      </c>
      <c r="F240" s="88">
        <v>45</v>
      </c>
      <c r="G240" s="88">
        <v>45</v>
      </c>
      <c r="H240" s="88">
        <v>80</v>
      </c>
      <c r="I240" s="88">
        <v>45</v>
      </c>
      <c r="J240" s="88">
        <v>45</v>
      </c>
      <c r="K240" s="88">
        <v>45</v>
      </c>
    </row>
    <row r="241" spans="1:11" x14ac:dyDescent="0.25">
      <c r="A241" s="85" t="s">
        <v>509</v>
      </c>
      <c r="B241" s="88">
        <v>45</v>
      </c>
      <c r="C241" s="88">
        <v>45</v>
      </c>
      <c r="D241" s="88">
        <v>45</v>
      </c>
      <c r="E241" s="88">
        <v>45</v>
      </c>
      <c r="F241" s="88">
        <v>100</v>
      </c>
      <c r="G241" s="88">
        <v>45</v>
      </c>
      <c r="H241" s="88">
        <v>45</v>
      </c>
      <c r="I241" s="88">
        <v>45</v>
      </c>
      <c r="J241" s="88">
        <v>45</v>
      </c>
      <c r="K241" s="88">
        <v>45</v>
      </c>
    </row>
    <row r="242" spans="1:11" x14ac:dyDescent="0.25">
      <c r="A242" s="85" t="s">
        <v>568</v>
      </c>
      <c r="B242" s="88">
        <v>45</v>
      </c>
      <c r="C242" s="88">
        <v>45</v>
      </c>
      <c r="D242" s="88">
        <v>45</v>
      </c>
      <c r="E242" s="88">
        <v>45</v>
      </c>
      <c r="F242" s="88">
        <v>45</v>
      </c>
      <c r="G242" s="88">
        <v>100</v>
      </c>
      <c r="H242" s="88">
        <v>45</v>
      </c>
      <c r="I242" s="88">
        <v>45</v>
      </c>
      <c r="J242" s="88">
        <v>45</v>
      </c>
      <c r="K242" s="88">
        <v>80</v>
      </c>
    </row>
    <row r="243" spans="1:11" x14ac:dyDescent="0.25">
      <c r="A243" s="85" t="s">
        <v>525</v>
      </c>
      <c r="B243" s="88">
        <v>45</v>
      </c>
      <c r="C243" s="88">
        <v>45</v>
      </c>
      <c r="D243" s="88">
        <v>45</v>
      </c>
      <c r="E243" s="88">
        <v>80</v>
      </c>
      <c r="F243" s="88">
        <v>45</v>
      </c>
      <c r="G243" s="88">
        <v>45</v>
      </c>
      <c r="H243" s="88">
        <v>100</v>
      </c>
      <c r="I243" s="88">
        <v>45</v>
      </c>
      <c r="J243" s="88">
        <v>45</v>
      </c>
      <c r="K243" s="88">
        <v>45</v>
      </c>
    </row>
    <row r="244" spans="1:11" x14ac:dyDescent="0.25">
      <c r="A244" s="85" t="s">
        <v>491</v>
      </c>
      <c r="B244" s="88">
        <v>80</v>
      </c>
      <c r="C244" s="88">
        <v>80</v>
      </c>
      <c r="D244" s="88">
        <v>80</v>
      </c>
      <c r="E244" s="88">
        <v>45</v>
      </c>
      <c r="F244" s="88">
        <v>45</v>
      </c>
      <c r="G244" s="88">
        <v>45</v>
      </c>
      <c r="H244" s="88">
        <v>45</v>
      </c>
      <c r="I244" s="88">
        <v>100</v>
      </c>
      <c r="J244" s="88">
        <v>80</v>
      </c>
      <c r="K244" s="88">
        <v>45</v>
      </c>
    </row>
    <row r="245" spans="1:11" x14ac:dyDescent="0.25">
      <c r="A245" s="85" t="s">
        <v>645</v>
      </c>
      <c r="B245" s="88">
        <v>80</v>
      </c>
      <c r="C245" s="88">
        <v>80</v>
      </c>
      <c r="D245" s="88">
        <v>80</v>
      </c>
      <c r="E245" s="88">
        <v>45</v>
      </c>
      <c r="F245" s="88">
        <v>45</v>
      </c>
      <c r="G245" s="88">
        <v>45</v>
      </c>
      <c r="H245" s="88">
        <v>45</v>
      </c>
      <c r="I245" s="88">
        <v>80</v>
      </c>
      <c r="J245" s="88">
        <v>100</v>
      </c>
      <c r="K245" s="88">
        <v>45</v>
      </c>
    </row>
    <row r="246" spans="1:11" x14ac:dyDescent="0.25">
      <c r="A246" s="85" t="s">
        <v>575</v>
      </c>
      <c r="B246" s="88">
        <v>45</v>
      </c>
      <c r="C246" s="88">
        <v>45</v>
      </c>
      <c r="D246" s="88">
        <v>45</v>
      </c>
      <c r="E246" s="88">
        <v>45</v>
      </c>
      <c r="F246" s="88">
        <v>45</v>
      </c>
      <c r="G246" s="88">
        <v>80</v>
      </c>
      <c r="H246" s="88">
        <v>45</v>
      </c>
      <c r="I246" s="88">
        <v>45</v>
      </c>
      <c r="J246" s="88">
        <v>45</v>
      </c>
      <c r="K246" s="88">
        <v>100</v>
      </c>
    </row>
    <row r="248" ht="18" customHeight="1" spans="1:30" x14ac:dyDescent="0.25">
      <c r="A248" s="26" t="s">
        <v>2119</v>
      </c>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row>
    <row r="249" ht="22" customHeight="1" spans="1:5" x14ac:dyDescent="0.25">
      <c r="A249" s="12" t="s">
        <v>1863</v>
      </c>
      <c r="B249" s="12" t="s">
        <v>2120</v>
      </c>
      <c r="C249" s="12" t="s">
        <v>2121</v>
      </c>
      <c r="D249" s="12" t="s">
        <v>2122</v>
      </c>
      <c r="E249" s="12" t="s">
        <v>2123</v>
      </c>
    </row>
    <row r="250" spans="1:5" x14ac:dyDescent="0.25">
      <c r="A250" s="31">
        <v>1</v>
      </c>
      <c r="B250" s="15" t="s">
        <v>935</v>
      </c>
      <c r="C250" s="28" t="s">
        <v>681</v>
      </c>
      <c r="D250" s="31" t="s">
        <v>2124</v>
      </c>
      <c r="E250" s="16" t="s">
        <v>821</v>
      </c>
    </row>
    <row r="251" spans="1:5" x14ac:dyDescent="0.25">
      <c r="A251" s="31">
        <v>2</v>
      </c>
      <c r="B251" s="15" t="s">
        <v>950</v>
      </c>
      <c r="C251" s="28" t="s">
        <v>353</v>
      </c>
      <c r="D251" s="31" t="s">
        <v>2124</v>
      </c>
      <c r="E251" s="16" t="s">
        <v>747</v>
      </c>
    </row>
    <row r="252" spans="1:5" x14ac:dyDescent="0.25">
      <c r="A252" s="31">
        <v>3</v>
      </c>
      <c r="B252" s="15" t="s">
        <v>951</v>
      </c>
      <c r="C252" s="28" t="s">
        <v>354</v>
      </c>
      <c r="D252" s="31" t="s">
        <v>2124</v>
      </c>
      <c r="E252" s="16" t="s">
        <v>821</v>
      </c>
    </row>
    <row r="253" spans="1:5" x14ac:dyDescent="0.25">
      <c r="A253" s="31">
        <v>4</v>
      </c>
      <c r="B253" s="15" t="s">
        <v>952</v>
      </c>
      <c r="C253" s="28" t="s">
        <v>2125</v>
      </c>
      <c r="D253" s="31" t="s">
        <v>2124</v>
      </c>
      <c r="E253" s="16" t="s">
        <v>747</v>
      </c>
    </row>
    <row r="254" spans="1:5" x14ac:dyDescent="0.25">
      <c r="A254" s="31">
        <v>5</v>
      </c>
      <c r="B254" s="15" t="s">
        <v>953</v>
      </c>
      <c r="C254" s="28" t="s">
        <v>831</v>
      </c>
      <c r="D254" s="31" t="s">
        <v>2124</v>
      </c>
      <c r="E254" s="16" t="s">
        <v>747</v>
      </c>
    </row>
    <row r="255" spans="1:5" x14ac:dyDescent="0.25">
      <c r="A255" s="31">
        <v>6</v>
      </c>
      <c r="B255" s="15" t="s">
        <v>954</v>
      </c>
      <c r="C255" s="28" t="s">
        <v>835</v>
      </c>
      <c r="D255" s="31" t="s">
        <v>2124</v>
      </c>
      <c r="E255" s="16" t="s">
        <v>747</v>
      </c>
    </row>
    <row r="256" spans="1:5" x14ac:dyDescent="0.25">
      <c r="A256" s="31">
        <v>7</v>
      </c>
      <c r="B256" s="15" t="s">
        <v>955</v>
      </c>
      <c r="C256" s="28" t="s">
        <v>357</v>
      </c>
      <c r="D256" s="31" t="s">
        <v>2124</v>
      </c>
      <c r="E256" s="16" t="s">
        <v>754</v>
      </c>
    </row>
    <row r="257" spans="1:5" x14ac:dyDescent="0.25">
      <c r="A257" s="31">
        <v>8</v>
      </c>
      <c r="B257" s="15" t="s">
        <v>956</v>
      </c>
      <c r="C257" s="28" t="s">
        <v>395</v>
      </c>
      <c r="D257" s="31" t="s">
        <v>2124</v>
      </c>
      <c r="E257" s="16" t="s">
        <v>747</v>
      </c>
    </row>
    <row r="258" spans="1:5" x14ac:dyDescent="0.25">
      <c r="A258" s="31">
        <v>9</v>
      </c>
      <c r="B258" s="15" t="s">
        <v>957</v>
      </c>
      <c r="C258" s="28" t="s">
        <v>363</v>
      </c>
      <c r="D258" s="31" t="s">
        <v>2124</v>
      </c>
      <c r="E258" s="16" t="s">
        <v>754</v>
      </c>
    </row>
    <row r="259" spans="1:5" x14ac:dyDescent="0.25">
      <c r="A259" s="31">
        <v>10</v>
      </c>
      <c r="B259" s="15" t="s">
        <v>958</v>
      </c>
      <c r="C259" s="28" t="s">
        <v>841</v>
      </c>
      <c r="D259" s="31" t="s">
        <v>2124</v>
      </c>
      <c r="E259" s="16" t="s">
        <v>754</v>
      </c>
    </row>
    <row r="260" spans="1:5" x14ac:dyDescent="0.25">
      <c r="A260" s="31">
        <v>11</v>
      </c>
      <c r="B260" s="15" t="s">
        <v>959</v>
      </c>
      <c r="C260" s="28" t="s">
        <v>845</v>
      </c>
      <c r="D260" s="31" t="s">
        <v>2124</v>
      </c>
      <c r="E260" s="16" t="s">
        <v>754</v>
      </c>
    </row>
    <row r="261" spans="1:5" x14ac:dyDescent="0.25">
      <c r="A261" s="31">
        <v>12</v>
      </c>
      <c r="B261" s="15" t="s">
        <v>898</v>
      </c>
      <c r="C261" s="28" t="s">
        <v>2126</v>
      </c>
      <c r="D261" s="31" t="s">
        <v>2124</v>
      </c>
      <c r="E261" s="16" t="s">
        <v>754</v>
      </c>
    </row>
    <row r="262" spans="1:5" x14ac:dyDescent="0.25">
      <c r="A262" s="31">
        <v>13</v>
      </c>
      <c r="B262" s="15" t="s">
        <v>960</v>
      </c>
      <c r="C262" s="28" t="s">
        <v>359</v>
      </c>
      <c r="D262" s="31" t="s">
        <v>2124</v>
      </c>
      <c r="E262" s="16" t="s">
        <v>754</v>
      </c>
    </row>
    <row r="263" spans="1:5" x14ac:dyDescent="0.25">
      <c r="A263" s="31">
        <v>14</v>
      </c>
      <c r="B263" s="15" t="s">
        <v>961</v>
      </c>
      <c r="C263" s="28" t="s">
        <v>360</v>
      </c>
      <c r="D263" s="31" t="s">
        <v>2124</v>
      </c>
      <c r="E263" s="16" t="s">
        <v>754</v>
      </c>
    </row>
    <row r="264" spans="1:5" x14ac:dyDescent="0.25">
      <c r="A264" s="31">
        <v>15</v>
      </c>
      <c r="B264" s="15" t="s">
        <v>962</v>
      </c>
      <c r="C264" s="28" t="s">
        <v>15</v>
      </c>
      <c r="D264" s="31" t="s">
        <v>2124</v>
      </c>
      <c r="E264" s="16" t="s">
        <v>821</v>
      </c>
    </row>
    <row r="265" spans="1:5" x14ac:dyDescent="0.25">
      <c r="A265" s="31">
        <v>16</v>
      </c>
      <c r="B265" s="15" t="s">
        <v>963</v>
      </c>
      <c r="C265" s="28" t="s">
        <v>358</v>
      </c>
      <c r="D265" s="31" t="s">
        <v>2124</v>
      </c>
      <c r="E265" s="16" t="s">
        <v>754</v>
      </c>
    </row>
    <row r="266" spans="1:5" x14ac:dyDescent="0.25">
      <c r="A266" s="31">
        <v>17</v>
      </c>
      <c r="B266" s="15" t="s">
        <v>964</v>
      </c>
      <c r="C266" s="28" t="s">
        <v>381</v>
      </c>
      <c r="D266" s="31" t="s">
        <v>2127</v>
      </c>
      <c r="E266" s="16" t="s">
        <v>754</v>
      </c>
    </row>
    <row r="267" spans="1:5" x14ac:dyDescent="0.25">
      <c r="A267" s="31">
        <v>18</v>
      </c>
      <c r="B267" s="15" t="s">
        <v>965</v>
      </c>
      <c r="C267" s="28" t="s">
        <v>382</v>
      </c>
      <c r="D267" s="31" t="s">
        <v>2127</v>
      </c>
      <c r="E267" s="16" t="s">
        <v>754</v>
      </c>
    </row>
    <row r="268" spans="1:5" x14ac:dyDescent="0.25">
      <c r="A268" s="31">
        <v>19</v>
      </c>
      <c r="B268" s="15" t="s">
        <v>966</v>
      </c>
      <c r="C268" s="28" t="s">
        <v>383</v>
      </c>
      <c r="D268" s="31" t="s">
        <v>2127</v>
      </c>
      <c r="E268" s="16" t="s">
        <v>754</v>
      </c>
    </row>
    <row r="269" spans="1:5" x14ac:dyDescent="0.25">
      <c r="A269" s="31">
        <v>20</v>
      </c>
      <c r="B269" s="15" t="s">
        <v>967</v>
      </c>
      <c r="C269" s="28" t="s">
        <v>396</v>
      </c>
      <c r="D269" s="31" t="s">
        <v>2124</v>
      </c>
      <c r="E269" s="16" t="s">
        <v>754</v>
      </c>
    </row>
    <row r="270" spans="1:5" x14ac:dyDescent="0.25">
      <c r="A270" s="31">
        <v>21</v>
      </c>
      <c r="B270" s="15" t="s">
        <v>968</v>
      </c>
      <c r="C270" s="28" t="s">
        <v>385</v>
      </c>
      <c r="D270" s="31" t="s">
        <v>2124</v>
      </c>
      <c r="E270" s="16" t="s">
        <v>754</v>
      </c>
    </row>
    <row r="271" spans="1:5" x14ac:dyDescent="0.25">
      <c r="A271" s="31">
        <v>22</v>
      </c>
      <c r="B271" s="15" t="s">
        <v>969</v>
      </c>
      <c r="C271" s="28" t="s">
        <v>684</v>
      </c>
      <c r="D271" s="31" t="s">
        <v>2124</v>
      </c>
      <c r="E271" s="16" t="s">
        <v>821</v>
      </c>
    </row>
    <row r="272" spans="1:5" x14ac:dyDescent="0.25">
      <c r="A272" s="31">
        <v>23</v>
      </c>
      <c r="B272" s="15" t="s">
        <v>970</v>
      </c>
      <c r="C272" s="28" t="s">
        <v>685</v>
      </c>
      <c r="D272" s="31" t="s">
        <v>2124</v>
      </c>
      <c r="E272" s="16" t="s">
        <v>821</v>
      </c>
    </row>
    <row r="273" spans="1:5" x14ac:dyDescent="0.25">
      <c r="A273" s="31">
        <v>24</v>
      </c>
      <c r="B273" s="15" t="s">
        <v>971</v>
      </c>
      <c r="C273" s="28" t="s">
        <v>387</v>
      </c>
      <c r="D273" s="31" t="s">
        <v>2127</v>
      </c>
      <c r="E273" s="16" t="s">
        <v>754</v>
      </c>
    </row>
    <row r="274" spans="1:5" x14ac:dyDescent="0.25">
      <c r="A274" s="31">
        <v>25</v>
      </c>
      <c r="B274" s="15" t="s">
        <v>972</v>
      </c>
      <c r="C274" s="28" t="s">
        <v>17</v>
      </c>
      <c r="D274" s="31" t="s">
        <v>2124</v>
      </c>
      <c r="E274" s="16" t="s">
        <v>821</v>
      </c>
    </row>
    <row r="275" spans="1:5" x14ac:dyDescent="0.25">
      <c r="A275" s="31">
        <v>26</v>
      </c>
      <c r="B275" s="15" t="s">
        <v>887</v>
      </c>
      <c r="C275" s="28" t="s">
        <v>393</v>
      </c>
      <c r="D275" s="31" t="s">
        <v>2124</v>
      </c>
      <c r="E275" s="16" t="s">
        <v>738</v>
      </c>
    </row>
    <row r="276" spans="1:5" x14ac:dyDescent="0.25">
      <c r="A276" s="31">
        <v>27</v>
      </c>
      <c r="B276" s="15" t="s">
        <v>892</v>
      </c>
      <c r="C276" s="28" t="s">
        <v>394</v>
      </c>
      <c r="D276" s="31" t="s">
        <v>2124</v>
      </c>
      <c r="E276" s="16" t="s">
        <v>738</v>
      </c>
    </row>
    <row r="277" spans="1:5" x14ac:dyDescent="0.25">
      <c r="A277" s="31">
        <v>28</v>
      </c>
      <c r="B277" s="15" t="s">
        <v>895</v>
      </c>
      <c r="C277" s="28" t="s">
        <v>2128</v>
      </c>
      <c r="D277" s="31" t="s">
        <v>2124</v>
      </c>
      <c r="E277" s="16" t="s">
        <v>754</v>
      </c>
    </row>
    <row r="278" spans="1:5" x14ac:dyDescent="0.25">
      <c r="A278" s="31">
        <v>29</v>
      </c>
      <c r="B278" s="15" t="s">
        <v>903</v>
      </c>
      <c r="C278" s="28" t="s">
        <v>905</v>
      </c>
      <c r="D278" s="31" t="s">
        <v>2124</v>
      </c>
      <c r="E278" s="16" t="s">
        <v>821</v>
      </c>
    </row>
    <row r="279" spans="1:5" x14ac:dyDescent="0.25">
      <c r="A279" s="31">
        <v>30</v>
      </c>
      <c r="B279" s="15" t="s">
        <v>908</v>
      </c>
      <c r="C279" s="28" t="s">
        <v>2129</v>
      </c>
      <c r="D279" s="31" t="s">
        <v>2124</v>
      </c>
      <c r="E279" s="16" t="s">
        <v>821</v>
      </c>
    </row>
  </sheetData>
  <mergeCells count="13">
    <mergeCell ref="A1:AD1"/>
    <mergeCell ref="A2:AD2"/>
    <mergeCell ref="A4:AD4"/>
    <mergeCell ref="A49:AD49"/>
    <mergeCell ref="A94:AD94"/>
    <mergeCell ref="A102:AD102"/>
    <mergeCell ref="A168:AD168"/>
    <mergeCell ref="A183:AD183"/>
    <mergeCell ref="A200:AD200"/>
    <mergeCell ref="A213:AD213"/>
    <mergeCell ref="A224:AD224"/>
    <mergeCell ref="A235:AD235"/>
    <mergeCell ref="A248:AD24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9"/>
  <sheetViews>
    <sheetView workbookViewId="0">
      <pane xSplit="3" ySplit="6" topLeftCell="D7" activePane="bottomRight" state="frozen"/>
      <selection pane="bottomRight"/>
    </sheetView>
  </sheetViews>
  <sheetFormatPr defaultRowHeight="15" outlineLevelRow="0" outlineLevelCol="0" x14ac:dyDescent="55"/>
  <cols>
    <col min="1" max="1" width="22" customWidth="1"/>
    <col min="2" max="2" width="30" customWidth="1"/>
    <col min="3" max="3" width="26" customWidth="1"/>
    <col min="4" max="7" width="34" customWidth="1"/>
    <col min="8" max="8" width="46" customWidth="1"/>
  </cols>
  <sheetData>
    <row r="1" ht="24" customHeight="1" spans="1:8" x14ac:dyDescent="0.25">
      <c r="A1" s="1" t="s">
        <v>68</v>
      </c>
      <c r="B1" s="1"/>
      <c r="C1" s="1"/>
      <c r="D1" s="1"/>
      <c r="E1" s="1"/>
      <c r="F1" s="1"/>
      <c r="G1" s="1"/>
      <c r="H1" s="1"/>
    </row>
    <row r="2" ht="30" customHeight="1" spans="1:8" x14ac:dyDescent="0.25">
      <c r="A2" s="2" t="s">
        <v>69</v>
      </c>
      <c r="B2" s="2"/>
      <c r="C2" s="2"/>
      <c r="D2" s="2"/>
      <c r="E2" s="2"/>
      <c r="F2" s="2"/>
      <c r="G2" s="2"/>
      <c r="H2" s="2"/>
    </row>
    <row r="4" ht="22" customHeight="1" spans="1:8" x14ac:dyDescent="0.25">
      <c r="A4" s="7" t="s">
        <v>70</v>
      </c>
      <c r="B4" s="8" t="s">
        <v>71</v>
      </c>
      <c r="C4" s="9" t="s">
        <v>3</v>
      </c>
      <c r="G4" s="10" t="s">
        <v>72</v>
      </c>
      <c r="H4" s="11">
        <f>MATCH($B$4,$D$6:$F$6,0)</f>
      </c>
    </row>
    <row r="6" ht="28" customHeight="1" spans="1:8" x14ac:dyDescent="0.25">
      <c r="A6" s="12" t="s">
        <v>73</v>
      </c>
      <c r="B6" s="12" t="s">
        <v>74</v>
      </c>
      <c r="C6" s="12" t="s">
        <v>75</v>
      </c>
      <c r="D6" s="12" t="s">
        <v>71</v>
      </c>
      <c r="E6" s="12" t="s">
        <v>76</v>
      </c>
      <c r="F6" s="12" t="s">
        <v>77</v>
      </c>
      <c r="G6" s="12" t="s">
        <v>78</v>
      </c>
      <c r="H6" s="12" t="s">
        <v>79</v>
      </c>
    </row>
    <row r="7" ht="18" customHeight="1" spans="1:8" x14ac:dyDescent="0.25">
      <c r="A7" s="13" t="s">
        <v>80</v>
      </c>
      <c r="B7" s="13"/>
      <c r="C7" s="13"/>
      <c r="D7" s="13"/>
      <c r="E7" s="13"/>
      <c r="F7" s="13"/>
      <c r="G7" s="13"/>
      <c r="H7" s="13"/>
    </row>
    <row r="8" spans="1:8" x14ac:dyDescent="0.25">
      <c r="A8" s="14" t="s">
        <v>81</v>
      </c>
      <c r="B8" s="15" t="s">
        <v>82</v>
      </c>
      <c r="C8" s="16" t="s">
        <v>83</v>
      </c>
      <c r="D8" s="17" t="s">
        <v>71</v>
      </c>
      <c r="E8" s="17" t="s">
        <v>76</v>
      </c>
      <c r="F8" s="17" t="s">
        <v>77</v>
      </c>
      <c r="G8" s="18">
        <f>INDEX($D8:$F8,1,$H$4)</f>
      </c>
      <c r="H8" s="19" t="s">
        <v>84</v>
      </c>
    </row>
    <row r="9" spans="1:8" x14ac:dyDescent="0.25">
      <c r="A9" s="14" t="s">
        <v>81</v>
      </c>
      <c r="B9" s="15" t="s">
        <v>85</v>
      </c>
      <c r="C9" s="16" t="s">
        <v>86</v>
      </c>
      <c r="D9" s="17" t="s">
        <v>87</v>
      </c>
      <c r="E9" s="17" t="s">
        <v>88</v>
      </c>
      <c r="F9" s="17" t="s">
        <v>89</v>
      </c>
      <c r="G9" s="18">
        <f>INDEX($D9:$F9,1,$H$4)</f>
      </c>
      <c r="H9" s="19" t="s">
        <v>84</v>
      </c>
    </row>
    <row r="10" spans="1:8" x14ac:dyDescent="0.25">
      <c r="A10" s="14" t="s">
        <v>81</v>
      </c>
      <c r="B10" s="15" t="s">
        <v>90</v>
      </c>
      <c r="C10" s="16" t="s">
        <v>91</v>
      </c>
      <c r="D10" s="17" t="s">
        <v>92</v>
      </c>
      <c r="E10" s="17" t="s">
        <v>93</v>
      </c>
      <c r="F10" s="17" t="s">
        <v>94</v>
      </c>
      <c r="G10" s="18">
        <f>INDEX($D10:$F10,1,$H$4)</f>
      </c>
      <c r="H10" s="19" t="s">
        <v>95</v>
      </c>
    </row>
    <row r="11" spans="1:8" x14ac:dyDescent="0.25">
      <c r="A11" s="14" t="s">
        <v>81</v>
      </c>
      <c r="B11" s="15" t="s">
        <v>96</v>
      </c>
      <c r="C11" s="16" t="s">
        <v>97</v>
      </c>
      <c r="D11" s="17" t="s">
        <v>98</v>
      </c>
      <c r="E11" s="17" t="s">
        <v>99</v>
      </c>
      <c r="F11" s="17" t="s">
        <v>100</v>
      </c>
      <c r="G11" s="18">
        <f>INDEX($D11:$F11,1,$H$4)</f>
      </c>
      <c r="H11" s="19" t="s">
        <v>84</v>
      </c>
    </row>
    <row r="12" spans="1:8" x14ac:dyDescent="0.25">
      <c r="A12" s="14" t="s">
        <v>81</v>
      </c>
      <c r="B12" s="15" t="s">
        <v>101</v>
      </c>
      <c r="C12" s="16" t="s">
        <v>102</v>
      </c>
      <c r="D12" s="17" t="s">
        <v>103</v>
      </c>
      <c r="E12" s="17" t="s">
        <v>104</v>
      </c>
      <c r="F12" s="17" t="s">
        <v>105</v>
      </c>
      <c r="G12" s="18">
        <f>INDEX($D12:$F12,1,$H$4)</f>
      </c>
      <c r="H12" s="19" t="s">
        <v>106</v>
      </c>
    </row>
    <row r="13" spans="1:8" x14ac:dyDescent="0.25">
      <c r="A13" s="14" t="s">
        <v>81</v>
      </c>
      <c r="B13" s="15" t="s">
        <v>107</v>
      </c>
      <c r="C13" s="16" t="s">
        <v>108</v>
      </c>
      <c r="D13" s="17" t="s">
        <v>109</v>
      </c>
      <c r="E13" s="17" t="s">
        <v>110</v>
      </c>
      <c r="F13" s="17" t="s">
        <v>111</v>
      </c>
      <c r="G13" s="18">
        <f>INDEX($D13:$F13,1,$H$4)</f>
      </c>
      <c r="H13" s="19" t="s">
        <v>112</v>
      </c>
    </row>
    <row r="14" spans="1:8" x14ac:dyDescent="0.25">
      <c r="A14" s="14" t="s">
        <v>81</v>
      </c>
      <c r="B14" s="15" t="s">
        <v>113</v>
      </c>
      <c r="C14" s="16" t="s">
        <v>114</v>
      </c>
      <c r="D14" s="17" t="s">
        <v>115</v>
      </c>
      <c r="E14" s="17" t="s">
        <v>116</v>
      </c>
      <c r="F14" s="17" t="s">
        <v>117</v>
      </c>
      <c r="G14" s="18">
        <f>INDEX($D14:$F14,1,$H$4)</f>
      </c>
      <c r="H14" s="19" t="s">
        <v>118</v>
      </c>
    </row>
    <row r="15" ht="18" customHeight="1" spans="1:8" x14ac:dyDescent="0.25">
      <c r="A15" s="13" t="s">
        <v>119</v>
      </c>
      <c r="B15" s="13"/>
      <c r="C15" s="13"/>
      <c r="D15" s="13"/>
      <c r="E15" s="13"/>
      <c r="F15" s="13"/>
      <c r="G15" s="13"/>
      <c r="H15" s="13"/>
    </row>
    <row r="16" spans="1:8" x14ac:dyDescent="0.25">
      <c r="A16" s="14" t="s">
        <v>120</v>
      </c>
      <c r="B16" s="15" t="s">
        <v>121</v>
      </c>
      <c r="C16" s="16" t="s">
        <v>122</v>
      </c>
      <c r="D16" s="17" t="s">
        <v>123</v>
      </c>
      <c r="E16" s="17" t="s">
        <v>124</v>
      </c>
      <c r="F16" s="17" t="s">
        <v>123</v>
      </c>
      <c r="G16" s="18">
        <f>INDEX($D16:$F16,1,$H$4)</f>
      </c>
      <c r="H16" s="19" t="s">
        <v>125</v>
      </c>
    </row>
    <row r="17" spans="1:8" x14ac:dyDescent="0.25">
      <c r="A17" s="14" t="s">
        <v>120</v>
      </c>
      <c r="B17" s="15" t="s">
        <v>126</v>
      </c>
      <c r="C17" s="16" t="s">
        <v>127</v>
      </c>
      <c r="D17" s="17" t="s">
        <v>124</v>
      </c>
      <c r="E17" s="17" t="s">
        <v>123</v>
      </c>
      <c r="F17" s="17" t="s">
        <v>128</v>
      </c>
      <c r="G17" s="18">
        <f>INDEX($D17:$F17,1,$H$4)</f>
      </c>
      <c r="H17" s="19" t="s">
        <v>125</v>
      </c>
    </row>
    <row r="18" spans="1:8" x14ac:dyDescent="0.25">
      <c r="A18" s="14" t="s">
        <v>120</v>
      </c>
      <c r="B18" s="15" t="s">
        <v>129</v>
      </c>
      <c r="C18" s="16" t="s">
        <v>130</v>
      </c>
      <c r="D18" s="17" t="s">
        <v>131</v>
      </c>
      <c r="E18" s="17" t="s">
        <v>132</v>
      </c>
      <c r="F18" s="17" t="s">
        <v>133</v>
      </c>
      <c r="G18" s="18">
        <f>INDEX($D18:$F18,1,$H$4)</f>
      </c>
      <c r="H18" s="19" t="s">
        <v>134</v>
      </c>
    </row>
    <row r="19" spans="1:8" x14ac:dyDescent="0.25">
      <c r="A19" s="14" t="s">
        <v>120</v>
      </c>
      <c r="B19" s="15" t="s">
        <v>135</v>
      </c>
      <c r="C19" s="16" t="s">
        <v>136</v>
      </c>
      <c r="D19" s="17" t="s">
        <v>137</v>
      </c>
      <c r="E19" s="17" t="s">
        <v>137</v>
      </c>
      <c r="F19" s="17" t="s">
        <v>137</v>
      </c>
      <c r="G19" s="18">
        <f>INDEX($D19:$F19,1,$H$4)</f>
      </c>
      <c r="H19" s="19" t="s">
        <v>138</v>
      </c>
    </row>
    <row r="20" spans="1:8" x14ac:dyDescent="0.25">
      <c r="A20" s="14" t="s">
        <v>120</v>
      </c>
      <c r="B20" s="15" t="s">
        <v>139</v>
      </c>
      <c r="C20" s="16" t="s">
        <v>140</v>
      </c>
      <c r="D20" s="17" t="s">
        <v>141</v>
      </c>
      <c r="E20" s="17" t="s">
        <v>142</v>
      </c>
      <c r="F20" s="17" t="s">
        <v>142</v>
      </c>
      <c r="G20" s="18">
        <f>INDEX($D20:$F20,1,$H$4)</f>
      </c>
      <c r="H20" s="19" t="s">
        <v>143</v>
      </c>
    </row>
    <row r="21" spans="1:8" x14ac:dyDescent="0.25">
      <c r="A21" s="14" t="s">
        <v>120</v>
      </c>
      <c r="B21" s="15" t="s">
        <v>144</v>
      </c>
      <c r="C21" s="16" t="s">
        <v>145</v>
      </c>
      <c r="D21" s="17" t="s">
        <v>146</v>
      </c>
      <c r="E21" s="17" t="s">
        <v>146</v>
      </c>
      <c r="F21" s="17" t="s">
        <v>142</v>
      </c>
      <c r="G21" s="18">
        <f>INDEX($D21:$F21,1,$H$4)</f>
      </c>
      <c r="H21" s="19" t="s">
        <v>147</v>
      </c>
    </row>
    <row r="22" spans="1:8" x14ac:dyDescent="0.25">
      <c r="A22" s="14" t="s">
        <v>120</v>
      </c>
      <c r="B22" s="15" t="s">
        <v>148</v>
      </c>
      <c r="C22" s="16" t="s">
        <v>149</v>
      </c>
      <c r="D22" s="17" t="s">
        <v>150</v>
      </c>
      <c r="E22" s="17" t="s">
        <v>151</v>
      </c>
      <c r="F22" s="17" t="s">
        <v>152</v>
      </c>
      <c r="G22" s="18">
        <f>INDEX($D22:$F22,1,$H$4)</f>
      </c>
      <c r="H22" s="19" t="s">
        <v>112</v>
      </c>
    </row>
    <row r="23" spans="1:8" x14ac:dyDescent="0.25">
      <c r="A23" s="14" t="s">
        <v>120</v>
      </c>
      <c r="B23" s="15" t="s">
        <v>153</v>
      </c>
      <c r="C23" s="16" t="s">
        <v>154</v>
      </c>
      <c r="D23" s="17" t="s">
        <v>155</v>
      </c>
      <c r="E23" s="17" t="s">
        <v>156</v>
      </c>
      <c r="F23" s="17" t="s">
        <v>157</v>
      </c>
      <c r="G23" s="18">
        <f>INDEX($D23:$F23,1,$H$4)</f>
      </c>
      <c r="H23" s="19" t="s">
        <v>158</v>
      </c>
    </row>
    <row r="24" ht="18" customHeight="1" spans="1:8" x14ac:dyDescent="0.25">
      <c r="A24" s="13" t="s">
        <v>159</v>
      </c>
      <c r="B24" s="13"/>
      <c r="C24" s="13"/>
      <c r="D24" s="13"/>
      <c r="E24" s="13"/>
      <c r="F24" s="13"/>
      <c r="G24" s="13"/>
      <c r="H24" s="13"/>
    </row>
    <row r="25" spans="1:8" x14ac:dyDescent="0.25">
      <c r="A25" s="14" t="s">
        <v>160</v>
      </c>
      <c r="B25" s="15" t="s">
        <v>161</v>
      </c>
      <c r="C25" s="16" t="s">
        <v>162</v>
      </c>
      <c r="D25" s="17" t="s">
        <v>163</v>
      </c>
      <c r="E25" s="17" t="s">
        <v>164</v>
      </c>
      <c r="F25" s="17" t="s">
        <v>165</v>
      </c>
      <c r="G25" s="18">
        <f>INDEX($D25:$F25,1,$H$4)</f>
      </c>
      <c r="H25" s="19" t="s">
        <v>166</v>
      </c>
    </row>
    <row r="26" spans="1:8" x14ac:dyDescent="0.25">
      <c r="A26" s="14" t="s">
        <v>160</v>
      </c>
      <c r="B26" s="15" t="s">
        <v>167</v>
      </c>
      <c r="C26" s="16" t="s">
        <v>168</v>
      </c>
      <c r="D26" s="17" t="s">
        <v>169</v>
      </c>
      <c r="E26" s="17" t="s">
        <v>170</v>
      </c>
      <c r="F26" s="17" t="s">
        <v>171</v>
      </c>
      <c r="G26" s="18">
        <f>INDEX($D26:$F26,1,$H$4)</f>
      </c>
      <c r="H26" s="19" t="s">
        <v>112</v>
      </c>
    </row>
    <row r="27" spans="1:8" x14ac:dyDescent="0.25">
      <c r="A27" s="14" t="s">
        <v>160</v>
      </c>
      <c r="B27" s="15" t="s">
        <v>172</v>
      </c>
      <c r="C27" s="16" t="s">
        <v>173</v>
      </c>
      <c r="D27" s="17" t="s">
        <v>174</v>
      </c>
      <c r="E27" s="17" t="s">
        <v>175</v>
      </c>
      <c r="F27" s="17" t="s">
        <v>176</v>
      </c>
      <c r="G27" s="18">
        <f>INDEX($D27:$F27,1,$H$4)</f>
      </c>
      <c r="H27" s="19" t="s">
        <v>177</v>
      </c>
    </row>
    <row r="28" spans="1:8" x14ac:dyDescent="0.25">
      <c r="A28" s="14" t="s">
        <v>160</v>
      </c>
      <c r="B28" s="15" t="s">
        <v>178</v>
      </c>
      <c r="C28" s="16" t="s">
        <v>179</v>
      </c>
      <c r="D28" s="17" t="s">
        <v>180</v>
      </c>
      <c r="E28" s="17" t="s">
        <v>164</v>
      </c>
      <c r="F28" s="17" t="s">
        <v>181</v>
      </c>
      <c r="G28" s="18">
        <f>INDEX($D28:$F28,1,$H$4)</f>
      </c>
      <c r="H28" s="19" t="s">
        <v>182</v>
      </c>
    </row>
    <row r="29" spans="1:8" x14ac:dyDescent="0.25">
      <c r="A29" s="14" t="s">
        <v>160</v>
      </c>
      <c r="B29" s="15" t="s">
        <v>183</v>
      </c>
      <c r="C29" s="16" t="s">
        <v>184</v>
      </c>
      <c r="D29" s="17" t="s">
        <v>109</v>
      </c>
      <c r="E29" s="17" t="s">
        <v>185</v>
      </c>
      <c r="F29" s="17" t="s">
        <v>186</v>
      </c>
      <c r="G29" s="18">
        <f>INDEX($D29:$F29,1,$H$4)</f>
      </c>
      <c r="H29" s="19" t="s">
        <v>112</v>
      </c>
    </row>
    <row r="30" spans="1:8" x14ac:dyDescent="0.25">
      <c r="A30" s="14" t="s">
        <v>160</v>
      </c>
      <c r="B30" s="15" t="s">
        <v>187</v>
      </c>
      <c r="C30" s="16" t="s">
        <v>188</v>
      </c>
      <c r="D30" s="17" t="s">
        <v>189</v>
      </c>
      <c r="E30" s="17" t="s">
        <v>190</v>
      </c>
      <c r="F30" s="17" t="s">
        <v>191</v>
      </c>
      <c r="G30" s="18">
        <f>INDEX($D30:$F30,1,$H$4)</f>
      </c>
      <c r="H30" s="19" t="s">
        <v>192</v>
      </c>
    </row>
    <row r="31" ht="18" customHeight="1" spans="1:8" x14ac:dyDescent="0.25">
      <c r="A31" s="13" t="s">
        <v>193</v>
      </c>
      <c r="B31" s="13"/>
      <c r="C31" s="13"/>
      <c r="D31" s="13"/>
      <c r="E31" s="13"/>
      <c r="F31" s="13"/>
      <c r="G31" s="13"/>
      <c r="H31" s="13"/>
    </row>
    <row r="32" spans="1:8" x14ac:dyDescent="0.25">
      <c r="A32" s="14" t="s">
        <v>194</v>
      </c>
      <c r="B32" s="15" t="s">
        <v>195</v>
      </c>
      <c r="C32" s="16" t="s">
        <v>196</v>
      </c>
      <c r="D32" s="17" t="s">
        <v>197</v>
      </c>
      <c r="E32" s="17" t="s">
        <v>197</v>
      </c>
      <c r="F32" s="17" t="s">
        <v>197</v>
      </c>
      <c r="G32" s="18">
        <f>INDEX($D32:$F32,1,$H$4)</f>
      </c>
      <c r="H32" s="19" t="s">
        <v>198</v>
      </c>
    </row>
    <row r="33" spans="1:8" x14ac:dyDescent="0.25">
      <c r="A33" s="14" t="s">
        <v>194</v>
      </c>
      <c r="B33" s="15" t="s">
        <v>199</v>
      </c>
      <c r="C33" s="16" t="s">
        <v>200</v>
      </c>
      <c r="D33" s="17" t="s">
        <v>201</v>
      </c>
      <c r="E33" s="17" t="s">
        <v>202</v>
      </c>
      <c r="F33" s="17" t="s">
        <v>203</v>
      </c>
      <c r="G33" s="18">
        <f>INDEX($D33:$F33,1,$H$4)</f>
      </c>
      <c r="H33" s="19" t="s">
        <v>204</v>
      </c>
    </row>
    <row r="34" spans="1:8" x14ac:dyDescent="0.25">
      <c r="A34" s="14" t="s">
        <v>194</v>
      </c>
      <c r="B34" s="15" t="s">
        <v>205</v>
      </c>
      <c r="C34" s="16" t="s">
        <v>206</v>
      </c>
      <c r="D34" s="17" t="s">
        <v>103</v>
      </c>
      <c r="E34" s="17" t="s">
        <v>104</v>
      </c>
      <c r="F34" s="17" t="s">
        <v>207</v>
      </c>
      <c r="G34" s="18">
        <f>INDEX($D34:$F34,1,$H$4)</f>
      </c>
      <c r="H34" s="19" t="s">
        <v>106</v>
      </c>
    </row>
    <row r="35" spans="1:8" x14ac:dyDescent="0.25">
      <c r="A35" s="14" t="s">
        <v>194</v>
      </c>
      <c r="B35" s="15" t="s">
        <v>208</v>
      </c>
      <c r="C35" s="16" t="s">
        <v>209</v>
      </c>
      <c r="D35" s="17" t="s">
        <v>210</v>
      </c>
      <c r="E35" s="17" t="s">
        <v>211</v>
      </c>
      <c r="F35" s="17" t="s">
        <v>212</v>
      </c>
      <c r="G35" s="18">
        <f>INDEX($D35:$F35,1,$H$4)</f>
      </c>
      <c r="H35" s="19" t="s">
        <v>213</v>
      </c>
    </row>
    <row r="36" spans="1:8" x14ac:dyDescent="0.25">
      <c r="A36" s="14" t="s">
        <v>194</v>
      </c>
      <c r="B36" s="15" t="s">
        <v>214</v>
      </c>
      <c r="C36" s="16" t="s">
        <v>215</v>
      </c>
      <c r="D36" s="20">
        <v>10000</v>
      </c>
      <c r="E36" s="20">
        <v>10000</v>
      </c>
      <c r="F36" s="20">
        <v>5000</v>
      </c>
      <c r="G36" s="21">
        <f>INDEX($D36:$F36,1,$H$4)</f>
      </c>
      <c r="H36" s="19" t="s">
        <v>216</v>
      </c>
    </row>
    <row r="37" spans="1:8" x14ac:dyDescent="0.25">
      <c r="A37" s="14" t="s">
        <v>194</v>
      </c>
      <c r="B37" s="15" t="s">
        <v>217</v>
      </c>
      <c r="C37" s="16" t="s">
        <v>218</v>
      </c>
      <c r="D37" s="20">
        <v>1000000</v>
      </c>
      <c r="E37" s="20">
        <v>500000</v>
      </c>
      <c r="F37" s="20">
        <v>400000</v>
      </c>
      <c r="G37" s="21">
        <f>INDEX($D37:$F37,1,$H$4)</f>
      </c>
      <c r="H37" s="19" t="s">
        <v>216</v>
      </c>
    </row>
    <row r="38" spans="1:8" x14ac:dyDescent="0.25">
      <c r="A38" s="14" t="s">
        <v>194</v>
      </c>
      <c r="B38" s="15" t="s">
        <v>219</v>
      </c>
      <c r="C38" s="16" t="s">
        <v>220</v>
      </c>
      <c r="D38" s="22">
        <v>2.5</v>
      </c>
      <c r="E38" s="22">
        <v>3</v>
      </c>
      <c r="F38" s="22">
        <v>3.5</v>
      </c>
      <c r="G38" s="23">
        <f>INDEX($D38:$F38,1,$H$4)</f>
      </c>
      <c r="H38" s="19" t="s">
        <v>221</v>
      </c>
    </row>
    <row r="39" spans="1:8" x14ac:dyDescent="0.25">
      <c r="A39" s="14" t="s">
        <v>194</v>
      </c>
      <c r="B39" s="15" t="s">
        <v>222</v>
      </c>
      <c r="C39" s="16" t="s">
        <v>223</v>
      </c>
      <c r="D39" s="17" t="s">
        <v>189</v>
      </c>
      <c r="E39" s="17" t="s">
        <v>224</v>
      </c>
      <c r="F39" s="17" t="s">
        <v>191</v>
      </c>
      <c r="G39" s="18">
        <f>INDEX($D39:$F39,1,$H$4)</f>
      </c>
      <c r="H39" s="19" t="s">
        <v>225</v>
      </c>
    </row>
    <row r="40" spans="1:8" x14ac:dyDescent="0.25">
      <c r="A40" s="14" t="s">
        <v>194</v>
      </c>
      <c r="B40" s="15" t="s">
        <v>226</v>
      </c>
      <c r="C40" s="16" t="s">
        <v>227</v>
      </c>
      <c r="D40" s="17" t="s">
        <v>228</v>
      </c>
      <c r="E40" s="17" t="s">
        <v>110</v>
      </c>
      <c r="F40" s="17" t="s">
        <v>229</v>
      </c>
      <c r="G40" s="18">
        <f>INDEX($D40:$F40,1,$H$4)</f>
      </c>
      <c r="H40" s="19" t="s">
        <v>112</v>
      </c>
    </row>
    <row r="41" spans="1:8" x14ac:dyDescent="0.25">
      <c r="A41" s="14" t="s">
        <v>194</v>
      </c>
      <c r="B41" s="15" t="s">
        <v>230</v>
      </c>
      <c r="C41" s="16" t="s">
        <v>231</v>
      </c>
      <c r="D41" s="17" t="s">
        <v>189</v>
      </c>
      <c r="E41" s="17" t="s">
        <v>232</v>
      </c>
      <c r="F41" s="17" t="s">
        <v>233</v>
      </c>
      <c r="G41" s="18">
        <f>INDEX($D41:$F41,1,$H$4)</f>
      </c>
      <c r="H41" s="19" t="s">
        <v>234</v>
      </c>
    </row>
    <row r="42" spans="1:8" x14ac:dyDescent="0.25">
      <c r="A42" s="14" t="s">
        <v>194</v>
      </c>
      <c r="B42" s="15" t="s">
        <v>235</v>
      </c>
      <c r="C42" s="16" t="s">
        <v>236</v>
      </c>
      <c r="D42" s="17" t="s">
        <v>237</v>
      </c>
      <c r="E42" s="17" t="s">
        <v>238</v>
      </c>
      <c r="F42" s="17" t="s">
        <v>239</v>
      </c>
      <c r="G42" s="18">
        <f>INDEX($D42:$F42,1,$H$4)</f>
      </c>
      <c r="H42" s="19" t="s">
        <v>112</v>
      </c>
    </row>
    <row r="43" spans="1:8" x14ac:dyDescent="0.25">
      <c r="A43" s="14" t="s">
        <v>194</v>
      </c>
      <c r="B43" s="15" t="s">
        <v>240</v>
      </c>
      <c r="C43" s="16" t="s">
        <v>241</v>
      </c>
      <c r="D43" s="24">
        <v>65</v>
      </c>
      <c r="E43" s="24">
        <v>70</v>
      </c>
      <c r="F43" s="24">
        <v>60</v>
      </c>
      <c r="G43" s="25">
        <f>INDEX($D43:$F43,1,$H$4)</f>
      </c>
      <c r="H43" s="19" t="s">
        <v>242</v>
      </c>
    </row>
    <row r="44" spans="1:8" x14ac:dyDescent="0.25">
      <c r="A44" s="14" t="s">
        <v>194</v>
      </c>
      <c r="B44" s="15" t="s">
        <v>243</v>
      </c>
      <c r="C44" s="16" t="s">
        <v>244</v>
      </c>
      <c r="D44" s="24">
        <v>70</v>
      </c>
      <c r="E44" s="24">
        <v>75</v>
      </c>
      <c r="F44" s="24">
        <v>65</v>
      </c>
      <c r="G44" s="25">
        <f>INDEX($D44:$F44,1,$H$4)</f>
      </c>
      <c r="H44" s="19" t="s">
        <v>242</v>
      </c>
    </row>
    <row r="45" ht="18" customHeight="1" spans="1:8" x14ac:dyDescent="0.25">
      <c r="A45" s="13" t="s">
        <v>245</v>
      </c>
      <c r="B45" s="13"/>
      <c r="C45" s="13"/>
      <c r="D45" s="13"/>
      <c r="E45" s="13"/>
      <c r="F45" s="13"/>
      <c r="G45" s="13"/>
      <c r="H45" s="13"/>
    </row>
    <row r="46" spans="1:8" x14ac:dyDescent="0.25">
      <c r="A46" s="14" t="s">
        <v>246</v>
      </c>
      <c r="B46" s="15" t="s">
        <v>247</v>
      </c>
      <c r="C46" s="16" t="s">
        <v>248</v>
      </c>
      <c r="D46" s="17" t="s">
        <v>249</v>
      </c>
      <c r="E46" s="17" t="s">
        <v>249</v>
      </c>
      <c r="F46" s="17" t="s">
        <v>249</v>
      </c>
      <c r="G46" s="18">
        <f>INDEX($D46:$F46,1,$H$4)</f>
      </c>
      <c r="H46" s="19" t="s">
        <v>250</v>
      </c>
    </row>
    <row r="47" spans="1:8" x14ac:dyDescent="0.25">
      <c r="A47" s="14" t="s">
        <v>246</v>
      </c>
      <c r="B47" s="15" t="s">
        <v>251</v>
      </c>
      <c r="C47" s="16" t="s">
        <v>252</v>
      </c>
      <c r="D47" s="17" t="s">
        <v>253</v>
      </c>
      <c r="E47" s="17" t="s">
        <v>253</v>
      </c>
      <c r="F47" s="17" t="s">
        <v>253</v>
      </c>
      <c r="G47" s="18">
        <f>INDEX($D47:$F47,1,$H$4)</f>
      </c>
      <c r="H47" s="19" t="s">
        <v>250</v>
      </c>
    </row>
    <row r="48" spans="1:8" x14ac:dyDescent="0.25">
      <c r="A48" s="14" t="s">
        <v>246</v>
      </c>
      <c r="B48" s="15" t="s">
        <v>254</v>
      </c>
      <c r="C48" s="16" t="s">
        <v>255</v>
      </c>
      <c r="D48" s="24">
        <v>0</v>
      </c>
      <c r="E48" s="24">
        <v>0</v>
      </c>
      <c r="F48" s="24">
        <v>0</v>
      </c>
      <c r="G48" s="25">
        <f>INDEX($D48:$F48,1,$H$4)</f>
      </c>
      <c r="H48" s="19" t="s">
        <v>242</v>
      </c>
    </row>
    <row r="49" spans="1:8" x14ac:dyDescent="0.25">
      <c r="A49" s="14" t="s">
        <v>246</v>
      </c>
      <c r="B49" s="15" t="s">
        <v>256</v>
      </c>
      <c r="C49" s="16" t="s">
        <v>257</v>
      </c>
      <c r="D49" s="24">
        <v>0</v>
      </c>
      <c r="E49" s="24">
        <v>0</v>
      </c>
      <c r="F49" s="24">
        <v>0</v>
      </c>
      <c r="G49" s="25">
        <f>INDEX($D49:$F49,1,$H$4)</f>
      </c>
      <c r="H49" s="19" t="s">
        <v>242</v>
      </c>
    </row>
    <row r="50" spans="1:8" x14ac:dyDescent="0.25">
      <c r="A50" s="14" t="s">
        <v>246</v>
      </c>
      <c r="B50" s="15" t="s">
        <v>258</v>
      </c>
      <c r="C50" s="16" t="s">
        <v>259</v>
      </c>
      <c r="D50" s="17" t="s">
        <v>249</v>
      </c>
      <c r="E50" s="17" t="s">
        <v>249</v>
      </c>
      <c r="F50" s="17" t="s">
        <v>249</v>
      </c>
      <c r="G50" s="18">
        <f>INDEX($D50:$F50,1,$H$4)</f>
      </c>
      <c r="H50" s="19" t="s">
        <v>250</v>
      </c>
    </row>
    <row r="51" spans="1:8" x14ac:dyDescent="0.25">
      <c r="A51" s="14" t="s">
        <v>246</v>
      </c>
      <c r="B51" s="15" t="s">
        <v>260</v>
      </c>
      <c r="C51" s="16" t="s">
        <v>261</v>
      </c>
      <c r="D51" s="17" t="s">
        <v>249</v>
      </c>
      <c r="E51" s="17" t="s">
        <v>249</v>
      </c>
      <c r="F51" s="17" t="s">
        <v>249</v>
      </c>
      <c r="G51" s="18">
        <f>INDEX($D51:$F51,1,$H$4)</f>
      </c>
      <c r="H51" s="19" t="s">
        <v>250</v>
      </c>
    </row>
    <row r="52" spans="1:8" x14ac:dyDescent="0.25">
      <c r="A52" s="14" t="s">
        <v>246</v>
      </c>
      <c r="B52" s="15" t="s">
        <v>262</v>
      </c>
      <c r="C52" s="16" t="s">
        <v>263</v>
      </c>
      <c r="D52" s="17" t="s">
        <v>249</v>
      </c>
      <c r="E52" s="17" t="s">
        <v>253</v>
      </c>
      <c r="F52" s="17" t="s">
        <v>249</v>
      </c>
      <c r="G52" s="18">
        <f>INDEX($D52:$F52,1,$H$4)</f>
      </c>
      <c r="H52" s="19" t="s">
        <v>250</v>
      </c>
    </row>
    <row r="53" spans="1:8" x14ac:dyDescent="0.25">
      <c r="A53" s="14" t="s">
        <v>246</v>
      </c>
      <c r="B53" s="15" t="s">
        <v>264</v>
      </c>
      <c r="C53" s="16" t="s">
        <v>265</v>
      </c>
      <c r="D53" s="17" t="s">
        <v>253</v>
      </c>
      <c r="E53" s="17" t="s">
        <v>253</v>
      </c>
      <c r="F53" s="17" t="s">
        <v>253</v>
      </c>
      <c r="G53" s="18">
        <f>INDEX($D53:$F53,1,$H$4)</f>
      </c>
      <c r="H53" s="19" t="s">
        <v>250</v>
      </c>
    </row>
    <row r="55" ht="18" customHeight="1" spans="1:8" x14ac:dyDescent="0.25">
      <c r="A55" s="26" t="s">
        <v>266</v>
      </c>
      <c r="B55" s="26"/>
      <c r="C55" s="26"/>
      <c r="D55" s="26"/>
      <c r="E55" s="26"/>
      <c r="F55" s="26"/>
      <c r="G55" s="26"/>
      <c r="H55" s="26"/>
    </row>
    <row r="56" ht="22" customHeight="1" spans="1:8" x14ac:dyDescent="0.25">
      <c r="A56" s="12" t="s">
        <v>267</v>
      </c>
      <c r="B56" s="12" t="s">
        <v>268</v>
      </c>
      <c r="C56" s="12" t="s">
        <v>269</v>
      </c>
      <c r="D56" s="12" t="s">
        <v>71</v>
      </c>
      <c r="E56" s="12" t="s">
        <v>76</v>
      </c>
      <c r="F56" s="12" t="s">
        <v>77</v>
      </c>
      <c r="G56" s="12" t="s">
        <v>78</v>
      </c>
      <c r="H56" s="12" t="s">
        <v>270</v>
      </c>
    </row>
    <row r="57" spans="1:8" x14ac:dyDescent="0.25">
      <c r="A57" s="15" t="s">
        <v>107</v>
      </c>
      <c r="B57" s="16" t="s">
        <v>271</v>
      </c>
      <c r="C57" s="14" t="s">
        <v>272</v>
      </c>
      <c r="D57" s="27">
        <f>TRIM(MID(SUBSTITUTE($D$13,",",REPT(" ",120)),1,120))</f>
      </c>
      <c r="E57" s="27">
        <f>TRIM(MID(SUBSTITUTE($E$13,",",REPT(" ",120)),1,120))</f>
      </c>
      <c r="F57" s="27">
        <f>TRIM(MID(SUBSTITUTE($F$13,",",REPT(" ",120)),1,120))</f>
      </c>
      <c r="G57" s="27">
        <f>INDEX($D57:$F57,1,$H$4)</f>
      </c>
      <c r="H57" s="19" t="s">
        <v>273</v>
      </c>
    </row>
    <row r="58" spans="1:8" x14ac:dyDescent="0.25">
      <c r="A58" s="28" t="s">
        <v>3</v>
      </c>
      <c r="B58" s="16" t="s">
        <v>274</v>
      </c>
      <c r="C58" s="14" t="s">
        <v>275</v>
      </c>
      <c r="D58" s="27">
        <f>TRIM(MID(SUBSTITUTE($D$13,",",REPT(" ",120)),121,120))</f>
      </c>
      <c r="E58" s="27">
        <f>TRIM(MID(SUBSTITUTE($E$13,",",REPT(" ",120)),121,120))</f>
      </c>
      <c r="F58" s="27">
        <f>TRIM(MID(SUBSTITUTE($F$13,",",REPT(" ",120)),121,120))</f>
      </c>
      <c r="G58" s="27">
        <f>INDEX($D58:$F58,1,$H$4)</f>
      </c>
      <c r="H58" s="19" t="s">
        <v>3</v>
      </c>
    </row>
    <row r="59" spans="1:8" x14ac:dyDescent="0.25">
      <c r="A59" s="28" t="s">
        <v>3</v>
      </c>
      <c r="B59" s="16" t="s">
        <v>276</v>
      </c>
      <c r="C59" s="14" t="s">
        <v>277</v>
      </c>
      <c r="D59" s="27">
        <f>TRIM(MID(SUBSTITUTE($D$13,",",REPT(" ",120)),241,120))</f>
      </c>
      <c r="E59" s="27">
        <f>TRIM(MID(SUBSTITUTE($E$13,",",REPT(" ",120)),241,120))</f>
      </c>
      <c r="F59" s="27">
        <f>TRIM(MID(SUBSTITUTE($F$13,",",REPT(" ",120)),241,120))</f>
      </c>
      <c r="G59" s="27">
        <f>INDEX($D59:$F59,1,$H$4)</f>
      </c>
      <c r="H59" s="19" t="s">
        <v>3</v>
      </c>
    </row>
    <row r="60" spans="1:8" x14ac:dyDescent="0.25">
      <c r="A60" s="28" t="s">
        <v>3</v>
      </c>
      <c r="B60" s="16" t="s">
        <v>278</v>
      </c>
      <c r="C60" s="14" t="s">
        <v>279</v>
      </c>
      <c r="D60" s="27">
        <f>TRIM(MID(SUBSTITUTE($D$13,",",REPT(" ",120)),361,120))</f>
      </c>
      <c r="E60" s="27">
        <f>TRIM(MID(SUBSTITUTE($E$13,",",REPT(" ",120)),361,120))</f>
      </c>
      <c r="F60" s="27">
        <f>TRIM(MID(SUBSTITUTE($F$13,",",REPT(" ",120)),361,120))</f>
      </c>
      <c r="G60" s="27">
        <f>INDEX($D60:$F60,1,$H$4)</f>
      </c>
      <c r="H60" s="19" t="s">
        <v>3</v>
      </c>
    </row>
    <row r="61" spans="1:8" x14ac:dyDescent="0.25">
      <c r="A61" s="28" t="s">
        <v>3</v>
      </c>
      <c r="B61" s="16" t="s">
        <v>280</v>
      </c>
      <c r="C61" s="14" t="s">
        <v>281</v>
      </c>
      <c r="D61" s="27">
        <f>TRIM(MID(SUBSTITUTE($D$13,",",REPT(" ",120)),481,120))</f>
      </c>
      <c r="E61" s="27">
        <f>TRIM(MID(SUBSTITUTE($E$13,",",REPT(" ",120)),481,120))</f>
      </c>
      <c r="F61" s="27">
        <f>TRIM(MID(SUBSTITUTE($F$13,",",REPT(" ",120)),481,120))</f>
      </c>
      <c r="G61" s="27">
        <f>INDEX($D61:$F61,1,$H$4)</f>
      </c>
      <c r="H61" s="19" t="s">
        <v>3</v>
      </c>
    </row>
    <row r="62" spans="1:8" x14ac:dyDescent="0.25">
      <c r="A62" s="28" t="s">
        <v>3</v>
      </c>
      <c r="B62" s="15" t="s">
        <v>282</v>
      </c>
      <c r="C62" s="14" t="s">
        <v>283</v>
      </c>
      <c r="D62" s="29">
        <f>IF($D$57="",0,1)+IF($D$58="",0,1)+IF($D$59="",0,1)+IF($D$60="",0,1)+IF($D$61="",0,1)</f>
      </c>
      <c r="E62" s="29">
        <f>IF($E$57="",0,1)+IF($E$58="",0,1)+IF($E$59="",0,1)+IF($E$60="",0,1)+IF($E$61="",0,1)</f>
      </c>
      <c r="F62" s="29">
        <f>IF($F$57="",0,1)+IF($F$58="",0,1)+IF($F$59="",0,1)+IF($F$60="",0,1)+IF($F$61="",0,1)</f>
      </c>
      <c r="G62" s="30">
        <f>INDEX($D62:$F62,1,$H$4)</f>
      </c>
      <c r="H62" s="19" t="s">
        <v>284</v>
      </c>
    </row>
    <row r="63" spans="1:8" x14ac:dyDescent="0.25">
      <c r="A63" s="15" t="s">
        <v>148</v>
      </c>
      <c r="B63" s="16" t="s">
        <v>271</v>
      </c>
      <c r="C63" s="14" t="s">
        <v>285</v>
      </c>
      <c r="D63" s="27">
        <f>TRIM(MID(SUBSTITUTE($D$22,",",REPT(" ",120)),1,120))</f>
      </c>
      <c r="E63" s="27">
        <f>TRIM(MID(SUBSTITUTE($E$22,",",REPT(" ",120)),1,120))</f>
      </c>
      <c r="F63" s="27">
        <f>TRIM(MID(SUBSTITUTE($F$22,",",REPT(" ",120)),1,120))</f>
      </c>
      <c r="G63" s="27">
        <f>INDEX($D63:$F63,1,$H$4)</f>
      </c>
      <c r="H63" s="19" t="s">
        <v>273</v>
      </c>
    </row>
    <row r="64" spans="1:8" x14ac:dyDescent="0.25">
      <c r="A64" s="28" t="s">
        <v>3</v>
      </c>
      <c r="B64" s="16" t="s">
        <v>274</v>
      </c>
      <c r="C64" s="14" t="s">
        <v>286</v>
      </c>
      <c r="D64" s="27">
        <f>TRIM(MID(SUBSTITUTE($D$22,",",REPT(" ",120)),121,120))</f>
      </c>
      <c r="E64" s="27">
        <f>TRIM(MID(SUBSTITUTE($E$22,",",REPT(" ",120)),121,120))</f>
      </c>
      <c r="F64" s="27">
        <f>TRIM(MID(SUBSTITUTE($F$22,",",REPT(" ",120)),121,120))</f>
      </c>
      <c r="G64" s="27">
        <f>INDEX($D64:$F64,1,$H$4)</f>
      </c>
      <c r="H64" s="19" t="s">
        <v>3</v>
      </c>
    </row>
    <row r="65" spans="1:8" x14ac:dyDescent="0.25">
      <c r="A65" s="28" t="s">
        <v>3</v>
      </c>
      <c r="B65" s="16" t="s">
        <v>276</v>
      </c>
      <c r="C65" s="14" t="s">
        <v>287</v>
      </c>
      <c r="D65" s="27">
        <f>TRIM(MID(SUBSTITUTE($D$22,",",REPT(" ",120)),241,120))</f>
      </c>
      <c r="E65" s="27">
        <f>TRIM(MID(SUBSTITUTE($E$22,",",REPT(" ",120)),241,120))</f>
      </c>
      <c r="F65" s="27">
        <f>TRIM(MID(SUBSTITUTE($F$22,",",REPT(" ",120)),241,120))</f>
      </c>
      <c r="G65" s="27">
        <f>INDEX($D65:$F65,1,$H$4)</f>
      </c>
      <c r="H65" s="19" t="s">
        <v>3</v>
      </c>
    </row>
    <row r="66" spans="1:8" x14ac:dyDescent="0.25">
      <c r="A66" s="28" t="s">
        <v>3</v>
      </c>
      <c r="B66" s="16" t="s">
        <v>278</v>
      </c>
      <c r="C66" s="14" t="s">
        <v>288</v>
      </c>
      <c r="D66" s="27">
        <f>TRIM(MID(SUBSTITUTE($D$22,",",REPT(" ",120)),361,120))</f>
      </c>
      <c r="E66" s="27">
        <f>TRIM(MID(SUBSTITUTE($E$22,",",REPT(" ",120)),361,120))</f>
      </c>
      <c r="F66" s="27">
        <f>TRIM(MID(SUBSTITUTE($F$22,",",REPT(" ",120)),361,120))</f>
      </c>
      <c r="G66" s="27">
        <f>INDEX($D66:$F66,1,$H$4)</f>
      </c>
      <c r="H66" s="19" t="s">
        <v>3</v>
      </c>
    </row>
    <row r="67" spans="1:8" x14ac:dyDescent="0.25">
      <c r="A67" s="28" t="s">
        <v>3</v>
      </c>
      <c r="B67" s="16" t="s">
        <v>280</v>
      </c>
      <c r="C67" s="14" t="s">
        <v>289</v>
      </c>
      <c r="D67" s="27">
        <f>TRIM(MID(SUBSTITUTE($D$22,",",REPT(" ",120)),481,120))</f>
      </c>
      <c r="E67" s="27">
        <f>TRIM(MID(SUBSTITUTE($E$22,",",REPT(" ",120)),481,120))</f>
      </c>
      <c r="F67" s="27">
        <f>TRIM(MID(SUBSTITUTE($F$22,",",REPT(" ",120)),481,120))</f>
      </c>
      <c r="G67" s="27">
        <f>INDEX($D67:$F67,1,$H$4)</f>
      </c>
      <c r="H67" s="19" t="s">
        <v>3</v>
      </c>
    </row>
    <row r="68" spans="1:8" x14ac:dyDescent="0.25">
      <c r="A68" s="28" t="s">
        <v>3</v>
      </c>
      <c r="B68" s="15" t="s">
        <v>282</v>
      </c>
      <c r="C68" s="14" t="s">
        <v>290</v>
      </c>
      <c r="D68" s="29">
        <f>IF($D$63="",0,1)+IF($D$64="",0,1)+IF($D$65="",0,1)+IF($D$66="",0,1)+IF($D$67="",0,1)</f>
      </c>
      <c r="E68" s="29">
        <f>IF($E$63="",0,1)+IF($E$64="",0,1)+IF($E$65="",0,1)+IF($E$66="",0,1)+IF($E$67="",0,1)</f>
      </c>
      <c r="F68" s="29">
        <f>IF($F$63="",0,1)+IF($F$64="",0,1)+IF($F$65="",0,1)+IF($F$66="",0,1)+IF($F$67="",0,1)</f>
      </c>
      <c r="G68" s="30">
        <f>INDEX($D68:$F68,1,$H$4)</f>
      </c>
      <c r="H68" s="19" t="s">
        <v>284</v>
      </c>
    </row>
    <row r="69" spans="1:8" x14ac:dyDescent="0.25">
      <c r="A69" s="15" t="s">
        <v>183</v>
      </c>
      <c r="B69" s="16" t="s">
        <v>271</v>
      </c>
      <c r="C69" s="14" t="s">
        <v>291</v>
      </c>
      <c r="D69" s="27">
        <f>TRIM(MID(SUBSTITUTE($D$29,",",REPT(" ",120)),1,120))</f>
      </c>
      <c r="E69" s="27">
        <f>TRIM(MID(SUBSTITUTE($E$29,",",REPT(" ",120)),1,120))</f>
      </c>
      <c r="F69" s="27">
        <f>TRIM(MID(SUBSTITUTE($F$29,",",REPT(" ",120)),1,120))</f>
      </c>
      <c r="G69" s="27">
        <f>INDEX($D69:$F69,1,$H$4)</f>
      </c>
      <c r="H69" s="19" t="s">
        <v>273</v>
      </c>
    </row>
    <row r="70" spans="1:8" x14ac:dyDescent="0.25">
      <c r="A70" s="28" t="s">
        <v>3</v>
      </c>
      <c r="B70" s="16" t="s">
        <v>274</v>
      </c>
      <c r="C70" s="14" t="s">
        <v>292</v>
      </c>
      <c r="D70" s="27">
        <f>TRIM(MID(SUBSTITUTE($D$29,",",REPT(" ",120)),121,120))</f>
      </c>
      <c r="E70" s="27">
        <f>TRIM(MID(SUBSTITUTE($E$29,",",REPT(" ",120)),121,120))</f>
      </c>
      <c r="F70" s="27">
        <f>TRIM(MID(SUBSTITUTE($F$29,",",REPT(" ",120)),121,120))</f>
      </c>
      <c r="G70" s="27">
        <f>INDEX($D70:$F70,1,$H$4)</f>
      </c>
      <c r="H70" s="19" t="s">
        <v>3</v>
      </c>
    </row>
    <row r="71" spans="1:8" x14ac:dyDescent="0.25">
      <c r="A71" s="28" t="s">
        <v>3</v>
      </c>
      <c r="B71" s="16" t="s">
        <v>276</v>
      </c>
      <c r="C71" s="14" t="s">
        <v>293</v>
      </c>
      <c r="D71" s="27">
        <f>TRIM(MID(SUBSTITUTE($D$29,",",REPT(" ",120)),241,120))</f>
      </c>
      <c r="E71" s="27">
        <f>TRIM(MID(SUBSTITUTE($E$29,",",REPT(" ",120)),241,120))</f>
      </c>
      <c r="F71" s="27">
        <f>TRIM(MID(SUBSTITUTE($F$29,",",REPT(" ",120)),241,120))</f>
      </c>
      <c r="G71" s="27">
        <f>INDEX($D71:$F71,1,$H$4)</f>
      </c>
      <c r="H71" s="19" t="s">
        <v>3</v>
      </c>
    </row>
    <row r="72" spans="1:8" x14ac:dyDescent="0.25">
      <c r="A72" s="28" t="s">
        <v>3</v>
      </c>
      <c r="B72" s="16" t="s">
        <v>278</v>
      </c>
      <c r="C72" s="14" t="s">
        <v>294</v>
      </c>
      <c r="D72" s="27">
        <f>TRIM(MID(SUBSTITUTE($D$29,",",REPT(" ",120)),361,120))</f>
      </c>
      <c r="E72" s="27">
        <f>TRIM(MID(SUBSTITUTE($E$29,",",REPT(" ",120)),361,120))</f>
      </c>
      <c r="F72" s="27">
        <f>TRIM(MID(SUBSTITUTE($F$29,",",REPT(" ",120)),361,120))</f>
      </c>
      <c r="G72" s="27">
        <f>INDEX($D72:$F72,1,$H$4)</f>
      </c>
      <c r="H72" s="19" t="s">
        <v>3</v>
      </c>
    </row>
    <row r="73" spans="1:8" x14ac:dyDescent="0.25">
      <c r="A73" s="28" t="s">
        <v>3</v>
      </c>
      <c r="B73" s="16" t="s">
        <v>280</v>
      </c>
      <c r="C73" s="14" t="s">
        <v>295</v>
      </c>
      <c r="D73" s="27">
        <f>TRIM(MID(SUBSTITUTE($D$29,",",REPT(" ",120)),481,120))</f>
      </c>
      <c r="E73" s="27">
        <f>TRIM(MID(SUBSTITUTE($E$29,",",REPT(" ",120)),481,120))</f>
      </c>
      <c r="F73" s="27">
        <f>TRIM(MID(SUBSTITUTE($F$29,",",REPT(" ",120)),481,120))</f>
      </c>
      <c r="G73" s="27">
        <f>INDEX($D73:$F73,1,$H$4)</f>
      </c>
      <c r="H73" s="19" t="s">
        <v>3</v>
      </c>
    </row>
    <row r="74" spans="1:8" x14ac:dyDescent="0.25">
      <c r="A74" s="28" t="s">
        <v>3</v>
      </c>
      <c r="B74" s="15" t="s">
        <v>282</v>
      </c>
      <c r="C74" s="14" t="s">
        <v>296</v>
      </c>
      <c r="D74" s="29">
        <f>IF($D$69="",0,1)+IF($D$70="",0,1)+IF($D$71="",0,1)+IF($D$72="",0,1)+IF($D$73="",0,1)</f>
      </c>
      <c r="E74" s="29">
        <f>IF($E$69="",0,1)+IF($E$70="",0,1)+IF($E$71="",0,1)+IF($E$72="",0,1)+IF($E$73="",0,1)</f>
      </c>
      <c r="F74" s="29">
        <f>IF($F$69="",0,1)+IF($F$70="",0,1)+IF($F$71="",0,1)+IF($F$72="",0,1)+IF($F$73="",0,1)</f>
      </c>
      <c r="G74" s="30">
        <f>INDEX($D74:$F74,1,$H$4)</f>
      </c>
      <c r="H74" s="19" t="s">
        <v>284</v>
      </c>
    </row>
    <row r="75" spans="1:8" x14ac:dyDescent="0.25">
      <c r="A75" s="15" t="s">
        <v>167</v>
      </c>
      <c r="B75" s="16" t="s">
        <v>271</v>
      </c>
      <c r="C75" s="14" t="s">
        <v>297</v>
      </c>
      <c r="D75" s="27">
        <f>TRIM(MID(SUBSTITUTE($D$26,",",REPT(" ",120)),1,120))</f>
      </c>
      <c r="E75" s="27">
        <f>TRIM(MID(SUBSTITUTE($E$26,",",REPT(" ",120)),1,120))</f>
      </c>
      <c r="F75" s="27">
        <f>TRIM(MID(SUBSTITUTE($F$26,",",REPT(" ",120)),1,120))</f>
      </c>
      <c r="G75" s="27">
        <f>INDEX($D75:$F75,1,$H$4)</f>
      </c>
      <c r="H75" s="19" t="s">
        <v>273</v>
      </c>
    </row>
    <row r="76" spans="1:8" x14ac:dyDescent="0.25">
      <c r="A76" s="28" t="s">
        <v>3</v>
      </c>
      <c r="B76" s="16" t="s">
        <v>274</v>
      </c>
      <c r="C76" s="14" t="s">
        <v>298</v>
      </c>
      <c r="D76" s="27">
        <f>TRIM(MID(SUBSTITUTE($D$26,",",REPT(" ",120)),121,120))</f>
      </c>
      <c r="E76" s="27">
        <f>TRIM(MID(SUBSTITUTE($E$26,",",REPT(" ",120)),121,120))</f>
      </c>
      <c r="F76" s="27">
        <f>TRIM(MID(SUBSTITUTE($F$26,",",REPT(" ",120)),121,120))</f>
      </c>
      <c r="G76" s="27">
        <f>INDEX($D76:$F76,1,$H$4)</f>
      </c>
      <c r="H76" s="19" t="s">
        <v>3</v>
      </c>
    </row>
    <row r="77" spans="1:8" x14ac:dyDescent="0.25">
      <c r="A77" s="28" t="s">
        <v>3</v>
      </c>
      <c r="B77" s="16" t="s">
        <v>276</v>
      </c>
      <c r="C77" s="14" t="s">
        <v>299</v>
      </c>
      <c r="D77" s="27">
        <f>TRIM(MID(SUBSTITUTE($D$26,",",REPT(" ",120)),241,120))</f>
      </c>
      <c r="E77" s="27">
        <f>TRIM(MID(SUBSTITUTE($E$26,",",REPT(" ",120)),241,120))</f>
      </c>
      <c r="F77" s="27">
        <f>TRIM(MID(SUBSTITUTE($F$26,",",REPT(" ",120)),241,120))</f>
      </c>
      <c r="G77" s="27">
        <f>INDEX($D77:$F77,1,$H$4)</f>
      </c>
      <c r="H77" s="19" t="s">
        <v>3</v>
      </c>
    </row>
    <row r="78" spans="1:8" x14ac:dyDescent="0.25">
      <c r="A78" s="28" t="s">
        <v>3</v>
      </c>
      <c r="B78" s="16" t="s">
        <v>278</v>
      </c>
      <c r="C78" s="14" t="s">
        <v>300</v>
      </c>
      <c r="D78" s="27">
        <f>TRIM(MID(SUBSTITUTE($D$26,",",REPT(" ",120)),361,120))</f>
      </c>
      <c r="E78" s="27">
        <f>TRIM(MID(SUBSTITUTE($E$26,",",REPT(" ",120)),361,120))</f>
      </c>
      <c r="F78" s="27">
        <f>TRIM(MID(SUBSTITUTE($F$26,",",REPT(" ",120)),361,120))</f>
      </c>
      <c r="G78" s="27">
        <f>INDEX($D78:$F78,1,$H$4)</f>
      </c>
      <c r="H78" s="19" t="s">
        <v>3</v>
      </c>
    </row>
    <row r="79" spans="1:8" x14ac:dyDescent="0.25">
      <c r="A79" s="28" t="s">
        <v>3</v>
      </c>
      <c r="B79" s="16" t="s">
        <v>280</v>
      </c>
      <c r="C79" s="14" t="s">
        <v>301</v>
      </c>
      <c r="D79" s="27">
        <f>TRIM(MID(SUBSTITUTE($D$26,",",REPT(" ",120)),481,120))</f>
      </c>
      <c r="E79" s="27">
        <f>TRIM(MID(SUBSTITUTE($E$26,",",REPT(" ",120)),481,120))</f>
      </c>
      <c r="F79" s="27">
        <f>TRIM(MID(SUBSTITUTE($F$26,",",REPT(" ",120)),481,120))</f>
      </c>
      <c r="G79" s="27">
        <f>INDEX($D79:$F79,1,$H$4)</f>
      </c>
      <c r="H79" s="19" t="s">
        <v>3</v>
      </c>
    </row>
    <row r="80" spans="1:8" x14ac:dyDescent="0.25">
      <c r="A80" s="28" t="s">
        <v>3</v>
      </c>
      <c r="B80" s="15" t="s">
        <v>282</v>
      </c>
      <c r="C80" s="14" t="s">
        <v>302</v>
      </c>
      <c r="D80" s="29">
        <f>IF($D$75="",0,1)+IF($D$76="",0,1)+IF($D$77="",0,1)+IF($D$78="",0,1)+IF($D$79="",0,1)</f>
      </c>
      <c r="E80" s="29">
        <f>IF($E$75="",0,1)+IF($E$76="",0,1)+IF($E$77="",0,1)+IF($E$78="",0,1)+IF($E$79="",0,1)</f>
      </c>
      <c r="F80" s="29">
        <f>IF($F$75="",0,1)+IF($F$76="",0,1)+IF($F$77="",0,1)+IF($F$78="",0,1)+IF($F$79="",0,1)</f>
      </c>
      <c r="G80" s="30">
        <f>INDEX($D80:$F80,1,$H$4)</f>
      </c>
      <c r="H80" s="19" t="s">
        <v>284</v>
      </c>
    </row>
    <row r="81" spans="1:8" x14ac:dyDescent="0.25">
      <c r="A81" s="15" t="s">
        <v>226</v>
      </c>
      <c r="B81" s="16" t="s">
        <v>271</v>
      </c>
      <c r="C81" s="14" t="s">
        <v>303</v>
      </c>
      <c r="D81" s="27">
        <f>TRIM(MID(SUBSTITUTE($D$40,",",REPT(" ",120)),1,120))</f>
      </c>
      <c r="E81" s="27">
        <f>TRIM(MID(SUBSTITUTE($E$40,",",REPT(" ",120)),1,120))</f>
      </c>
      <c r="F81" s="27">
        <f>TRIM(MID(SUBSTITUTE($F$40,",",REPT(" ",120)),1,120))</f>
      </c>
      <c r="G81" s="27">
        <f>INDEX($D81:$F81,1,$H$4)</f>
      </c>
      <c r="H81" s="19" t="s">
        <v>273</v>
      </c>
    </row>
    <row r="82" spans="1:8" x14ac:dyDescent="0.25">
      <c r="A82" s="28" t="s">
        <v>3</v>
      </c>
      <c r="B82" s="16" t="s">
        <v>274</v>
      </c>
      <c r="C82" s="14" t="s">
        <v>304</v>
      </c>
      <c r="D82" s="27">
        <f>TRIM(MID(SUBSTITUTE($D$40,",",REPT(" ",120)),121,120))</f>
      </c>
      <c r="E82" s="27">
        <f>TRIM(MID(SUBSTITUTE($E$40,",",REPT(" ",120)),121,120))</f>
      </c>
      <c r="F82" s="27">
        <f>TRIM(MID(SUBSTITUTE($F$40,",",REPT(" ",120)),121,120))</f>
      </c>
      <c r="G82" s="27">
        <f>INDEX($D82:$F82,1,$H$4)</f>
      </c>
      <c r="H82" s="19" t="s">
        <v>3</v>
      </c>
    </row>
    <row r="83" spans="1:8" x14ac:dyDescent="0.25">
      <c r="A83" s="28" t="s">
        <v>3</v>
      </c>
      <c r="B83" s="16" t="s">
        <v>276</v>
      </c>
      <c r="C83" s="14" t="s">
        <v>305</v>
      </c>
      <c r="D83" s="27">
        <f>TRIM(MID(SUBSTITUTE($D$40,",",REPT(" ",120)),241,120))</f>
      </c>
      <c r="E83" s="27">
        <f>TRIM(MID(SUBSTITUTE($E$40,",",REPT(" ",120)),241,120))</f>
      </c>
      <c r="F83" s="27">
        <f>TRIM(MID(SUBSTITUTE($F$40,",",REPT(" ",120)),241,120))</f>
      </c>
      <c r="G83" s="27">
        <f>INDEX($D83:$F83,1,$H$4)</f>
      </c>
      <c r="H83" s="19" t="s">
        <v>3</v>
      </c>
    </row>
    <row r="84" spans="1:8" x14ac:dyDescent="0.25">
      <c r="A84" s="28" t="s">
        <v>3</v>
      </c>
      <c r="B84" s="16" t="s">
        <v>278</v>
      </c>
      <c r="C84" s="14" t="s">
        <v>306</v>
      </c>
      <c r="D84" s="27">
        <f>TRIM(MID(SUBSTITUTE($D$40,",",REPT(" ",120)),361,120))</f>
      </c>
      <c r="E84" s="27">
        <f>TRIM(MID(SUBSTITUTE($E$40,",",REPT(" ",120)),361,120))</f>
      </c>
      <c r="F84" s="27">
        <f>TRIM(MID(SUBSTITUTE($F$40,",",REPT(" ",120)),361,120))</f>
      </c>
      <c r="G84" s="27">
        <f>INDEX($D84:$F84,1,$H$4)</f>
      </c>
      <c r="H84" s="19" t="s">
        <v>3</v>
      </c>
    </row>
    <row r="85" spans="1:8" x14ac:dyDescent="0.25">
      <c r="A85" s="28" t="s">
        <v>3</v>
      </c>
      <c r="B85" s="16" t="s">
        <v>280</v>
      </c>
      <c r="C85" s="14" t="s">
        <v>307</v>
      </c>
      <c r="D85" s="27">
        <f>TRIM(MID(SUBSTITUTE($D$40,",",REPT(" ",120)),481,120))</f>
      </c>
      <c r="E85" s="27">
        <f>TRIM(MID(SUBSTITUTE($E$40,",",REPT(" ",120)),481,120))</f>
      </c>
      <c r="F85" s="27">
        <f>TRIM(MID(SUBSTITUTE($F$40,",",REPT(" ",120)),481,120))</f>
      </c>
      <c r="G85" s="27">
        <f>INDEX($D85:$F85,1,$H$4)</f>
      </c>
      <c r="H85" s="19" t="s">
        <v>3</v>
      </c>
    </row>
    <row r="86" spans="1:8" x14ac:dyDescent="0.25">
      <c r="A86" s="28" t="s">
        <v>3</v>
      </c>
      <c r="B86" s="15" t="s">
        <v>282</v>
      </c>
      <c r="C86" s="14" t="s">
        <v>308</v>
      </c>
      <c r="D86" s="29">
        <f>IF($D$81="",0,1)+IF($D$82="",0,1)+IF($D$83="",0,1)+IF($D$84="",0,1)+IF($D$85="",0,1)</f>
      </c>
      <c r="E86" s="29">
        <f>IF($E$81="",0,1)+IF($E$82="",0,1)+IF($E$83="",0,1)+IF($E$84="",0,1)+IF($E$85="",0,1)</f>
      </c>
      <c r="F86" s="29">
        <f>IF($F$81="",0,1)+IF($F$82="",0,1)+IF($F$83="",0,1)+IF($F$84="",0,1)+IF($F$85="",0,1)</f>
      </c>
      <c r="G86" s="30">
        <f>INDEX($D86:$F86,1,$H$4)</f>
      </c>
      <c r="H86" s="19" t="s">
        <v>284</v>
      </c>
    </row>
    <row r="87" spans="1:8" x14ac:dyDescent="0.25">
      <c r="A87" s="15" t="s">
        <v>235</v>
      </c>
      <c r="B87" s="16" t="s">
        <v>271</v>
      </c>
      <c r="C87" s="14" t="s">
        <v>309</v>
      </c>
      <c r="D87" s="27">
        <f>TRIM(MID(SUBSTITUTE($D$42,",",REPT(" ",120)),1,120))</f>
      </c>
      <c r="E87" s="27">
        <f>TRIM(MID(SUBSTITUTE($E$42,",",REPT(" ",120)),1,120))</f>
      </c>
      <c r="F87" s="27">
        <f>TRIM(MID(SUBSTITUTE($F$42,",",REPT(" ",120)),1,120))</f>
      </c>
      <c r="G87" s="27">
        <f>INDEX($D87:$F87,1,$H$4)</f>
      </c>
      <c r="H87" s="19" t="s">
        <v>273</v>
      </c>
    </row>
    <row r="88" spans="1:8" x14ac:dyDescent="0.25">
      <c r="A88" s="28" t="s">
        <v>3</v>
      </c>
      <c r="B88" s="16" t="s">
        <v>274</v>
      </c>
      <c r="C88" s="14" t="s">
        <v>310</v>
      </c>
      <c r="D88" s="27">
        <f>TRIM(MID(SUBSTITUTE($D$42,",",REPT(" ",120)),121,120))</f>
      </c>
      <c r="E88" s="27">
        <f>TRIM(MID(SUBSTITUTE($E$42,",",REPT(" ",120)),121,120))</f>
      </c>
      <c r="F88" s="27">
        <f>TRIM(MID(SUBSTITUTE($F$42,",",REPT(" ",120)),121,120))</f>
      </c>
      <c r="G88" s="27">
        <f>INDEX($D88:$F88,1,$H$4)</f>
      </c>
      <c r="H88" s="19" t="s">
        <v>3</v>
      </c>
    </row>
    <row r="89" spans="1:8" x14ac:dyDescent="0.25">
      <c r="A89" s="28" t="s">
        <v>3</v>
      </c>
      <c r="B89" s="16" t="s">
        <v>276</v>
      </c>
      <c r="C89" s="14" t="s">
        <v>311</v>
      </c>
      <c r="D89" s="27">
        <f>TRIM(MID(SUBSTITUTE($D$42,",",REPT(" ",120)),241,120))</f>
      </c>
      <c r="E89" s="27">
        <f>TRIM(MID(SUBSTITUTE($E$42,",",REPT(" ",120)),241,120))</f>
      </c>
      <c r="F89" s="27">
        <f>TRIM(MID(SUBSTITUTE($F$42,",",REPT(" ",120)),241,120))</f>
      </c>
      <c r="G89" s="27">
        <f>INDEX($D89:$F89,1,$H$4)</f>
      </c>
      <c r="H89" s="19" t="s">
        <v>3</v>
      </c>
    </row>
    <row r="90" spans="1:8" x14ac:dyDescent="0.25">
      <c r="A90" s="28" t="s">
        <v>3</v>
      </c>
      <c r="B90" s="16" t="s">
        <v>278</v>
      </c>
      <c r="C90" s="14" t="s">
        <v>312</v>
      </c>
      <c r="D90" s="27">
        <f>TRIM(MID(SUBSTITUTE($D$42,",",REPT(" ",120)),361,120))</f>
      </c>
      <c r="E90" s="27">
        <f>TRIM(MID(SUBSTITUTE($E$42,",",REPT(" ",120)),361,120))</f>
      </c>
      <c r="F90" s="27">
        <f>TRIM(MID(SUBSTITUTE($F$42,",",REPT(" ",120)),361,120))</f>
      </c>
      <c r="G90" s="27">
        <f>INDEX($D90:$F90,1,$H$4)</f>
      </c>
      <c r="H90" s="19" t="s">
        <v>3</v>
      </c>
    </row>
    <row r="91" spans="1:8" x14ac:dyDescent="0.25">
      <c r="A91" s="28" t="s">
        <v>3</v>
      </c>
      <c r="B91" s="16" t="s">
        <v>280</v>
      </c>
      <c r="C91" s="14" t="s">
        <v>313</v>
      </c>
      <c r="D91" s="27">
        <f>TRIM(MID(SUBSTITUTE($D$42,",",REPT(" ",120)),481,120))</f>
      </c>
      <c r="E91" s="27">
        <f>TRIM(MID(SUBSTITUTE($E$42,",",REPT(" ",120)),481,120))</f>
      </c>
      <c r="F91" s="27">
        <f>TRIM(MID(SUBSTITUTE($F$42,",",REPT(" ",120)),481,120))</f>
      </c>
      <c r="G91" s="27">
        <f>INDEX($D91:$F91,1,$H$4)</f>
      </c>
      <c r="H91" s="19" t="s">
        <v>3</v>
      </c>
    </row>
    <row r="92" spans="1:8" x14ac:dyDescent="0.25">
      <c r="A92" s="28" t="s">
        <v>3</v>
      </c>
      <c r="B92" s="15" t="s">
        <v>282</v>
      </c>
      <c r="C92" s="14" t="s">
        <v>314</v>
      </c>
      <c r="D92" s="29">
        <f>IF($D$87="",0,1)+IF($D$88="",0,1)+IF($D$89="",0,1)+IF($D$90="",0,1)+IF($D$91="",0,1)</f>
      </c>
      <c r="E92" s="29">
        <f>IF($E$87="",0,1)+IF($E$88="",0,1)+IF($E$89="",0,1)+IF($E$90="",0,1)+IF($E$91="",0,1)</f>
      </c>
      <c r="F92" s="29">
        <f>IF($F$87="",0,1)+IF($F$88="",0,1)+IF($F$89="",0,1)+IF($F$90="",0,1)+IF($F$91="",0,1)</f>
      </c>
      <c r="G92" s="30">
        <f>INDEX($D92:$F92,1,$H$4)</f>
      </c>
      <c r="H92" s="19" t="s">
        <v>284</v>
      </c>
    </row>
    <row r="94" ht="18" customHeight="1" spans="1:8" x14ac:dyDescent="0.25">
      <c r="A94" s="26" t="s">
        <v>315</v>
      </c>
      <c r="B94" s="26"/>
      <c r="C94" s="26"/>
      <c r="D94" s="26"/>
      <c r="E94" s="26"/>
      <c r="F94" s="26"/>
      <c r="G94" s="26"/>
      <c r="H94" s="26"/>
    </row>
    <row r="95" ht="22" customHeight="1" spans="1:8" x14ac:dyDescent="0.25">
      <c r="A95" s="12" t="s">
        <v>316</v>
      </c>
      <c r="B95" s="12" t="s">
        <v>317</v>
      </c>
      <c r="C95" s="12" t="s">
        <v>269</v>
      </c>
      <c r="D95" s="12" t="s">
        <v>71</v>
      </c>
      <c r="E95" s="12" t="s">
        <v>76</v>
      </c>
      <c r="F95" s="12" t="s">
        <v>77</v>
      </c>
      <c r="G95" s="12" t="s">
        <v>78</v>
      </c>
      <c r="H95" s="12" t="s">
        <v>318</v>
      </c>
    </row>
    <row r="96" spans="1:8" x14ac:dyDescent="0.25">
      <c r="A96" s="15" t="s">
        <v>319</v>
      </c>
      <c r="B96" s="31">
        <f>Lookup_Lists!$D$113</f>
      </c>
      <c r="C96" s="14" t="s">
        <v>320</v>
      </c>
      <c r="D96" s="32">
        <f>MAX(0,Lookup_Lists!$D$113+IF($D$23="Age",Lookup_Lists!$D$117,IF($D$23="Balanced",0,-Lookup_Lists!$D$117/3)))</f>
      </c>
      <c r="E96" s="32">
        <f>MAX(0,Lookup_Lists!$D$113+IF($E$23="Age",Lookup_Lists!$D$117,IF($E$23="Balanced",0,-Lookup_Lists!$D$117/3)))</f>
      </c>
      <c r="F96" s="32">
        <f>MAX(0,Lookup_Lists!$D$113+IF($F$23="Age",Lookup_Lists!$D$117,IF($F$23="Balanced",0,-Lookup_Lists!$D$117/3)))</f>
      </c>
      <c r="G96" s="33">
        <f>INDEX($D96:$F96,1,$H$4)</f>
      </c>
      <c r="H96" s="19" t="s">
        <v>321</v>
      </c>
    </row>
    <row r="97" spans="1:8" x14ac:dyDescent="0.25">
      <c r="A97" s="15" t="s">
        <v>322</v>
      </c>
      <c r="B97" s="31">
        <f>Lookup_Lists!$D$114</f>
      </c>
      <c r="C97" s="14" t="s">
        <v>323</v>
      </c>
      <c r="D97" s="32">
        <f>MAX(0,Lookup_Lists!$D$114+IF($D$23="Gender",Lookup_Lists!$D$117,IF($D$23="Balanced",0,-Lookup_Lists!$D$117/3)))</f>
      </c>
      <c r="E97" s="32">
        <f>MAX(0,Lookup_Lists!$D$114+IF($E$23="Gender",Lookup_Lists!$D$117,IF($E$23="Balanced",0,-Lookup_Lists!$D$117/3)))</f>
      </c>
      <c r="F97" s="32">
        <f>MAX(0,Lookup_Lists!$D$114+IF($F$23="Gender",Lookup_Lists!$D$117,IF($F$23="Balanced",0,-Lookup_Lists!$D$117/3)))</f>
      </c>
      <c r="G97" s="33">
        <f>INDEX($D97:$F97,1,$H$4)</f>
      </c>
      <c r="H97" s="19" t="s">
        <v>324</v>
      </c>
    </row>
    <row r="98" spans="1:8" x14ac:dyDescent="0.25">
      <c r="A98" s="15" t="s">
        <v>325</v>
      </c>
      <c r="B98" s="31">
        <f>Lookup_Lists!$D$115</f>
      </c>
      <c r="C98" s="14" t="s">
        <v>326</v>
      </c>
      <c r="D98" s="32">
        <f>MAX(0,Lookup_Lists!$D$115+IF($D$23="Location",Lookup_Lists!$D$117,IF($D$23="Balanced",0,-Lookup_Lists!$D$117/3)))</f>
      </c>
      <c r="E98" s="32">
        <f>MAX(0,Lookup_Lists!$D$115+IF($E$23="Location",Lookup_Lists!$D$117,IF($E$23="Balanced",0,-Lookup_Lists!$D$117/3)))</f>
      </c>
      <c r="F98" s="32">
        <f>MAX(0,Lookup_Lists!$D$115+IF($F$23="Location",Lookup_Lists!$D$117,IF($F$23="Balanced",0,-Lookup_Lists!$D$117/3)))</f>
      </c>
      <c r="G98" s="33">
        <f>INDEX($D98:$F98,1,$H$4)</f>
      </c>
      <c r="H98" s="19" t="s">
        <v>327</v>
      </c>
    </row>
    <row r="99" spans="1:8" x14ac:dyDescent="0.25">
      <c r="A99" s="15" t="s">
        <v>328</v>
      </c>
      <c r="B99" s="31">
        <f>Lookup_Lists!$D$116</f>
      </c>
      <c r="C99" s="14" t="s">
        <v>329</v>
      </c>
      <c r="D99" s="32">
        <f>MAX(0,Lookup_Lists!$D$116+IF($D$23="Interest",Lookup_Lists!$D$117,IF($D$23="Balanced",0,-Lookup_Lists!$D$117/3)))</f>
      </c>
      <c r="E99" s="32">
        <f>MAX(0,Lookup_Lists!$D$116+IF($E$23="Interest",Lookup_Lists!$D$117,IF($E$23="Balanced",0,-Lookup_Lists!$D$117/3)))</f>
      </c>
      <c r="F99" s="32">
        <f>MAX(0,Lookup_Lists!$D$116+IF($F$23="Interest",Lookup_Lists!$D$117,IF($F$23="Balanced",0,-Lookup_Lists!$D$117/3)))</f>
      </c>
      <c r="G99" s="33">
        <f>INDEX($D99:$F99,1,$H$4)</f>
      </c>
      <c r="H99" s="19" t="s">
        <v>330</v>
      </c>
    </row>
  </sheetData>
  <mergeCells count="9">
    <mergeCell ref="A1:H1"/>
    <mergeCell ref="A2:H2"/>
    <mergeCell ref="A7:H7"/>
    <mergeCell ref="A15:H15"/>
    <mergeCell ref="A24:H24"/>
    <mergeCell ref="A31:H31"/>
    <mergeCell ref="A45:H45"/>
    <mergeCell ref="A55:H55"/>
    <mergeCell ref="A94:H94"/>
  </mergeCells>
  <dataValidations count="20">
    <dataValidation type="list" sqref="B4">
      <formula1>Lookup_Lists!$AB$6:$AB$8</formula1>
    </dataValidation>
    <dataValidation type="list" allowBlank="1" sqref="D10:F10">
      <formula1>Lookup_Lists!$B$6:$B$17</formula1>
    </dataValidation>
    <dataValidation type="list" allowBlank="1" sqref="D12:F12">
      <formula1>Lookup_Lists!$D$6:$D$47</formula1>
    </dataValidation>
    <dataValidation type="list" allowBlank="1" sqref="D14:F14">
      <formula1>Lookup_Lists!$S$6:$S$29</formula1>
    </dataValidation>
    <dataValidation type="list" allowBlank="1" sqref="D16:F17">
      <formula1>Lookup_Lists!$F$6:$F$10</formula1>
    </dataValidation>
    <dataValidation type="list" allowBlank="1" sqref="D18:F18">
      <formula1>Lookup_Lists!$G$6:$G$9</formula1>
    </dataValidation>
    <dataValidation type="list" allowBlank="1" sqref="D19:F19">
      <formula1>Lookup_Lists!$H$6:$H$11</formula1>
    </dataValidation>
    <dataValidation type="list" allowBlank="1" sqref="D20:F20">
      <formula1>Lookup_Lists!$I$6:$I$15</formula1>
    </dataValidation>
    <dataValidation type="list" allowBlank="1" sqref="D21:F21">
      <formula1>Lookup_Lists!$J$6:$J$17</formula1>
    </dataValidation>
    <dataValidation type="list" allowBlank="1" sqref="D23:F23">
      <formula1>Lookup_Lists!$W$6:$W$10</formula1>
    </dataValidation>
    <dataValidation type="list" allowBlank="1" sqref="D25:F25">
      <formula1>Lookup_Lists!$N$6:$N$15</formula1>
    </dataValidation>
    <dataValidation type="list" allowBlank="1" sqref="D27:F27">
      <formula1>Lookup_Lists!$O$6:$O$13</formula1>
    </dataValidation>
    <dataValidation type="list" allowBlank="1" sqref="D28:F28">
      <formula1>Lookup_Lists!$R$6:$R$10</formula1>
    </dataValidation>
    <dataValidation type="list" allowBlank="1" sqref="D30:F30">
      <formula1>Lookup_Lists!$P$6:$P$13</formula1>
    </dataValidation>
    <dataValidation type="list" allowBlank="1" sqref="D33:F33">
      <formula1>Lookup_Lists!$C$6:$C$19</formula1>
    </dataValidation>
    <dataValidation type="list" allowBlank="1" sqref="D34:F34">
      <formula1>Lookup_Lists!$D$6:$D$47</formula1>
    </dataValidation>
    <dataValidation type="list" allowBlank="1" sqref="D39:F39">
      <formula1>Lookup_Lists!$L$6:$L$15</formula1>
    </dataValidation>
    <dataValidation type="list" allowBlank="1" sqref="D41:F41">
      <formula1>Lookup_Lists!$M$6:$M$17</formula1>
    </dataValidation>
    <dataValidation type="list" allowBlank="1" sqref="D46:F47">
      <formula1>Lookup_Lists!$V$6:$V$7</formula1>
    </dataValidation>
    <dataValidation type="list" allowBlank="1" sqref="D50:F53">
      <formula1>Lookup_Lists!$V$6:$V$7</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34"/>
  <sheetViews>
    <sheetView workbookViewId="0">
      <pane xSplit="3" ySplit="4" topLeftCell="D5" activePane="bottomRight" state="frozen"/>
      <selection pane="bottomRight"/>
    </sheetView>
  </sheetViews>
  <sheetFormatPr defaultRowHeight="15" outlineLevelRow="0" outlineLevelCol="0" x14ac:dyDescent="55"/>
  <cols>
    <col min="1" max="1" width="10" customWidth="1"/>
    <col min="2" max="2" width="18" customWidth="1"/>
    <col min="3" max="3" width="22" customWidth="1"/>
    <col min="4" max="5" width="11" customWidth="1"/>
    <col min="6" max="6" width="15" customWidth="1"/>
    <col min="7" max="7" width="10" customWidth="1"/>
    <col min="8" max="8" width="11" customWidth="1"/>
    <col min="9" max="9" width="15" customWidth="1"/>
    <col min="10" max="10" width="12" customWidth="1"/>
    <col min="11" max="11" width="20" customWidth="1"/>
    <col min="12" max="12" width="16" customWidth="1"/>
    <col min="13" max="13" width="15" customWidth="1"/>
    <col min="14" max="15" width="17" customWidth="1"/>
    <col min="16" max="16" width="20" customWidth="1"/>
    <col min="17" max="17" width="18" customWidth="1"/>
    <col min="18" max="18" width="19" customWidth="1"/>
    <col min="19" max="19" width="20" customWidth="1"/>
    <col min="20" max="20" width="17" customWidth="1"/>
    <col min="21" max="21" width="16" customWidth="1"/>
    <col min="22" max="27" width="20" customWidth="1"/>
    <col min="28" max="28" width="11" customWidth="1"/>
    <col min="29" max="29" width="10" customWidth="1"/>
    <col min="30" max="30" width="19" customWidth="1"/>
    <col min="31" max="31" width="18" customWidth="1"/>
    <col min="32" max="32" width="16" customWidth="1"/>
    <col min="33" max="33" width="34" customWidth="1"/>
    <col min="34" max="34" width="18" customWidth="1"/>
    <col min="35" max="35" width="30" customWidth="1"/>
    <col min="36" max="36" width="16" customWidth="1"/>
    <col min="37" max="37" width="20" customWidth="1"/>
    <col min="38" max="38" width="30" customWidth="1"/>
    <col min="39" max="40" width="18" customWidth="1"/>
    <col min="41" max="43" width="10" customWidth="1"/>
    <col min="44" max="44" width="18" customWidth="1"/>
    <col min="45" max="45" width="16" customWidth="1"/>
    <col min="46" max="47" width="20" customWidth="1"/>
    <col min="48" max="48" width="12" customWidth="1"/>
    <col min="49" max="49" width="19" customWidth="1"/>
    <col min="50" max="50" width="10" customWidth="1"/>
    <col min="51" max="52" width="19" customWidth="1"/>
    <col min="53" max="53" width="13" customWidth="1"/>
    <col min="54" max="54" width="15" customWidth="1"/>
    <col min="55" max="55" width="20" customWidth="1"/>
    <col min="56" max="56" width="18" customWidth="1"/>
    <col min="57" max="57" width="20" customWidth="1"/>
    <col min="58" max="58" width="14" customWidth="1"/>
  </cols>
  <sheetData>
    <row r="1" ht="24" customHeight="1" spans="1:58" x14ac:dyDescent="0.25">
      <c r="A1" s="1" t="s">
        <v>331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ht="30" customHeight="1" spans="1:58" x14ac:dyDescent="0.25">
      <c r="A2" s="2" t="s">
        <v>332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row>
    <row r="3" spans="1:58" x14ac:dyDescent="0.25">
      <c r="A3" s="34" t="s">
        <v>333</v>
      </c>
      <c r="B3" s="34"/>
      <c r="C3" s="34"/>
      <c r="D3" s="34"/>
      <c r="E3" s="34"/>
      <c r="F3" s="34"/>
      <c r="G3" s="34"/>
      <c r="H3" s="34"/>
      <c r="I3" s="34"/>
      <c r="J3" s="34" t="s">
        <v>334</v>
      </c>
      <c r="K3" s="34"/>
      <c r="L3" s="34"/>
      <c r="M3" s="34"/>
      <c r="N3" s="34"/>
      <c r="O3" s="34"/>
      <c r="P3" s="34"/>
      <c r="Q3" s="34"/>
      <c r="R3" s="34"/>
      <c r="S3" s="34"/>
      <c r="T3" s="34"/>
      <c r="U3" s="34"/>
      <c r="V3" s="34"/>
      <c r="W3" s="34" t="s">
        <v>335</v>
      </c>
      <c r="X3" s="34"/>
      <c r="Y3" s="34"/>
      <c r="Z3" s="34"/>
      <c r="AA3" s="34"/>
      <c r="AB3" s="34"/>
      <c r="AC3" s="34"/>
      <c r="AD3" s="34"/>
      <c r="AE3" s="34"/>
      <c r="AF3" s="34"/>
      <c r="AG3" s="34"/>
      <c r="AH3" s="34"/>
      <c r="AI3" s="34" t="s">
        <v>336</v>
      </c>
      <c r="AJ3" s="34"/>
      <c r="AK3" s="34"/>
      <c r="AL3" s="34"/>
      <c r="AM3" s="34"/>
      <c r="AN3" s="34" t="s">
        <v>337</v>
      </c>
      <c r="AO3" s="34"/>
      <c r="AP3" s="34"/>
      <c r="AQ3" s="34"/>
      <c r="AR3" s="34"/>
      <c r="AS3" s="34"/>
      <c r="AT3" s="34" t="s">
        <v>338</v>
      </c>
      <c r="AU3" s="34"/>
      <c r="AV3" s="34"/>
      <c r="AW3" s="34" t="s">
        <v>339</v>
      </c>
      <c r="AX3" s="34"/>
      <c r="AY3" s="34"/>
      <c r="AZ3" s="34"/>
      <c r="BA3" s="34" t="s">
        <v>340</v>
      </c>
      <c r="BB3" s="34"/>
      <c r="BC3" s="34" t="s">
        <v>341</v>
      </c>
      <c r="BD3" s="34"/>
      <c r="BE3" s="34"/>
      <c r="BF3" s="34"/>
    </row>
    <row r="4" spans="1:58" x14ac:dyDescent="0.25">
      <c r="A4" t="s">
        <v>342</v>
      </c>
      <c r="B4" t="s">
        <v>343</v>
      </c>
      <c r="C4" t="s">
        <v>344</v>
      </c>
      <c r="D4" t="s">
        <v>345</v>
      </c>
      <c r="E4" t="s">
        <v>346</v>
      </c>
      <c r="F4" t="s">
        <v>347</v>
      </c>
      <c r="G4" t="s">
        <v>348</v>
      </c>
      <c r="H4" t="s">
        <v>349</v>
      </c>
      <c r="I4" t="s">
        <v>350</v>
      </c>
      <c r="J4" t="s">
        <v>351</v>
      </c>
      <c r="K4" t="s">
        <v>352</v>
      </c>
      <c r="L4" t="s">
        <v>353</v>
      </c>
      <c r="M4" t="s">
        <v>354</v>
      </c>
      <c r="N4" t="s">
        <v>355</v>
      </c>
      <c r="O4" t="s">
        <v>356</v>
      </c>
      <c r="P4" t="s">
        <v>357</v>
      </c>
      <c r="Q4" t="s">
        <v>358</v>
      </c>
      <c r="R4" t="s">
        <v>359</v>
      </c>
      <c r="S4" t="s">
        <v>360</v>
      </c>
      <c r="T4" t="s">
        <v>361</v>
      </c>
      <c r="U4" t="s">
        <v>362</v>
      </c>
      <c r="V4" t="s">
        <v>363</v>
      </c>
      <c r="W4" t="s">
        <v>364</v>
      </c>
      <c r="X4" t="s">
        <v>365</v>
      </c>
      <c r="Y4" t="s">
        <v>366</v>
      </c>
      <c r="Z4" t="s">
        <v>367</v>
      </c>
      <c r="AA4" t="s">
        <v>368</v>
      </c>
      <c r="AB4" t="s">
        <v>369</v>
      </c>
      <c r="AC4" t="s">
        <v>370</v>
      </c>
      <c r="AD4" t="s">
        <v>371</v>
      </c>
      <c r="AE4" t="s">
        <v>372</v>
      </c>
      <c r="AF4" t="s">
        <v>373</v>
      </c>
      <c r="AG4" t="s">
        <v>148</v>
      </c>
      <c r="AH4" t="s">
        <v>374</v>
      </c>
      <c r="AI4" t="s">
        <v>375</v>
      </c>
      <c r="AJ4" t="s">
        <v>376</v>
      </c>
      <c r="AK4" t="s">
        <v>377</v>
      </c>
      <c r="AL4" t="s">
        <v>378</v>
      </c>
      <c r="AM4" t="s">
        <v>379</v>
      </c>
      <c r="AN4" t="s">
        <v>380</v>
      </c>
      <c r="AO4" t="s">
        <v>381</v>
      </c>
      <c r="AP4" t="s">
        <v>382</v>
      </c>
      <c r="AQ4" t="s">
        <v>383</v>
      </c>
      <c r="AR4" t="s">
        <v>384</v>
      </c>
      <c r="AS4" t="s">
        <v>385</v>
      </c>
      <c r="AT4" t="s">
        <v>386</v>
      </c>
      <c r="AU4" t="s">
        <v>387</v>
      </c>
      <c r="AV4" t="s">
        <v>388</v>
      </c>
      <c r="AW4" t="s">
        <v>389</v>
      </c>
      <c r="AX4" t="s">
        <v>390</v>
      </c>
      <c r="AY4" t="s">
        <v>391</v>
      </c>
      <c r="AZ4" t="s">
        <v>392</v>
      </c>
      <c r="BA4" t="s">
        <v>393</v>
      </c>
      <c r="BB4" t="s">
        <v>394</v>
      </c>
      <c r="BC4" t="s">
        <v>395</v>
      </c>
      <c r="BD4" t="s">
        <v>396</v>
      </c>
      <c r="BE4" t="s">
        <v>397</v>
      </c>
      <c r="BF4" t="s">
        <v>398</v>
      </c>
    </row>
    <row r="5" spans="1:58" x14ac:dyDescent="0.25">
      <c r="A5" s="35" t="s">
        <v>399</v>
      </c>
      <c r="B5" s="35" t="s">
        <v>400</v>
      </c>
      <c r="C5" s="35" t="s">
        <v>401</v>
      </c>
      <c r="D5" s="35" t="s">
        <v>402</v>
      </c>
      <c r="E5" s="35" t="s">
        <v>201</v>
      </c>
      <c r="F5" s="35" t="s">
        <v>403</v>
      </c>
      <c r="G5" s="35">
        <f>IFERROR(INDEX(Lookup_Lists!$A$96:$A$100,MATCH(KOL_Database!$J$5,Lookup_Lists!$B$96:$B$100,1)),"")</f>
      </c>
      <c r="H5" s="35" t="s">
        <v>253</v>
      </c>
      <c r="I5" s="35" t="s">
        <v>146</v>
      </c>
      <c r="J5" s="36">
        <v>128000</v>
      </c>
      <c r="K5" s="37">
        <v>3.8</v>
      </c>
      <c r="L5" s="36">
        <v>46223</v>
      </c>
      <c r="M5" s="36">
        <v>37645</v>
      </c>
      <c r="N5" s="37">
        <v>2.7</v>
      </c>
      <c r="O5" s="37">
        <v>6.7</v>
      </c>
      <c r="P5" s="38">
        <v>73</v>
      </c>
      <c r="Q5" s="38">
        <v>66</v>
      </c>
      <c r="R5" s="38">
        <v>83</v>
      </c>
      <c r="S5" s="38">
        <v>75</v>
      </c>
      <c r="T5" s="39">
        <v>1.65</v>
      </c>
      <c r="U5" s="39">
        <v>3.46</v>
      </c>
      <c r="V5" s="38">
        <v>84</v>
      </c>
      <c r="W5" s="38">
        <v>5</v>
      </c>
      <c r="X5" s="38">
        <v>23</v>
      </c>
      <c r="Y5" s="38">
        <v>42</v>
      </c>
      <c r="Z5" s="38">
        <v>20</v>
      </c>
      <c r="AA5" s="38">
        <v>10</v>
      </c>
      <c r="AB5" s="38">
        <v>20</v>
      </c>
      <c r="AC5" s="38">
        <v>80</v>
      </c>
      <c r="AD5" s="35" t="s">
        <v>137</v>
      </c>
      <c r="AE5" s="35" t="s">
        <v>141</v>
      </c>
      <c r="AF5" s="35" t="s">
        <v>146</v>
      </c>
      <c r="AG5" s="35" t="s">
        <v>404</v>
      </c>
      <c r="AH5" s="35" t="s">
        <v>405</v>
      </c>
      <c r="AI5" s="35" t="s">
        <v>406</v>
      </c>
      <c r="AJ5" s="35" t="s">
        <v>224</v>
      </c>
      <c r="AK5" s="35" t="s">
        <v>232</v>
      </c>
      <c r="AL5" s="35" t="s">
        <v>407</v>
      </c>
      <c r="AM5" s="38">
        <v>86</v>
      </c>
      <c r="AN5" s="36">
        <v>3677000</v>
      </c>
      <c r="AO5" s="40">
        <f>IF(OR(KOL_Database!$AN$5="",KOL_Database!$AN$5=0,KOL_Database!$L$5="",KOL_Database!$L$5=0),"",ROUND(KOL_Database!$AN$5/KOL_Database!$L$5,2))</f>
      </c>
      <c r="AP5" s="36">
        <f>IF(OR(KOL_Database!$AN$5="",KOL_Database!$AN$5=0,KOL_Database!$L$5="",KOL_Database!$L$5=0,KOL_Database!$K$5="",KOL_Database!$K$5=0),"",ROUND(KOL_Database!$AN$5/(KOL_Database!$L$5*KOL_Database!$K$5/100),0))</f>
      </c>
      <c r="AQ5" s="36">
        <f>IF(OR(KOL_Database!$AN$5="",KOL_Database!$AN$5=0,KOL_Database!$J$5="",KOL_Database!$J$5=0),"",ROUND(KOL_Database!$AN$5/KOL_Database!$J$5*1000,0))</f>
      </c>
      <c r="AR5" s="36">
        <f>IF(OR(KOL_Database!$L$5="",KOL_Database!$J$5=""),"",ROUND(KOL_Database!$L$5*Lookup_Lists!$D$147+KOL_Database!$J$5*Lookup_Lists!$D$148,0))</f>
      </c>
      <c r="AS5" s="39">
        <f>IF(OR(KOL_Database!$AN$5="",KOL_Database!$AN$5=0,KOL_Database!$AR$5=""),"",ROUND(KOL_Database!$AR$5*KOL_Database!$K$5/100*Lookup_Lists!$D$146/KOL_Database!$AN$5,2))</f>
      </c>
      <c r="AT5" s="38">
        <v>90</v>
      </c>
      <c r="AU5" s="38">
        <v>56</v>
      </c>
      <c r="AV5" s="35" t="s">
        <v>408</v>
      </c>
      <c r="AW5" s="35" t="s">
        <v>249</v>
      </c>
      <c r="AX5" s="35" t="s">
        <v>249</v>
      </c>
      <c r="AY5" s="35" t="s">
        <v>249</v>
      </c>
      <c r="AZ5" s="35" t="s">
        <v>249</v>
      </c>
      <c r="BA5" s="41">
        <v>46171.70833333333</v>
      </c>
      <c r="BB5" s="41">
        <v>46234.70833333333</v>
      </c>
      <c r="BC5" s="42">
        <f>IF(OR(KOL_Database!$J$5="",KOL_Database!$J$5=0,KOL_Database!$L$5=""),"",ROUND(KOL_Database!$L$5/KOL_Database!$J$5,3))</f>
      </c>
      <c r="BD5" s="38">
        <f>IF(OR(KOL_Database!$AP$5="",KOL_Database!$AP$5=0,Lookup_Lists!$D$149=0),"",MIN(100,ROUND(Lookup_Lists!$D$149/KOL_Database!$AP$5*100,0)))</f>
      </c>
      <c r="BE5" s="38">
        <f>ROUND((IF(KOL_Database!$J$5="",0,1)+IF(KOL_Database!$K$5="",0,1)+IF(KOL_Database!$L$5="",0,1)+IF(KOL_Database!$M$5="",0,1)+IF(KOL_Database!$N$5="",0,1)+IF(KOL_Database!$O$5="",0,1)+IF(KOL_Database!$P$5="",0,1)+IF(KOL_Database!$R$5="",0,1)+IF(KOL_Database!$S$5="",0,1)+IF(KOL_Database!$AE$5="",0,1)+IF(KOL_Database!$AF$5="",0,1)+IF(KOL_Database!$AN$5="",0,1))/12*100,0)</f>
      </c>
      <c r="BF5" s="35">
        <f>IF(KOL_Database!$BE$5&gt;=Lookup_Lists!$D$159,"Live",IF(KOL_Database!$BE$5&gt;=Lookup_Lists!$D$160,"Calculated","Estimated"))</f>
      </c>
    </row>
    <row r="6" spans="1:58" x14ac:dyDescent="0.25">
      <c r="A6" s="35" t="s">
        <v>409</v>
      </c>
      <c r="B6" s="35" t="s">
        <v>410</v>
      </c>
      <c r="C6" s="35" t="s">
        <v>411</v>
      </c>
      <c r="D6" s="35" t="s">
        <v>412</v>
      </c>
      <c r="E6" s="35" t="s">
        <v>201</v>
      </c>
      <c r="F6" s="35" t="s">
        <v>103</v>
      </c>
      <c r="G6" s="35">
        <f>IFERROR(INDEX(Lookup_Lists!$A$96:$A$100,MATCH(KOL_Database!$J$6,Lookup_Lists!$B$96:$B$100,1)),"")</f>
      </c>
      <c r="H6" s="35" t="s">
        <v>249</v>
      </c>
      <c r="I6" s="35" t="s">
        <v>413</v>
      </c>
      <c r="J6" s="36">
        <v>86000</v>
      </c>
      <c r="K6" s="37">
        <v>6.2</v>
      </c>
      <c r="L6" s="36">
        <v>87604</v>
      </c>
      <c r="M6" s="36">
        <v>64637</v>
      </c>
      <c r="N6" s="37">
        <v>4.9</v>
      </c>
      <c r="O6" s="37">
        <v>10.8</v>
      </c>
      <c r="P6" s="38">
        <v>56</v>
      </c>
      <c r="Q6" s="38">
        <v>92</v>
      </c>
      <c r="R6" s="38">
        <v>75</v>
      </c>
      <c r="S6" s="38">
        <v>89</v>
      </c>
      <c r="T6" s="39">
        <v>1.15</v>
      </c>
      <c r="U6" s="39">
        <v>2.52</v>
      </c>
      <c r="V6" s="38">
        <v>69</v>
      </c>
      <c r="W6" s="38">
        <v>10</v>
      </c>
      <c r="X6" s="38">
        <v>35</v>
      </c>
      <c r="Y6" s="38">
        <v>32</v>
      </c>
      <c r="Z6" s="38">
        <v>15</v>
      </c>
      <c r="AA6" s="38">
        <v>8</v>
      </c>
      <c r="AB6" s="38">
        <v>26</v>
      </c>
      <c r="AC6" s="38">
        <v>74</v>
      </c>
      <c r="AD6" s="35" t="s">
        <v>137</v>
      </c>
      <c r="AE6" s="35" t="s">
        <v>414</v>
      </c>
      <c r="AF6" s="35" t="s">
        <v>413</v>
      </c>
      <c r="AG6" s="35" t="s">
        <v>415</v>
      </c>
      <c r="AH6" s="35" t="s">
        <v>416</v>
      </c>
      <c r="AI6" s="35" t="s">
        <v>417</v>
      </c>
      <c r="AJ6" s="35" t="s">
        <v>189</v>
      </c>
      <c r="AK6" s="35" t="s">
        <v>189</v>
      </c>
      <c r="AL6" s="35" t="s">
        <v>418</v>
      </c>
      <c r="AM6" s="38">
        <v>77</v>
      </c>
      <c r="AN6" s="36">
        <v>4738000</v>
      </c>
      <c r="AO6" s="40">
        <f>IF(OR(KOL_Database!$AN$6="",KOL_Database!$AN$6=0,KOL_Database!$L$6="",KOL_Database!$L$6=0),"",ROUND(KOL_Database!$AN$6/KOL_Database!$L$6,2))</f>
      </c>
      <c r="AP6" s="36">
        <f>IF(OR(KOL_Database!$AN$6="",KOL_Database!$AN$6=0,KOL_Database!$L$6="",KOL_Database!$L$6=0,KOL_Database!$K$6="",KOL_Database!$K$6=0),"",ROUND(KOL_Database!$AN$6/(KOL_Database!$L$6*KOL_Database!$K$6/100),0))</f>
      </c>
      <c r="AQ6" s="36">
        <f>IF(OR(KOL_Database!$AN$6="",KOL_Database!$AN$6=0,KOL_Database!$J$6="",KOL_Database!$J$6=0),"",ROUND(KOL_Database!$AN$6/KOL_Database!$J$6*1000,0))</f>
      </c>
      <c r="AR6" s="36">
        <f>IF(OR(KOL_Database!$L$6="",KOL_Database!$J$6=""),"",ROUND(KOL_Database!$L$6*Lookup_Lists!$D$147+KOL_Database!$J$6*Lookup_Lists!$D$148,0))</f>
      </c>
      <c r="AS6" s="39">
        <f>IF(OR(KOL_Database!$AN$6="",KOL_Database!$AN$6=0,KOL_Database!$AR$6=""),"",ROUND(KOL_Database!$AR$6*KOL_Database!$K$6/100*Lookup_Lists!$D$146/KOL_Database!$AN$6,2))</f>
      </c>
      <c r="AT6" s="38">
        <v>82</v>
      </c>
      <c r="AU6" s="38">
        <v>40</v>
      </c>
      <c r="AV6" s="35" t="s">
        <v>408</v>
      </c>
      <c r="AW6" s="35" t="s">
        <v>249</v>
      </c>
      <c r="AX6" s="35" t="s">
        <v>249</v>
      </c>
      <c r="AY6" s="35" t="s">
        <v>249</v>
      </c>
      <c r="AZ6" s="35" t="s">
        <v>249</v>
      </c>
      <c r="BA6" s="41">
        <v>46069.70833333333</v>
      </c>
      <c r="BB6" s="41">
        <v>46248.70833333333</v>
      </c>
      <c r="BC6" s="42">
        <f>IF(OR(KOL_Database!$J$6="",KOL_Database!$J$6=0,KOL_Database!$L$6=""),"",ROUND(KOL_Database!$L$6/KOL_Database!$J$6,3))</f>
      </c>
      <c r="BD6" s="38">
        <f>IF(OR(KOL_Database!$AP$6="",KOL_Database!$AP$6=0,Lookup_Lists!$D$149=0),"",MIN(100,ROUND(Lookup_Lists!$D$149/KOL_Database!$AP$6*100,0)))</f>
      </c>
      <c r="BE6" s="38">
        <f>ROUND((IF(KOL_Database!$J$6="",0,1)+IF(KOL_Database!$K$6="",0,1)+IF(KOL_Database!$L$6="",0,1)+IF(KOL_Database!$M$6="",0,1)+IF(KOL_Database!$N$6="",0,1)+IF(KOL_Database!$O$6="",0,1)+IF(KOL_Database!$P$6="",0,1)+IF(KOL_Database!$R$6="",0,1)+IF(KOL_Database!$S$6="",0,1)+IF(KOL_Database!$AE$6="",0,1)+IF(KOL_Database!$AF$6="",0,1)+IF(KOL_Database!$AN$6="",0,1))/12*100,0)</f>
      </c>
      <c r="BF6" s="35">
        <f>IF(KOL_Database!$BE$6&gt;=Lookup_Lists!$D$159,"Live",IF(KOL_Database!$BE$6&gt;=Lookup_Lists!$D$160,"Calculated","Estimated"))</f>
      </c>
    </row>
    <row r="7" spans="1:58" x14ac:dyDescent="0.25">
      <c r="A7" s="35" t="s">
        <v>419</v>
      </c>
      <c r="B7" s="35" t="s">
        <v>420</v>
      </c>
      <c r="C7" s="35" t="s">
        <v>421</v>
      </c>
      <c r="D7" s="35" t="s">
        <v>402</v>
      </c>
      <c r="E7" s="35" t="s">
        <v>202</v>
      </c>
      <c r="F7" s="35" t="s">
        <v>104</v>
      </c>
      <c r="G7" s="35">
        <f>IFERROR(INDEX(Lookup_Lists!$A$96:$A$100,MATCH(KOL_Database!$J$7,Lookup_Lists!$B$96:$B$100,1)),"")</f>
      </c>
      <c r="H7" s="35" t="s">
        <v>253</v>
      </c>
      <c r="I7" s="35" t="s">
        <v>146</v>
      </c>
      <c r="J7" s="36">
        <v>240000</v>
      </c>
      <c r="K7" s="37">
        <v>4.4</v>
      </c>
      <c r="L7" s="36">
        <v>71261</v>
      </c>
      <c r="M7" s="36">
        <v>54519</v>
      </c>
      <c r="N7" s="37">
        <v>2.7</v>
      </c>
      <c r="O7" s="37">
        <v>8.5</v>
      </c>
      <c r="P7" s="38">
        <v>74</v>
      </c>
      <c r="Q7" s="38">
        <v>68</v>
      </c>
      <c r="R7" s="38">
        <v>77</v>
      </c>
      <c r="S7" s="38">
        <v>84</v>
      </c>
      <c r="T7" s="39">
        <v>1.34</v>
      </c>
      <c r="U7" s="39">
        <v>2.94</v>
      </c>
      <c r="V7" s="38">
        <v>74</v>
      </c>
      <c r="W7" s="38">
        <v>7</v>
      </c>
      <c r="X7" s="38">
        <v>39</v>
      </c>
      <c r="Y7" s="38">
        <v>35</v>
      </c>
      <c r="Z7" s="38">
        <v>14</v>
      </c>
      <c r="AA7" s="38">
        <v>5</v>
      </c>
      <c r="AB7" s="38">
        <v>86</v>
      </c>
      <c r="AC7" s="38">
        <v>14</v>
      </c>
      <c r="AD7" s="35" t="s">
        <v>137</v>
      </c>
      <c r="AE7" s="35" t="s">
        <v>141</v>
      </c>
      <c r="AF7" s="35" t="s">
        <v>146</v>
      </c>
      <c r="AG7" s="35" t="s">
        <v>422</v>
      </c>
      <c r="AH7" s="35" t="s">
        <v>405</v>
      </c>
      <c r="AI7" s="35" t="s">
        <v>423</v>
      </c>
      <c r="AJ7" s="35" t="s">
        <v>224</v>
      </c>
      <c r="AK7" s="35" t="s">
        <v>232</v>
      </c>
      <c r="AL7" s="35" t="s">
        <v>424</v>
      </c>
      <c r="AM7" s="38">
        <v>81</v>
      </c>
      <c r="AN7" s="36">
        <v>6906000</v>
      </c>
      <c r="AO7" s="40">
        <f>IF(OR(KOL_Database!$AN$7="",KOL_Database!$AN$7=0,KOL_Database!$L$7="",KOL_Database!$L$7=0),"",ROUND(KOL_Database!$AN$7/KOL_Database!$L$7,2))</f>
      </c>
      <c r="AP7" s="36">
        <f>IF(OR(KOL_Database!$AN$7="",KOL_Database!$AN$7=0,KOL_Database!$L$7="",KOL_Database!$L$7=0,KOL_Database!$K$7="",KOL_Database!$K$7=0),"",ROUND(KOL_Database!$AN$7/(KOL_Database!$L$7*KOL_Database!$K$7/100),0))</f>
      </c>
      <c r="AQ7" s="36">
        <f>IF(OR(KOL_Database!$AN$7="",KOL_Database!$AN$7=0,KOL_Database!$J$7="",KOL_Database!$J$7=0),"",ROUND(KOL_Database!$AN$7/KOL_Database!$J$7*1000,0))</f>
      </c>
      <c r="AR7" s="36">
        <f>IF(OR(KOL_Database!$L$7="",KOL_Database!$J$7=""),"",ROUND(KOL_Database!$L$7*Lookup_Lists!$D$147+KOL_Database!$J$7*Lookup_Lists!$D$148,0))</f>
      </c>
      <c r="AS7" s="39">
        <f>IF(OR(KOL_Database!$AN$7="",KOL_Database!$AN$7=0,KOL_Database!$AR$7=""),"",ROUND(KOL_Database!$AR$7*KOL_Database!$K$7/100*Lookup_Lists!$D$146/KOL_Database!$AN$7,2))</f>
      </c>
      <c r="AT7" s="38">
        <v>85</v>
      </c>
      <c r="AU7" s="38">
        <v>45</v>
      </c>
      <c r="AV7" s="35" t="s">
        <v>408</v>
      </c>
      <c r="AW7" s="35" t="s">
        <v>253</v>
      </c>
      <c r="AX7" s="35" t="s">
        <v>249</v>
      </c>
      <c r="AY7" s="35" t="s">
        <v>249</v>
      </c>
      <c r="AZ7" s="35" t="s">
        <v>249</v>
      </c>
      <c r="BA7" s="41">
        <v>46088.70833333333</v>
      </c>
      <c r="BB7" s="41">
        <v>46238.70833333333</v>
      </c>
      <c r="BC7" s="42">
        <f>IF(OR(KOL_Database!$J$7="",KOL_Database!$J$7=0,KOL_Database!$L$7=""),"",ROUND(KOL_Database!$L$7/KOL_Database!$J$7,3))</f>
      </c>
      <c r="BD7" s="38">
        <f>IF(OR(KOL_Database!$AP$7="",KOL_Database!$AP$7=0,Lookup_Lists!$D$149=0),"",MIN(100,ROUND(Lookup_Lists!$D$149/KOL_Database!$AP$7*100,0)))</f>
      </c>
      <c r="BE7" s="38">
        <f>ROUND((IF(KOL_Database!$J$7="",0,1)+IF(KOL_Database!$K$7="",0,1)+IF(KOL_Database!$L$7="",0,1)+IF(KOL_Database!$M$7="",0,1)+IF(KOL_Database!$N$7="",0,1)+IF(KOL_Database!$O$7="",0,1)+IF(KOL_Database!$P$7="",0,1)+IF(KOL_Database!$R$7="",0,1)+IF(KOL_Database!$S$7="",0,1)+IF(KOL_Database!$AE$7="",0,1)+IF(KOL_Database!$AF$7="",0,1)+IF(KOL_Database!$AN$7="",0,1))/12*100,0)</f>
      </c>
      <c r="BF7" s="35">
        <f>IF(KOL_Database!$BE$7&gt;=Lookup_Lists!$D$159,"Live",IF(KOL_Database!$BE$7&gt;=Lookup_Lists!$D$160,"Calculated","Estimated"))</f>
      </c>
    </row>
    <row r="8" spans="1:58" x14ac:dyDescent="0.25">
      <c r="A8" s="35" t="s">
        <v>425</v>
      </c>
      <c r="B8" s="35" t="s">
        <v>426</v>
      </c>
      <c r="C8" s="35" t="s">
        <v>427</v>
      </c>
      <c r="D8" s="35" t="s">
        <v>412</v>
      </c>
      <c r="E8" s="35" t="s">
        <v>202</v>
      </c>
      <c r="F8" s="35" t="s">
        <v>428</v>
      </c>
      <c r="G8" s="35">
        <f>IFERROR(INDEX(Lookup_Lists!$A$96:$A$100,MATCH(KOL_Database!$J$8,Lookup_Lists!$B$96:$B$100,1)),"")</f>
      </c>
      <c r="H8" s="35" t="s">
        <v>253</v>
      </c>
      <c r="I8" s="35" t="s">
        <v>429</v>
      </c>
      <c r="J8" s="36">
        <v>512000</v>
      </c>
      <c r="K8" s="37">
        <v>7.1</v>
      </c>
      <c r="L8" s="36">
        <v>663796</v>
      </c>
      <c r="M8" s="36">
        <v>524778</v>
      </c>
      <c r="N8" s="37">
        <v>7</v>
      </c>
      <c r="O8" s="37">
        <v>19.3</v>
      </c>
      <c r="P8" s="38">
        <v>85</v>
      </c>
      <c r="Q8" s="38">
        <v>78</v>
      </c>
      <c r="R8" s="38">
        <v>82</v>
      </c>
      <c r="S8" s="38">
        <v>85</v>
      </c>
      <c r="T8" s="39">
        <v>1.63</v>
      </c>
      <c r="U8" s="39">
        <v>3.35</v>
      </c>
      <c r="V8" s="38">
        <v>81</v>
      </c>
      <c r="W8" s="38">
        <v>12</v>
      </c>
      <c r="X8" s="38">
        <v>44</v>
      </c>
      <c r="Y8" s="38">
        <v>30</v>
      </c>
      <c r="Z8" s="38">
        <v>10</v>
      </c>
      <c r="AA8" s="38">
        <v>4</v>
      </c>
      <c r="AB8" s="38">
        <v>81</v>
      </c>
      <c r="AC8" s="38">
        <v>19</v>
      </c>
      <c r="AD8" s="35" t="s">
        <v>137</v>
      </c>
      <c r="AE8" s="35" t="s">
        <v>430</v>
      </c>
      <c r="AF8" s="35" t="s">
        <v>429</v>
      </c>
      <c r="AG8" s="35" t="s">
        <v>431</v>
      </c>
      <c r="AH8" s="35" t="s">
        <v>405</v>
      </c>
      <c r="AI8" s="35" t="s">
        <v>432</v>
      </c>
      <c r="AJ8" s="35" t="s">
        <v>433</v>
      </c>
      <c r="AK8" s="35" t="s">
        <v>434</v>
      </c>
      <c r="AL8" s="35" t="s">
        <v>435</v>
      </c>
      <c r="AM8" s="38">
        <v>85</v>
      </c>
      <c r="AN8" s="36">
        <v>14504000</v>
      </c>
      <c r="AO8" s="40">
        <f>IF(OR(KOL_Database!$AN$8="",KOL_Database!$AN$8=0,KOL_Database!$L$8="",KOL_Database!$L$8=0),"",ROUND(KOL_Database!$AN$8/KOL_Database!$L$8,2))</f>
      </c>
      <c r="AP8" s="36">
        <f>IF(OR(KOL_Database!$AN$8="",KOL_Database!$AN$8=0,KOL_Database!$L$8="",KOL_Database!$L$8=0,KOL_Database!$K$8="",KOL_Database!$K$8=0),"",ROUND(KOL_Database!$AN$8/(KOL_Database!$L$8*KOL_Database!$K$8/100),0))</f>
      </c>
      <c r="AQ8" s="36">
        <f>IF(OR(KOL_Database!$AN$8="",KOL_Database!$AN$8=0,KOL_Database!$J$8="",KOL_Database!$J$8=0),"",ROUND(KOL_Database!$AN$8/KOL_Database!$J$8*1000,0))</f>
      </c>
      <c r="AR8" s="36">
        <f>IF(OR(KOL_Database!$L$8="",KOL_Database!$J$8=""),"",ROUND(KOL_Database!$L$8*Lookup_Lists!$D$147+KOL_Database!$J$8*Lookup_Lists!$D$148,0))</f>
      </c>
      <c r="AS8" s="39">
        <f>IF(OR(KOL_Database!$AN$8="",KOL_Database!$AN$8=0,KOL_Database!$AR$8=""),"",ROUND(KOL_Database!$AR$8*KOL_Database!$K$8/100*Lookup_Lists!$D$146/KOL_Database!$AN$8,2))</f>
      </c>
      <c r="AT8" s="38">
        <v>89</v>
      </c>
      <c r="AU8" s="38">
        <v>78</v>
      </c>
      <c r="AV8" s="35" t="s">
        <v>416</v>
      </c>
      <c r="AW8" s="35" t="s">
        <v>249</v>
      </c>
      <c r="AX8" s="35" t="s">
        <v>249</v>
      </c>
      <c r="AY8" s="35" t="s">
        <v>253</v>
      </c>
      <c r="AZ8" s="35" t="s">
        <v>249</v>
      </c>
      <c r="BA8" s="41">
        <v>46098.70833333333</v>
      </c>
      <c r="BB8" s="41">
        <v>46253.70833333333</v>
      </c>
      <c r="BC8" s="42">
        <f>IF(OR(KOL_Database!$J$8="",KOL_Database!$J$8=0,KOL_Database!$L$8=""),"",ROUND(KOL_Database!$L$8/KOL_Database!$J$8,3))</f>
      </c>
      <c r="BD8" s="38">
        <f>IF(OR(KOL_Database!$AP$8="",KOL_Database!$AP$8=0,Lookup_Lists!$D$149=0),"",MIN(100,ROUND(Lookup_Lists!$D$149/KOL_Database!$AP$8*100,0)))</f>
      </c>
      <c r="BE8" s="38">
        <f>ROUND((IF(KOL_Database!$J$8="",0,1)+IF(KOL_Database!$K$8="",0,1)+IF(KOL_Database!$L$8="",0,1)+IF(KOL_Database!$M$8="",0,1)+IF(KOL_Database!$N$8="",0,1)+IF(KOL_Database!$O$8="",0,1)+IF(KOL_Database!$P$8="",0,1)+IF(KOL_Database!$R$8="",0,1)+IF(KOL_Database!$S$8="",0,1)+IF(KOL_Database!$AE$8="",0,1)+IF(KOL_Database!$AF$8="",0,1)+IF(KOL_Database!$AN$8="",0,1))/12*100,0)</f>
      </c>
      <c r="BF8" s="35">
        <f>IF(KOL_Database!$BE$8&gt;=Lookup_Lists!$D$159,"Live",IF(KOL_Database!$BE$8&gt;=Lookup_Lists!$D$160,"Calculated","Estimated"))</f>
      </c>
    </row>
    <row r="9" spans="1:58" x14ac:dyDescent="0.25">
      <c r="A9" s="35" t="s">
        <v>436</v>
      </c>
      <c r="B9" s="35" t="s">
        <v>437</v>
      </c>
      <c r="C9" s="35" t="s">
        <v>438</v>
      </c>
      <c r="D9" s="35" t="s">
        <v>412</v>
      </c>
      <c r="E9" s="35" t="s">
        <v>203</v>
      </c>
      <c r="F9" s="35" t="s">
        <v>207</v>
      </c>
      <c r="G9" s="35">
        <f>IFERROR(INDEX(Lookup_Lists!$A$96:$A$100,MATCH(KOL_Database!$J$9,Lookup_Lists!$B$96:$B$100,1)),"")</f>
      </c>
      <c r="H9" s="35" t="s">
        <v>253</v>
      </c>
      <c r="I9" s="35" t="s">
        <v>146</v>
      </c>
      <c r="J9" s="36">
        <v>375000</v>
      </c>
      <c r="K9" s="37">
        <v>8.4</v>
      </c>
      <c r="L9" s="36">
        <v>360494</v>
      </c>
      <c r="M9" s="36">
        <v>255180</v>
      </c>
      <c r="N9" s="37">
        <v>3.6</v>
      </c>
      <c r="O9" s="37">
        <v>9.5</v>
      </c>
      <c r="P9" s="38">
        <v>75</v>
      </c>
      <c r="Q9" s="38">
        <v>67</v>
      </c>
      <c r="R9" s="38">
        <v>70</v>
      </c>
      <c r="S9" s="38">
        <v>83</v>
      </c>
      <c r="T9" s="39">
        <v>1.1</v>
      </c>
      <c r="U9" s="39">
        <v>2.04</v>
      </c>
      <c r="V9" s="38">
        <v>61</v>
      </c>
      <c r="W9" s="38">
        <v>7</v>
      </c>
      <c r="X9" s="38">
        <v>40</v>
      </c>
      <c r="Y9" s="38">
        <v>35</v>
      </c>
      <c r="Z9" s="38">
        <v>13</v>
      </c>
      <c r="AA9" s="38">
        <v>5</v>
      </c>
      <c r="AB9" s="38">
        <v>48</v>
      </c>
      <c r="AC9" s="38">
        <v>52</v>
      </c>
      <c r="AD9" s="35" t="s">
        <v>137</v>
      </c>
      <c r="AE9" s="35" t="s">
        <v>142</v>
      </c>
      <c r="AF9" s="35" t="s">
        <v>146</v>
      </c>
      <c r="AG9" s="35" t="s">
        <v>439</v>
      </c>
      <c r="AH9" s="35" t="s">
        <v>405</v>
      </c>
      <c r="AI9" s="35" t="s">
        <v>440</v>
      </c>
      <c r="AJ9" s="35" t="s">
        <v>224</v>
      </c>
      <c r="AK9" s="35" t="s">
        <v>233</v>
      </c>
      <c r="AL9" s="35" t="s">
        <v>441</v>
      </c>
      <c r="AM9" s="38">
        <v>72</v>
      </c>
      <c r="AN9" s="36">
        <v>11482000</v>
      </c>
      <c r="AO9" s="40">
        <f>IF(OR(KOL_Database!$AN$9="",KOL_Database!$AN$9=0,KOL_Database!$L$9="",KOL_Database!$L$9=0),"",ROUND(KOL_Database!$AN$9/KOL_Database!$L$9,2))</f>
      </c>
      <c r="AP9" s="36">
        <f>IF(OR(KOL_Database!$AN$9="",KOL_Database!$AN$9=0,KOL_Database!$L$9="",KOL_Database!$L$9=0,KOL_Database!$K$9="",KOL_Database!$K$9=0),"",ROUND(KOL_Database!$AN$9/(KOL_Database!$L$9*KOL_Database!$K$9/100),0))</f>
      </c>
      <c r="AQ9" s="36">
        <f>IF(OR(KOL_Database!$AN$9="",KOL_Database!$AN$9=0,KOL_Database!$J$9="",KOL_Database!$J$9=0),"",ROUND(KOL_Database!$AN$9/KOL_Database!$J$9*1000,0))</f>
      </c>
      <c r="AR9" s="36">
        <f>IF(OR(KOL_Database!$L$9="",KOL_Database!$J$9=""),"",ROUND(KOL_Database!$L$9*Lookup_Lists!$D$147+KOL_Database!$J$9*Lookup_Lists!$D$148,0))</f>
      </c>
      <c r="AS9" s="39">
        <f>IF(OR(KOL_Database!$AN$9="",KOL_Database!$AN$9=0,KOL_Database!$AR$9=""),"",ROUND(KOL_Database!$AR$9*KOL_Database!$K$9/100*Lookup_Lists!$D$146/KOL_Database!$AN$9,2))</f>
      </c>
      <c r="AT9" s="38">
        <v>78</v>
      </c>
      <c r="AU9" s="38">
        <v>30</v>
      </c>
      <c r="AV9" s="35" t="s">
        <v>442</v>
      </c>
      <c r="AW9" s="35" t="s">
        <v>249</v>
      </c>
      <c r="AX9" s="35" t="s">
        <v>249</v>
      </c>
      <c r="AY9" s="35" t="s">
        <v>249</v>
      </c>
      <c r="AZ9" s="35" t="s">
        <v>249</v>
      </c>
      <c r="BA9" s="41">
        <v>46157.70833333333</v>
      </c>
      <c r="BB9" s="41">
        <v>46260.70833333333</v>
      </c>
      <c r="BC9" s="42">
        <f>IF(OR(KOL_Database!$J$9="",KOL_Database!$J$9=0,KOL_Database!$L$9=""),"",ROUND(KOL_Database!$L$9/KOL_Database!$J$9,3))</f>
      </c>
      <c r="BD9" s="38">
        <f>IF(OR(KOL_Database!$AP$9="",KOL_Database!$AP$9=0,Lookup_Lists!$D$149=0),"",MIN(100,ROUND(Lookup_Lists!$D$149/KOL_Database!$AP$9*100,0)))</f>
      </c>
      <c r="BE9" s="38">
        <f>ROUND((IF(KOL_Database!$J$9="",0,1)+IF(KOL_Database!$K$9="",0,1)+IF(KOL_Database!$L$9="",0,1)+IF(KOL_Database!$M$9="",0,1)+IF(KOL_Database!$N$9="",0,1)+IF(KOL_Database!$O$9="",0,1)+IF(KOL_Database!$P$9="",0,1)+IF(KOL_Database!$R$9="",0,1)+IF(KOL_Database!$S$9="",0,1)+IF(KOL_Database!$AE$9="",0,1)+IF(KOL_Database!$AF$9="",0,1)+IF(KOL_Database!$AN$9="",0,1))/12*100,0)</f>
      </c>
      <c r="BF9" s="35">
        <f>IF(KOL_Database!$BE$9&gt;=Lookup_Lists!$D$159,"Live",IF(KOL_Database!$BE$9&gt;=Lookup_Lists!$D$160,"Calculated","Estimated"))</f>
      </c>
    </row>
    <row r="10" spans="1:58" x14ac:dyDescent="0.25">
      <c r="A10" s="35" t="s">
        <v>443</v>
      </c>
      <c r="B10" s="35" t="s">
        <v>444</v>
      </c>
      <c r="C10" s="35" t="s">
        <v>445</v>
      </c>
      <c r="D10" s="35" t="s">
        <v>402</v>
      </c>
      <c r="E10" s="35" t="s">
        <v>203</v>
      </c>
      <c r="F10" s="35" t="s">
        <v>446</v>
      </c>
      <c r="G10" s="35">
        <f>IFERROR(INDEX(Lookup_Lists!$A$96:$A$100,MATCH(KOL_Database!$J$10,Lookup_Lists!$B$96:$B$100,1)),"")</f>
      </c>
      <c r="H10" s="35" t="s">
        <v>249</v>
      </c>
      <c r="I10" s="35" t="s">
        <v>447</v>
      </c>
      <c r="J10" s="36">
        <v>64000</v>
      </c>
      <c r="K10" s="37">
        <v>5.2</v>
      </c>
      <c r="L10" s="36">
        <v>19195</v>
      </c>
      <c r="M10" s="36">
        <v>14121</v>
      </c>
      <c r="N10" s="37">
        <v>6</v>
      </c>
      <c r="O10" s="37">
        <v>18.5</v>
      </c>
      <c r="P10" s="38">
        <v>63</v>
      </c>
      <c r="Q10" s="38">
        <v>58</v>
      </c>
      <c r="R10" s="38">
        <v>73</v>
      </c>
      <c r="S10" s="38">
        <v>67</v>
      </c>
      <c r="T10" s="39">
        <v>0.96</v>
      </c>
      <c r="U10" s="39">
        <v>1.97</v>
      </c>
      <c r="V10" s="38">
        <v>61</v>
      </c>
      <c r="W10" s="38">
        <v>1</v>
      </c>
      <c r="X10" s="38">
        <v>22</v>
      </c>
      <c r="Y10" s="38">
        <v>46</v>
      </c>
      <c r="Z10" s="38">
        <v>18</v>
      </c>
      <c r="AA10" s="38">
        <v>13</v>
      </c>
      <c r="AB10" s="38">
        <v>86</v>
      </c>
      <c r="AC10" s="38">
        <v>14</v>
      </c>
      <c r="AD10" s="35" t="s">
        <v>137</v>
      </c>
      <c r="AE10" s="35"/>
      <c r="AF10" s="35" t="s">
        <v>447</v>
      </c>
      <c r="AG10" s="35" t="s">
        <v>448</v>
      </c>
      <c r="AH10" s="35" t="s">
        <v>416</v>
      </c>
      <c r="AI10" s="35" t="s">
        <v>449</v>
      </c>
      <c r="AJ10" s="35" t="s">
        <v>433</v>
      </c>
      <c r="AK10" s="35" t="s">
        <v>233</v>
      </c>
      <c r="AL10" s="35" t="s">
        <v>450</v>
      </c>
      <c r="AM10" s="38">
        <v>72</v>
      </c>
      <c r="AN10" s="36">
        <v>2638000</v>
      </c>
      <c r="AO10" s="40">
        <f>IF(OR(KOL_Database!$AN$10="",KOL_Database!$AN$10=0,KOL_Database!$L$10="",KOL_Database!$L$10=0),"",ROUND(KOL_Database!$AN$10/KOL_Database!$L$10,2))</f>
      </c>
      <c r="AP10" s="36">
        <f>IF(OR(KOL_Database!$AN$10="",KOL_Database!$AN$10=0,KOL_Database!$L$10="",KOL_Database!$L$10=0,KOL_Database!$K$10="",KOL_Database!$K$10=0),"",ROUND(KOL_Database!$AN$10/(KOL_Database!$L$10*KOL_Database!$K$10/100),0))</f>
      </c>
      <c r="AQ10" s="36">
        <f>IF(OR(KOL_Database!$AN$10="",KOL_Database!$AN$10=0,KOL_Database!$J$10="",KOL_Database!$J$10=0),"",ROUND(KOL_Database!$AN$10/KOL_Database!$J$10*1000,0))</f>
      </c>
      <c r="AR10" s="36">
        <f>IF(OR(KOL_Database!$L$10="",KOL_Database!$J$10=""),"",ROUND(KOL_Database!$L$10*Lookup_Lists!$D$147+KOL_Database!$J$10*Lookup_Lists!$D$148,0))</f>
      </c>
      <c r="AS10" s="39">
        <f>IF(OR(KOL_Database!$AN$10="",KOL_Database!$AN$10=0,KOL_Database!$AR$10=""),"",ROUND(KOL_Database!$AR$10*KOL_Database!$K$10/100*Lookup_Lists!$D$146/KOL_Database!$AN$10,2))</f>
      </c>
      <c r="AT10" s="38">
        <v>79</v>
      </c>
      <c r="AU10" s="38">
        <v>29</v>
      </c>
      <c r="AV10" s="35" t="s">
        <v>442</v>
      </c>
      <c r="AW10" s="35" t="s">
        <v>249</v>
      </c>
      <c r="AX10" s="35" t="s">
        <v>249</v>
      </c>
      <c r="AY10" s="35" t="s">
        <v>249</v>
      </c>
      <c r="AZ10" s="35" t="s">
        <v>249</v>
      </c>
      <c r="BA10" s="41">
        <v>46053.70833333333</v>
      </c>
      <c r="BB10" s="41">
        <v>46266.70833333333</v>
      </c>
      <c r="BC10" s="42">
        <f>IF(OR(KOL_Database!$J$10="",KOL_Database!$J$10=0,KOL_Database!$L$10=""),"",ROUND(KOL_Database!$L$10/KOL_Database!$J$10,3))</f>
      </c>
      <c r="BD10" s="38">
        <f>IF(OR(KOL_Database!$AP$10="",KOL_Database!$AP$10=0,Lookup_Lists!$D$149=0),"",MIN(100,ROUND(Lookup_Lists!$D$149/KOL_Database!$AP$10*100,0)))</f>
      </c>
      <c r="BE10" s="38">
        <f>ROUND((IF(KOL_Database!$J$10="",0,1)+IF(KOL_Database!$K$10="",0,1)+IF(KOL_Database!$L$10="",0,1)+IF(KOL_Database!$M$10="",0,1)+IF(KOL_Database!$N$10="",0,1)+IF(KOL_Database!$O$10="",0,1)+IF(KOL_Database!$P$10="",0,1)+IF(KOL_Database!$R$10="",0,1)+IF(KOL_Database!$S$10="",0,1)+IF(KOL_Database!$AE$10="",0,1)+IF(KOL_Database!$AF$10="",0,1)+IF(KOL_Database!$AN$10="",0,1))/12*100,0)</f>
      </c>
      <c r="BF10" s="35">
        <f>IF(KOL_Database!$BE$10&gt;=Lookup_Lists!$D$159,"Live",IF(KOL_Database!$BE$10&gt;=Lookup_Lists!$D$160,"Calculated","Estimated"))</f>
      </c>
    </row>
    <row r="11" spans="1:58" x14ac:dyDescent="0.25">
      <c r="A11" s="35" t="s">
        <v>451</v>
      </c>
      <c r="B11" s="35" t="s">
        <v>452</v>
      </c>
      <c r="C11" s="35" t="s">
        <v>453</v>
      </c>
      <c r="D11" s="35" t="s">
        <v>402</v>
      </c>
      <c r="E11" s="35" t="s">
        <v>454</v>
      </c>
      <c r="F11" s="35" t="s">
        <v>455</v>
      </c>
      <c r="G11" s="35">
        <f>IFERROR(INDEX(Lookup_Lists!$A$96:$A$100,MATCH(KOL_Database!$J$11,Lookup_Lists!$B$96:$B$100,1)),"")</f>
      </c>
      <c r="H11" s="35" t="s">
        <v>253</v>
      </c>
      <c r="I11" s="35" t="s">
        <v>146</v>
      </c>
      <c r="J11" s="36">
        <v>152000</v>
      </c>
      <c r="K11" s="37">
        <v>3.2</v>
      </c>
      <c r="L11" s="36">
        <v>53466</v>
      </c>
      <c r="M11" s="36">
        <v>43843</v>
      </c>
      <c r="N11" s="37">
        <v>3.2</v>
      </c>
      <c r="O11" s="37">
        <v>8.1</v>
      </c>
      <c r="P11" s="38">
        <v>83</v>
      </c>
      <c r="Q11" s="38">
        <v>85</v>
      </c>
      <c r="R11" s="38">
        <v>86</v>
      </c>
      <c r="S11" s="38">
        <v>73</v>
      </c>
      <c r="T11" s="39">
        <v>2.08</v>
      </c>
      <c r="U11" s="39">
        <v>3.82</v>
      </c>
      <c r="V11" s="38">
        <v>88</v>
      </c>
      <c r="W11" s="38">
        <v>6</v>
      </c>
      <c r="X11" s="38">
        <v>23</v>
      </c>
      <c r="Y11" s="38">
        <v>41</v>
      </c>
      <c r="Z11" s="38">
        <v>20</v>
      </c>
      <c r="AA11" s="38">
        <v>10</v>
      </c>
      <c r="AB11" s="38">
        <v>21</v>
      </c>
      <c r="AC11" s="38">
        <v>79</v>
      </c>
      <c r="AD11" s="35" t="s">
        <v>137</v>
      </c>
      <c r="AE11" s="35" t="s">
        <v>141</v>
      </c>
      <c r="AF11" s="35" t="s">
        <v>146</v>
      </c>
      <c r="AG11" s="35" t="s">
        <v>456</v>
      </c>
      <c r="AH11" s="35" t="s">
        <v>416</v>
      </c>
      <c r="AI11" s="35" t="s">
        <v>457</v>
      </c>
      <c r="AJ11" s="35" t="s">
        <v>189</v>
      </c>
      <c r="AK11" s="35" t="s">
        <v>458</v>
      </c>
      <c r="AL11" s="35" t="s">
        <v>459</v>
      </c>
      <c r="AM11" s="38">
        <v>89</v>
      </c>
      <c r="AN11" s="36">
        <v>5065000</v>
      </c>
      <c r="AO11" s="40">
        <f>IF(OR(KOL_Database!$AN$11="",KOL_Database!$AN$11=0,KOL_Database!$L$11="",KOL_Database!$L$11=0),"",ROUND(KOL_Database!$AN$11/KOL_Database!$L$11,2))</f>
      </c>
      <c r="AP11" s="36">
        <f>IF(OR(KOL_Database!$AN$11="",KOL_Database!$AN$11=0,KOL_Database!$L$11="",KOL_Database!$L$11=0,KOL_Database!$K$11="",KOL_Database!$K$11=0),"",ROUND(KOL_Database!$AN$11/(KOL_Database!$L$11*KOL_Database!$K$11/100),0))</f>
      </c>
      <c r="AQ11" s="36">
        <f>IF(OR(KOL_Database!$AN$11="",KOL_Database!$AN$11=0,KOL_Database!$J$11="",KOL_Database!$J$11=0),"",ROUND(KOL_Database!$AN$11/KOL_Database!$J$11*1000,0))</f>
      </c>
      <c r="AR11" s="36">
        <f>IF(OR(KOL_Database!$L$11="",KOL_Database!$J$11=""),"",ROUND(KOL_Database!$L$11*Lookup_Lists!$D$147+KOL_Database!$J$11*Lookup_Lists!$D$148,0))</f>
      </c>
      <c r="AS11" s="39">
        <f>IF(OR(KOL_Database!$AN$11="",KOL_Database!$AN$11=0,KOL_Database!$AR$11=""),"",ROUND(KOL_Database!$AR$11*KOL_Database!$K$11/100*Lookup_Lists!$D$146/KOL_Database!$AN$11,2))</f>
      </c>
      <c r="AT11" s="38">
        <v>93</v>
      </c>
      <c r="AU11" s="38">
        <v>60</v>
      </c>
      <c r="AV11" s="35" t="s">
        <v>408</v>
      </c>
      <c r="AW11" s="35" t="s">
        <v>249</v>
      </c>
      <c r="AX11" s="35" t="s">
        <v>249</v>
      </c>
      <c r="AY11" s="35" t="s">
        <v>249</v>
      </c>
      <c r="AZ11" s="35" t="s">
        <v>249</v>
      </c>
      <c r="BA11" s="41">
        <v>46225.70833333333</v>
      </c>
      <c r="BB11" s="41">
        <v>46236.70833333333</v>
      </c>
      <c r="BC11" s="42">
        <f>IF(OR(KOL_Database!$J$11="",KOL_Database!$J$11=0,KOL_Database!$L$11=""),"",ROUND(KOL_Database!$L$11/KOL_Database!$J$11,3))</f>
      </c>
      <c r="BD11" s="38">
        <f>IF(OR(KOL_Database!$AP$11="",KOL_Database!$AP$11=0,Lookup_Lists!$D$149=0),"",MIN(100,ROUND(Lookup_Lists!$D$149/KOL_Database!$AP$11*100,0)))</f>
      </c>
      <c r="BE11" s="38">
        <f>ROUND((IF(KOL_Database!$J$11="",0,1)+IF(KOL_Database!$K$11="",0,1)+IF(KOL_Database!$L$11="",0,1)+IF(KOL_Database!$M$11="",0,1)+IF(KOL_Database!$N$11="",0,1)+IF(KOL_Database!$O$11="",0,1)+IF(KOL_Database!$P$11="",0,1)+IF(KOL_Database!$R$11="",0,1)+IF(KOL_Database!$S$11="",0,1)+IF(KOL_Database!$AE$11="",0,1)+IF(KOL_Database!$AF$11="",0,1)+IF(KOL_Database!$AN$11="",0,1))/12*100,0)</f>
      </c>
      <c r="BF11" s="35">
        <f>IF(KOL_Database!$BE$11&gt;=Lookup_Lists!$D$159,"Live",IF(KOL_Database!$BE$11&gt;=Lookup_Lists!$D$160,"Calculated","Estimated"))</f>
      </c>
    </row>
    <row r="12" spans="1:58" x14ac:dyDescent="0.25">
      <c r="A12" s="35" t="s">
        <v>460</v>
      </c>
      <c r="B12" s="35" t="s">
        <v>461</v>
      </c>
      <c r="C12" s="35" t="s">
        <v>462</v>
      </c>
      <c r="D12" s="35" t="s">
        <v>412</v>
      </c>
      <c r="E12" s="35" t="s">
        <v>454</v>
      </c>
      <c r="F12" s="35" t="s">
        <v>463</v>
      </c>
      <c r="G12" s="35">
        <f>IFERROR(INDEX(Lookup_Lists!$A$96:$A$100,MATCH(KOL_Database!$J$12,Lookup_Lists!$B$96:$B$100,1)),"")</f>
      </c>
      <c r="H12" s="35" t="s">
        <v>249</v>
      </c>
      <c r="I12" s="35" t="s">
        <v>146</v>
      </c>
      <c r="J12" s="36">
        <v>98000</v>
      </c>
      <c r="K12" s="37">
        <v>5.6</v>
      </c>
      <c r="L12" s="36">
        <v>66537</v>
      </c>
      <c r="M12" s="36">
        <v>43248</v>
      </c>
      <c r="N12" s="37">
        <v>3.8</v>
      </c>
      <c r="O12" s="37">
        <v>12.9</v>
      </c>
      <c r="P12" s="38">
        <v>77</v>
      </c>
      <c r="Q12" s="38">
        <v>67</v>
      </c>
      <c r="R12" s="38">
        <v>64</v>
      </c>
      <c r="S12" s="38">
        <v>94</v>
      </c>
      <c r="T12" s="39">
        <v>0.4</v>
      </c>
      <c r="U12" s="39">
        <v>0.87</v>
      </c>
      <c r="V12" s="38">
        <v>50</v>
      </c>
      <c r="W12" s="38">
        <v>9</v>
      </c>
      <c r="X12" s="38">
        <v>37</v>
      </c>
      <c r="Y12" s="38">
        <v>33</v>
      </c>
      <c r="Z12" s="38">
        <v>14</v>
      </c>
      <c r="AA12" s="38">
        <v>7</v>
      </c>
      <c r="AB12" s="38">
        <v>68</v>
      </c>
      <c r="AC12" s="38">
        <v>32</v>
      </c>
      <c r="AD12" s="35" t="s">
        <v>137</v>
      </c>
      <c r="AE12" s="35" t="s">
        <v>141</v>
      </c>
      <c r="AF12" s="35" t="s">
        <v>146</v>
      </c>
      <c r="AG12" s="35" t="s">
        <v>464</v>
      </c>
      <c r="AH12" s="35" t="s">
        <v>416</v>
      </c>
      <c r="AI12" s="35" t="s">
        <v>465</v>
      </c>
      <c r="AJ12" s="35" t="s">
        <v>189</v>
      </c>
      <c r="AK12" s="35" t="s">
        <v>189</v>
      </c>
      <c r="AL12" s="35" t="s">
        <v>466</v>
      </c>
      <c r="AM12" s="38">
        <v>63</v>
      </c>
      <c r="AN12" s="36">
        <v>3492000</v>
      </c>
      <c r="AO12" s="40">
        <f>IF(OR(KOL_Database!$AN$12="",KOL_Database!$AN$12=0,KOL_Database!$L$12="",KOL_Database!$L$12=0),"",ROUND(KOL_Database!$AN$12/KOL_Database!$L$12,2))</f>
      </c>
      <c r="AP12" s="36">
        <f>IF(OR(KOL_Database!$AN$12="",KOL_Database!$AN$12=0,KOL_Database!$L$12="",KOL_Database!$L$12=0,KOL_Database!$K$12="",KOL_Database!$K$12=0),"",ROUND(KOL_Database!$AN$12/(KOL_Database!$L$12*KOL_Database!$K$12/100),0))</f>
      </c>
      <c r="AQ12" s="36">
        <f>IF(OR(KOL_Database!$AN$12="",KOL_Database!$AN$12=0,KOL_Database!$J$12="",KOL_Database!$J$12=0),"",ROUND(KOL_Database!$AN$12/KOL_Database!$J$12*1000,0))</f>
      </c>
      <c r="AR12" s="36">
        <f>IF(OR(KOL_Database!$L$12="",KOL_Database!$J$12=""),"",ROUND(KOL_Database!$L$12*Lookup_Lists!$D$147+KOL_Database!$J$12*Lookup_Lists!$D$148,0))</f>
      </c>
      <c r="AS12" s="39">
        <f>IF(OR(KOL_Database!$AN$12="",KOL_Database!$AN$12=0,KOL_Database!$AR$12=""),"",ROUND(KOL_Database!$AR$12*KOL_Database!$K$12/100*Lookup_Lists!$D$146/KOL_Database!$AN$12,2))</f>
      </c>
      <c r="AT12" s="38">
        <v>72</v>
      </c>
      <c r="AU12" s="38">
        <v>14</v>
      </c>
      <c r="AV12" s="35" t="s">
        <v>442</v>
      </c>
      <c r="AW12" s="35" t="s">
        <v>249</v>
      </c>
      <c r="AX12" s="35" t="s">
        <v>249</v>
      </c>
      <c r="AY12" s="35" t="s">
        <v>249</v>
      </c>
      <c r="AZ12" s="35" t="s">
        <v>249</v>
      </c>
      <c r="BA12" s="41">
        <v>46121.70833333333</v>
      </c>
      <c r="BB12" s="41">
        <v>46265.70833333333</v>
      </c>
      <c r="BC12" s="42">
        <f>IF(OR(KOL_Database!$J$12="",KOL_Database!$J$12=0,KOL_Database!$L$12=""),"",ROUND(KOL_Database!$L$12/KOL_Database!$J$12,3))</f>
      </c>
      <c r="BD12" s="38">
        <f>IF(OR(KOL_Database!$AP$12="",KOL_Database!$AP$12=0,Lookup_Lists!$D$149=0),"",MIN(100,ROUND(Lookup_Lists!$D$149/KOL_Database!$AP$12*100,0)))</f>
      </c>
      <c r="BE12" s="38">
        <f>ROUND((IF(KOL_Database!$J$12="",0,1)+IF(KOL_Database!$K$12="",0,1)+IF(KOL_Database!$L$12="",0,1)+IF(KOL_Database!$M$12="",0,1)+IF(KOL_Database!$N$12="",0,1)+IF(KOL_Database!$O$12="",0,1)+IF(KOL_Database!$P$12="",0,1)+IF(KOL_Database!$R$12="",0,1)+IF(KOL_Database!$S$12="",0,1)+IF(KOL_Database!$AE$12="",0,1)+IF(KOL_Database!$AF$12="",0,1)+IF(KOL_Database!$AN$12="",0,1))/12*100,0)</f>
      </c>
      <c r="BF12" s="35">
        <f>IF(KOL_Database!$BE$12&gt;=Lookup_Lists!$D$159,"Live",IF(KOL_Database!$BE$12&gt;=Lookup_Lists!$D$160,"Calculated","Estimated"))</f>
      </c>
    </row>
    <row r="13" spans="1:58" x14ac:dyDescent="0.25">
      <c r="A13" s="35" t="s">
        <v>467</v>
      </c>
      <c r="B13" s="35" t="s">
        <v>468</v>
      </c>
      <c r="C13" s="35" t="s">
        <v>469</v>
      </c>
      <c r="D13" s="35" t="s">
        <v>412</v>
      </c>
      <c r="E13" s="35" t="s">
        <v>470</v>
      </c>
      <c r="F13" s="35" t="s">
        <v>471</v>
      </c>
      <c r="G13" s="35">
        <f>IFERROR(INDEX(Lookup_Lists!$A$96:$A$100,MATCH(KOL_Database!$J$13,Lookup_Lists!$B$96:$B$100,1)),"")</f>
      </c>
      <c r="H13" s="35" t="s">
        <v>253</v>
      </c>
      <c r="I13" s="35" t="s">
        <v>472</v>
      </c>
      <c r="J13" s="36">
        <v>210000</v>
      </c>
      <c r="K13" s="37">
        <v>6.8</v>
      </c>
      <c r="L13" s="36">
        <v>310647</v>
      </c>
      <c r="M13" s="36">
        <v>254639</v>
      </c>
      <c r="N13" s="37">
        <v>7.3</v>
      </c>
      <c r="O13" s="37">
        <v>24.7</v>
      </c>
      <c r="P13" s="38">
        <v>85</v>
      </c>
      <c r="Q13" s="38">
        <v>83</v>
      </c>
      <c r="R13" s="38">
        <v>86</v>
      </c>
      <c r="S13" s="38">
        <v>91</v>
      </c>
      <c r="T13" s="39">
        <v>2.11</v>
      </c>
      <c r="U13" s="39">
        <v>3.81</v>
      </c>
      <c r="V13" s="38">
        <v>86</v>
      </c>
      <c r="W13" s="38">
        <v>12</v>
      </c>
      <c r="X13" s="38">
        <v>44</v>
      </c>
      <c r="Y13" s="38">
        <v>30</v>
      </c>
      <c r="Z13" s="38">
        <v>10</v>
      </c>
      <c r="AA13" s="38">
        <v>4</v>
      </c>
      <c r="AB13" s="38">
        <v>52</v>
      </c>
      <c r="AC13" s="38">
        <v>48</v>
      </c>
      <c r="AD13" s="35" t="s">
        <v>137</v>
      </c>
      <c r="AE13" s="35" t="s">
        <v>473</v>
      </c>
      <c r="AF13" s="35" t="s">
        <v>472</v>
      </c>
      <c r="AG13" s="35" t="s">
        <v>474</v>
      </c>
      <c r="AH13" s="35" t="s">
        <v>442</v>
      </c>
      <c r="AI13" s="35" t="s">
        <v>475</v>
      </c>
      <c r="AJ13" s="35" t="s">
        <v>189</v>
      </c>
      <c r="AK13" s="35" t="s">
        <v>189</v>
      </c>
      <c r="AL13" s="35" t="s">
        <v>476</v>
      </c>
      <c r="AM13" s="38">
        <v>89</v>
      </c>
      <c r="AN13" s="36">
        <v>4653000</v>
      </c>
      <c r="AO13" s="40">
        <f>IF(OR(KOL_Database!$AN$13="",KOL_Database!$AN$13=0,KOL_Database!$L$13="",KOL_Database!$L$13=0),"",ROUND(KOL_Database!$AN$13/KOL_Database!$L$13,2))</f>
      </c>
      <c r="AP13" s="36">
        <f>IF(OR(KOL_Database!$AN$13="",KOL_Database!$AN$13=0,KOL_Database!$L$13="",KOL_Database!$L$13=0,KOL_Database!$K$13="",KOL_Database!$K$13=0),"",ROUND(KOL_Database!$AN$13/(KOL_Database!$L$13*KOL_Database!$K$13/100),0))</f>
      </c>
      <c r="AQ13" s="36">
        <f>IF(OR(KOL_Database!$AN$13="",KOL_Database!$AN$13=0,KOL_Database!$J$13="",KOL_Database!$J$13=0),"",ROUND(KOL_Database!$AN$13/KOL_Database!$J$13*1000,0))</f>
      </c>
      <c r="AR13" s="36">
        <f>IF(OR(KOL_Database!$L$13="",KOL_Database!$J$13=""),"",ROUND(KOL_Database!$L$13*Lookup_Lists!$D$147+KOL_Database!$J$13*Lookup_Lists!$D$148,0))</f>
      </c>
      <c r="AS13" s="39">
        <f>IF(OR(KOL_Database!$AN$13="",KOL_Database!$AN$13=0,KOL_Database!$AR$13=""),"",ROUND(KOL_Database!$AR$13*KOL_Database!$K$13/100*Lookup_Lists!$D$146/KOL_Database!$AN$13,2))</f>
      </c>
      <c r="AT13" s="38">
        <v>92</v>
      </c>
      <c r="AU13" s="38">
        <v>61</v>
      </c>
      <c r="AV13" s="35" t="s">
        <v>408</v>
      </c>
      <c r="AW13" s="35" t="s">
        <v>249</v>
      </c>
      <c r="AX13" s="35" t="s">
        <v>249</v>
      </c>
      <c r="AY13" s="35" t="s">
        <v>249</v>
      </c>
      <c r="AZ13" s="35" t="s">
        <v>249</v>
      </c>
      <c r="BA13" s="41">
        <v>46177.70833333333</v>
      </c>
      <c r="BB13" s="41">
        <v>46272.70833333333</v>
      </c>
      <c r="BC13" s="42">
        <f>IF(OR(KOL_Database!$J$13="",KOL_Database!$J$13=0,KOL_Database!$L$13=""),"",ROUND(KOL_Database!$L$13/KOL_Database!$J$13,3))</f>
      </c>
      <c r="BD13" s="38">
        <f>IF(OR(KOL_Database!$AP$13="",KOL_Database!$AP$13=0,Lookup_Lists!$D$149=0),"",MIN(100,ROUND(Lookup_Lists!$D$149/KOL_Database!$AP$13*100,0)))</f>
      </c>
      <c r="BE13" s="38">
        <f>ROUND((IF(KOL_Database!$J$13="",0,1)+IF(KOL_Database!$K$13="",0,1)+IF(KOL_Database!$L$13="",0,1)+IF(KOL_Database!$M$13="",0,1)+IF(KOL_Database!$N$13="",0,1)+IF(KOL_Database!$O$13="",0,1)+IF(KOL_Database!$P$13="",0,1)+IF(KOL_Database!$R$13="",0,1)+IF(KOL_Database!$S$13="",0,1)+IF(KOL_Database!$AE$13="",0,1)+IF(KOL_Database!$AF$13="",0,1)+IF(KOL_Database!$AN$13="",0,1))/12*100,0)</f>
      </c>
      <c r="BF13" s="35">
        <f>IF(KOL_Database!$BE$13&gt;=Lookup_Lists!$D$159,"Live",IF(KOL_Database!$BE$13&gt;=Lookup_Lists!$D$160,"Calculated","Estimated"))</f>
      </c>
    </row>
    <row r="14" spans="1:58" x14ac:dyDescent="0.25">
      <c r="A14" s="35" t="s">
        <v>477</v>
      </c>
      <c r="B14" s="35" t="s">
        <v>478</v>
      </c>
      <c r="C14" s="35" t="s">
        <v>479</v>
      </c>
      <c r="D14" s="35" t="s">
        <v>402</v>
      </c>
      <c r="E14" s="35" t="s">
        <v>470</v>
      </c>
      <c r="F14" s="35" t="s">
        <v>480</v>
      </c>
      <c r="G14" s="35">
        <f>IFERROR(INDEX(Lookup_Lists!$A$96:$A$100,MATCH(KOL_Database!$J$14,Lookup_Lists!$B$96:$B$100,1)),"")</f>
      </c>
      <c r="H14" s="35" t="s">
        <v>249</v>
      </c>
      <c r="I14" s="35" t="s">
        <v>413</v>
      </c>
      <c r="J14" s="36">
        <v>42000</v>
      </c>
      <c r="K14" s="37">
        <v>4.9</v>
      </c>
      <c r="L14" s="36">
        <v>11783</v>
      </c>
      <c r="M14" s="36"/>
      <c r="N14" s="37">
        <v>1.6</v>
      </c>
      <c r="O14" s="37">
        <v>4.7</v>
      </c>
      <c r="P14" s="38">
        <v>94</v>
      </c>
      <c r="Q14" s="38">
        <v>85</v>
      </c>
      <c r="R14" s="38">
        <v>75</v>
      </c>
      <c r="S14" s="38">
        <v>64</v>
      </c>
      <c r="T14" s="39">
        <v>1.29</v>
      </c>
      <c r="U14" s="39">
        <v>2.15</v>
      </c>
      <c r="V14" s="38">
        <v>69</v>
      </c>
      <c r="W14" s="38">
        <v>6</v>
      </c>
      <c r="X14" s="38">
        <v>41</v>
      </c>
      <c r="Y14" s="38">
        <v>36</v>
      </c>
      <c r="Z14" s="38">
        <v>13</v>
      </c>
      <c r="AA14" s="38">
        <v>4</v>
      </c>
      <c r="AB14" s="38">
        <v>70</v>
      </c>
      <c r="AC14" s="38">
        <v>30</v>
      </c>
      <c r="AD14" s="35" t="s">
        <v>137</v>
      </c>
      <c r="AE14" s="35" t="s">
        <v>414</v>
      </c>
      <c r="AF14" s="35" t="s">
        <v>413</v>
      </c>
      <c r="AG14" s="35" t="s">
        <v>481</v>
      </c>
      <c r="AH14" s="35" t="s">
        <v>442</v>
      </c>
      <c r="AI14" s="35" t="s">
        <v>482</v>
      </c>
      <c r="AJ14" s="35" t="s">
        <v>433</v>
      </c>
      <c r="AK14" s="35" t="s">
        <v>189</v>
      </c>
      <c r="AL14" s="35" t="s">
        <v>483</v>
      </c>
      <c r="AM14" s="38">
        <v>73</v>
      </c>
      <c r="AN14" s="36">
        <v>1427000</v>
      </c>
      <c r="AO14" s="40">
        <f>IF(OR(KOL_Database!$AN$14="",KOL_Database!$AN$14=0,KOL_Database!$L$14="",KOL_Database!$L$14=0),"",ROUND(KOL_Database!$AN$14/KOL_Database!$L$14,2))</f>
      </c>
      <c r="AP14" s="36">
        <f>IF(OR(KOL_Database!$AN$14="",KOL_Database!$AN$14=0,KOL_Database!$L$14="",KOL_Database!$L$14=0,KOL_Database!$K$14="",KOL_Database!$K$14=0),"",ROUND(KOL_Database!$AN$14/(KOL_Database!$L$14*KOL_Database!$K$14/100),0))</f>
      </c>
      <c r="AQ14" s="36">
        <f>IF(OR(KOL_Database!$AN$14="",KOL_Database!$AN$14=0,KOL_Database!$J$14="",KOL_Database!$J$14=0),"",ROUND(KOL_Database!$AN$14/KOL_Database!$J$14*1000,0))</f>
      </c>
      <c r="AR14" s="36">
        <f>IF(OR(KOL_Database!$L$14="",KOL_Database!$J$14=""),"",ROUND(KOL_Database!$L$14*Lookup_Lists!$D$147+KOL_Database!$J$14*Lookup_Lists!$D$148,0))</f>
      </c>
      <c r="AS14" s="39">
        <f>IF(OR(KOL_Database!$AN$14="",KOL_Database!$AN$14=0,KOL_Database!$AR$14=""),"",ROUND(KOL_Database!$AR$14*KOL_Database!$K$14/100*Lookup_Lists!$D$146/KOL_Database!$AN$14,2))</f>
      </c>
      <c r="AT14" s="38">
        <v>83</v>
      </c>
      <c r="AU14" s="38">
        <v>32</v>
      </c>
      <c r="AV14" s="35" t="s">
        <v>408</v>
      </c>
      <c r="AW14" s="35" t="s">
        <v>249</v>
      </c>
      <c r="AX14" s="35" t="s">
        <v>249</v>
      </c>
      <c r="AY14" s="35" t="s">
        <v>249</v>
      </c>
      <c r="AZ14" s="35" t="s">
        <v>249</v>
      </c>
      <c r="BA14" s="41">
        <v>46093.70833333333</v>
      </c>
      <c r="BB14" s="41">
        <v>46239.70833333333</v>
      </c>
      <c r="BC14" s="42">
        <f>IF(OR(KOL_Database!$J$14="",KOL_Database!$J$14=0,KOL_Database!$L$14=""),"",ROUND(KOL_Database!$L$14/KOL_Database!$J$14,3))</f>
      </c>
      <c r="BD14" s="38">
        <f>IF(OR(KOL_Database!$AP$14="",KOL_Database!$AP$14=0,Lookup_Lists!$D$149=0),"",MIN(100,ROUND(Lookup_Lists!$D$149/KOL_Database!$AP$14*100,0)))</f>
      </c>
      <c r="BE14" s="38">
        <f>ROUND((IF(KOL_Database!$J$14="",0,1)+IF(KOL_Database!$K$14="",0,1)+IF(KOL_Database!$L$14="",0,1)+IF(KOL_Database!$M$14="",0,1)+IF(KOL_Database!$N$14="",0,1)+IF(KOL_Database!$O$14="",0,1)+IF(KOL_Database!$P$14="",0,1)+IF(KOL_Database!$R$14="",0,1)+IF(KOL_Database!$S$14="",0,1)+IF(KOL_Database!$AE$14="",0,1)+IF(KOL_Database!$AF$14="",0,1)+IF(KOL_Database!$AN$14="",0,1))/12*100,0)</f>
      </c>
      <c r="BF14" s="35">
        <f>IF(KOL_Database!$BE$14&gt;=Lookup_Lists!$D$159,"Live",IF(KOL_Database!$BE$14&gt;=Lookup_Lists!$D$160,"Calculated","Estimated"))</f>
      </c>
    </row>
    <row r="15" spans="1:58" x14ac:dyDescent="0.25">
      <c r="A15" s="35" t="s">
        <v>484</v>
      </c>
      <c r="B15" s="35" t="s">
        <v>485</v>
      </c>
      <c r="C15" s="35" t="s">
        <v>486</v>
      </c>
      <c r="D15" s="35" t="s">
        <v>402</v>
      </c>
      <c r="E15" s="35" t="s">
        <v>487</v>
      </c>
      <c r="F15" s="35" t="s">
        <v>488</v>
      </c>
      <c r="G15" s="35">
        <f>IFERROR(INDEX(Lookup_Lists!$A$96:$A$100,MATCH(KOL_Database!$J$15,Lookup_Lists!$B$96:$B$100,1)),"")</f>
      </c>
      <c r="H15" s="35" t="s">
        <v>253</v>
      </c>
      <c r="I15" s="35" t="s">
        <v>146</v>
      </c>
      <c r="J15" s="36">
        <v>178000</v>
      </c>
      <c r="K15" s="37">
        <v>3.9</v>
      </c>
      <c r="L15" s="36">
        <v>34767</v>
      </c>
      <c r="M15" s="36">
        <v>22194</v>
      </c>
      <c r="N15" s="37">
        <v>2</v>
      </c>
      <c r="O15" s="37">
        <v>6.1</v>
      </c>
      <c r="P15" s="38">
        <v>87</v>
      </c>
      <c r="Q15" s="38">
        <v>79</v>
      </c>
      <c r="R15" s="38">
        <v>61</v>
      </c>
      <c r="S15" s="38">
        <v>77</v>
      </c>
      <c r="T15" s="39">
        <v>0.31</v>
      </c>
      <c r="U15" s="39">
        <v>0.95</v>
      </c>
      <c r="V15" s="38">
        <v>48</v>
      </c>
      <c r="W15" s="38">
        <v>1</v>
      </c>
      <c r="X15" s="38">
        <v>24</v>
      </c>
      <c r="Y15" s="38">
        <v>50</v>
      </c>
      <c r="Z15" s="38">
        <v>20</v>
      </c>
      <c r="AA15" s="38">
        <v>5</v>
      </c>
      <c r="AB15" s="38">
        <v>28</v>
      </c>
      <c r="AC15" s="38">
        <v>72</v>
      </c>
      <c r="AD15" s="35" t="s">
        <v>137</v>
      </c>
      <c r="AE15" s="35" t="s">
        <v>141</v>
      </c>
      <c r="AF15" s="35" t="s">
        <v>146</v>
      </c>
      <c r="AG15" s="35" t="s">
        <v>489</v>
      </c>
      <c r="AH15" s="35" t="s">
        <v>416</v>
      </c>
      <c r="AI15" s="35" t="s">
        <v>490</v>
      </c>
      <c r="AJ15" s="35" t="s">
        <v>491</v>
      </c>
      <c r="AK15" s="35" t="s">
        <v>458</v>
      </c>
      <c r="AL15" s="35" t="s">
        <v>492</v>
      </c>
      <c r="AM15" s="38">
        <v>63</v>
      </c>
      <c r="AN15" s="36">
        <v>7793000</v>
      </c>
      <c r="AO15" s="40">
        <f>IF(OR(KOL_Database!$AN$15="",KOL_Database!$AN$15=0,KOL_Database!$L$15="",KOL_Database!$L$15=0),"",ROUND(KOL_Database!$AN$15/KOL_Database!$L$15,2))</f>
      </c>
      <c r="AP15" s="36">
        <f>IF(OR(KOL_Database!$AN$15="",KOL_Database!$AN$15=0,KOL_Database!$L$15="",KOL_Database!$L$15=0,KOL_Database!$K$15="",KOL_Database!$K$15=0),"",ROUND(KOL_Database!$AN$15/(KOL_Database!$L$15*KOL_Database!$K$15/100),0))</f>
      </c>
      <c r="AQ15" s="36">
        <f>IF(OR(KOL_Database!$AN$15="",KOL_Database!$AN$15=0,KOL_Database!$J$15="",KOL_Database!$J$15=0),"",ROUND(KOL_Database!$AN$15/KOL_Database!$J$15*1000,0))</f>
      </c>
      <c r="AR15" s="36">
        <f>IF(OR(KOL_Database!$L$15="",KOL_Database!$J$15=""),"",ROUND(KOL_Database!$L$15*Lookup_Lists!$D$147+KOL_Database!$J$15*Lookup_Lists!$D$148,0))</f>
      </c>
      <c r="AS15" s="39">
        <f>IF(OR(KOL_Database!$AN$15="",KOL_Database!$AN$15=0,KOL_Database!$AR$15=""),"",ROUND(KOL_Database!$AR$15*KOL_Database!$K$15/100*Lookup_Lists!$D$146/KOL_Database!$AN$15,2))</f>
      </c>
      <c r="AT15" s="38">
        <v>71</v>
      </c>
      <c r="AU15" s="38">
        <v>15</v>
      </c>
      <c r="AV15" s="35" t="s">
        <v>442</v>
      </c>
      <c r="AW15" s="35" t="s">
        <v>249</v>
      </c>
      <c r="AX15" s="35" t="s">
        <v>249</v>
      </c>
      <c r="AY15" s="35" t="s">
        <v>249</v>
      </c>
      <c r="AZ15" s="35" t="s">
        <v>249</v>
      </c>
      <c r="BA15" s="41">
        <v>46092.70833333333</v>
      </c>
      <c r="BB15" s="41">
        <v>46252.70833333333</v>
      </c>
      <c r="BC15" s="42">
        <f>IF(OR(KOL_Database!$J$15="",KOL_Database!$J$15=0,KOL_Database!$L$15=""),"",ROUND(KOL_Database!$L$15/KOL_Database!$J$15,3))</f>
      </c>
      <c r="BD15" s="38">
        <f>IF(OR(KOL_Database!$AP$15="",KOL_Database!$AP$15=0,Lookup_Lists!$D$149=0),"",MIN(100,ROUND(Lookup_Lists!$D$149/KOL_Database!$AP$15*100,0)))</f>
      </c>
      <c r="BE15" s="38">
        <f>ROUND((IF(KOL_Database!$J$15="",0,1)+IF(KOL_Database!$K$15="",0,1)+IF(KOL_Database!$L$15="",0,1)+IF(KOL_Database!$M$15="",0,1)+IF(KOL_Database!$N$15="",0,1)+IF(KOL_Database!$O$15="",0,1)+IF(KOL_Database!$P$15="",0,1)+IF(KOL_Database!$R$15="",0,1)+IF(KOL_Database!$S$15="",0,1)+IF(KOL_Database!$AE$15="",0,1)+IF(KOL_Database!$AF$15="",0,1)+IF(KOL_Database!$AN$15="",0,1))/12*100,0)</f>
      </c>
      <c r="BF15" s="35">
        <f>IF(KOL_Database!$BE$15&gt;=Lookup_Lists!$D$159,"Live",IF(KOL_Database!$BE$15&gt;=Lookup_Lists!$D$160,"Calculated","Estimated"))</f>
      </c>
    </row>
    <row r="16" spans="1:58" x14ac:dyDescent="0.25">
      <c r="A16" s="35" t="s">
        <v>493</v>
      </c>
      <c r="B16" s="35" t="s">
        <v>494</v>
      </c>
      <c r="C16" s="35" t="s">
        <v>495</v>
      </c>
      <c r="D16" s="35" t="s">
        <v>412</v>
      </c>
      <c r="E16" s="35" t="s">
        <v>487</v>
      </c>
      <c r="F16" s="35" t="s">
        <v>496</v>
      </c>
      <c r="G16" s="35">
        <f>IFERROR(INDEX(Lookup_Lists!$A$96:$A$100,MATCH(KOL_Database!$J$16,Lookup_Lists!$B$96:$B$100,1)),"")</f>
      </c>
      <c r="H16" s="35" t="s">
        <v>249</v>
      </c>
      <c r="I16" s="35" t="s">
        <v>497</v>
      </c>
      <c r="J16" s="36">
        <v>305000</v>
      </c>
      <c r="K16" s="37">
        <v>6.5</v>
      </c>
      <c r="L16" s="36">
        <v>343139</v>
      </c>
      <c r="M16" s="36">
        <v>266395</v>
      </c>
      <c r="N16" s="37">
        <v>2.7</v>
      </c>
      <c r="O16" s="37">
        <v>8.5</v>
      </c>
      <c r="P16" s="38">
        <v>86</v>
      </c>
      <c r="Q16" s="38">
        <v>88</v>
      </c>
      <c r="R16" s="38">
        <v>80</v>
      </c>
      <c r="S16" s="38">
        <v>75</v>
      </c>
      <c r="T16" s="39">
        <v>1.71</v>
      </c>
      <c r="U16" s="39">
        <v>3.13</v>
      </c>
      <c r="V16" s="38">
        <v>79</v>
      </c>
      <c r="W16" s="38">
        <v>5</v>
      </c>
      <c r="X16" s="38">
        <v>42</v>
      </c>
      <c r="Y16" s="38">
        <v>37</v>
      </c>
      <c r="Z16" s="38">
        <v>13</v>
      </c>
      <c r="AA16" s="38">
        <v>3</v>
      </c>
      <c r="AB16" s="38">
        <v>79</v>
      </c>
      <c r="AC16" s="38">
        <v>21</v>
      </c>
      <c r="AD16" s="35" t="s">
        <v>137</v>
      </c>
      <c r="AE16" s="35" t="s">
        <v>498</v>
      </c>
      <c r="AF16" s="35" t="s">
        <v>497</v>
      </c>
      <c r="AG16" s="35" t="s">
        <v>499</v>
      </c>
      <c r="AH16" s="35" t="s">
        <v>416</v>
      </c>
      <c r="AI16" s="35" t="s">
        <v>490</v>
      </c>
      <c r="AJ16" s="35" t="s">
        <v>433</v>
      </c>
      <c r="AK16" s="35" t="s">
        <v>500</v>
      </c>
      <c r="AL16" s="35" t="s">
        <v>501</v>
      </c>
      <c r="AM16" s="38">
        <v>82</v>
      </c>
      <c r="AN16" s="36">
        <v>11000000</v>
      </c>
      <c r="AO16" s="40">
        <f>IF(OR(KOL_Database!$AN$16="",KOL_Database!$AN$16=0,KOL_Database!$L$16="",KOL_Database!$L$16=0),"",ROUND(KOL_Database!$AN$16/KOL_Database!$L$16,2))</f>
      </c>
      <c r="AP16" s="36">
        <f>IF(OR(KOL_Database!$AN$16="",KOL_Database!$AN$16=0,KOL_Database!$L$16="",KOL_Database!$L$16=0,KOL_Database!$K$16="",KOL_Database!$K$16=0),"",ROUND(KOL_Database!$AN$16/(KOL_Database!$L$16*KOL_Database!$K$16/100),0))</f>
      </c>
      <c r="AQ16" s="36">
        <f>IF(OR(KOL_Database!$AN$16="",KOL_Database!$AN$16=0,KOL_Database!$J$16="",KOL_Database!$J$16=0),"",ROUND(KOL_Database!$AN$16/KOL_Database!$J$16*1000,0))</f>
      </c>
      <c r="AR16" s="36">
        <f>IF(OR(KOL_Database!$L$16="",KOL_Database!$J$16=""),"",ROUND(KOL_Database!$L$16*Lookup_Lists!$D$147+KOL_Database!$J$16*Lookup_Lists!$D$148,0))</f>
      </c>
      <c r="AS16" s="39">
        <f>IF(OR(KOL_Database!$AN$16="",KOL_Database!$AN$16=0,KOL_Database!$AR$16=""),"",ROUND(KOL_Database!$AR$16*KOL_Database!$K$16/100*Lookup_Lists!$D$146/KOL_Database!$AN$16,2))</f>
      </c>
      <c r="AT16" s="38">
        <v>88</v>
      </c>
      <c r="AU16" s="38">
        <v>49</v>
      </c>
      <c r="AV16" s="35" t="s">
        <v>408</v>
      </c>
      <c r="AW16" s="35" t="s">
        <v>249</v>
      </c>
      <c r="AX16" s="35" t="s">
        <v>249</v>
      </c>
      <c r="AY16" s="35" t="s">
        <v>249</v>
      </c>
      <c r="AZ16" s="35" t="s">
        <v>249</v>
      </c>
      <c r="BA16" s="41">
        <v>46096.70833333333</v>
      </c>
      <c r="BB16" s="41">
        <v>46253.70833333333</v>
      </c>
      <c r="BC16" s="42">
        <f>IF(OR(KOL_Database!$J$16="",KOL_Database!$J$16=0,KOL_Database!$L$16=""),"",ROUND(KOL_Database!$L$16/KOL_Database!$J$16,3))</f>
      </c>
      <c r="BD16" s="38">
        <f>IF(OR(KOL_Database!$AP$16="",KOL_Database!$AP$16=0,Lookup_Lists!$D$149=0),"",MIN(100,ROUND(Lookup_Lists!$D$149/KOL_Database!$AP$16*100,0)))</f>
      </c>
      <c r="BE16" s="38">
        <f>ROUND((IF(KOL_Database!$J$16="",0,1)+IF(KOL_Database!$K$16="",0,1)+IF(KOL_Database!$L$16="",0,1)+IF(KOL_Database!$M$16="",0,1)+IF(KOL_Database!$N$16="",0,1)+IF(KOL_Database!$O$16="",0,1)+IF(KOL_Database!$P$16="",0,1)+IF(KOL_Database!$R$16="",0,1)+IF(KOL_Database!$S$16="",0,1)+IF(KOL_Database!$AE$16="",0,1)+IF(KOL_Database!$AF$16="",0,1)+IF(KOL_Database!$AN$16="",0,1))/12*100,0)</f>
      </c>
      <c r="BF16" s="35">
        <f>IF(KOL_Database!$BE$16&gt;=Lookup_Lists!$D$159,"Live",IF(KOL_Database!$BE$16&gt;=Lookup_Lists!$D$160,"Calculated","Estimated"))</f>
      </c>
    </row>
    <row r="17" spans="1:58" x14ac:dyDescent="0.25">
      <c r="A17" s="35" t="s">
        <v>502</v>
      </c>
      <c r="B17" s="35" t="s">
        <v>503</v>
      </c>
      <c r="C17" s="35" t="s">
        <v>504</v>
      </c>
      <c r="D17" s="35" t="s">
        <v>402</v>
      </c>
      <c r="E17" s="35" t="s">
        <v>505</v>
      </c>
      <c r="F17" s="35" t="s">
        <v>506</v>
      </c>
      <c r="G17" s="35">
        <f>IFERROR(INDEX(Lookup_Lists!$A$96:$A$100,MATCH(KOL_Database!$J$17,Lookup_Lists!$B$96:$B$100,1)),"")</f>
      </c>
      <c r="H17" s="35" t="s">
        <v>249</v>
      </c>
      <c r="I17" s="35" t="s">
        <v>146</v>
      </c>
      <c r="J17" s="36">
        <v>96000</v>
      </c>
      <c r="K17" s="37">
        <v>3.4</v>
      </c>
      <c r="L17" s="36">
        <v>33575</v>
      </c>
      <c r="M17" s="36">
        <v>27597</v>
      </c>
      <c r="N17" s="37">
        <v>5.5</v>
      </c>
      <c r="O17" s="37">
        <v>16.4</v>
      </c>
      <c r="P17" s="38">
        <v>64</v>
      </c>
      <c r="Q17" s="38">
        <v>64</v>
      </c>
      <c r="R17" s="38">
        <v>86</v>
      </c>
      <c r="S17" s="38">
        <v>69</v>
      </c>
      <c r="T17" s="39">
        <v>1.76</v>
      </c>
      <c r="U17" s="39">
        <v>3.33</v>
      </c>
      <c r="V17" s="38">
        <v>81</v>
      </c>
      <c r="W17" s="38">
        <v>12</v>
      </c>
      <c r="X17" s="38">
        <v>44</v>
      </c>
      <c r="Y17" s="38">
        <v>30</v>
      </c>
      <c r="Z17" s="38">
        <v>10</v>
      </c>
      <c r="AA17" s="38">
        <v>4</v>
      </c>
      <c r="AB17" s="38">
        <v>33</v>
      </c>
      <c r="AC17" s="38">
        <v>67</v>
      </c>
      <c r="AD17" s="35" t="s">
        <v>137</v>
      </c>
      <c r="AE17" s="35" t="s">
        <v>141</v>
      </c>
      <c r="AF17" s="35" t="s">
        <v>146</v>
      </c>
      <c r="AG17" s="35" t="s">
        <v>507</v>
      </c>
      <c r="AH17" s="35" t="s">
        <v>405</v>
      </c>
      <c r="AI17" s="35" t="s">
        <v>508</v>
      </c>
      <c r="AJ17" s="35" t="s">
        <v>509</v>
      </c>
      <c r="AK17" s="35" t="s">
        <v>434</v>
      </c>
      <c r="AL17" s="35" t="s">
        <v>510</v>
      </c>
      <c r="AM17" s="38">
        <v>85</v>
      </c>
      <c r="AN17" s="36">
        <v>5595000</v>
      </c>
      <c r="AO17" s="40">
        <f>IF(OR(KOL_Database!$AN$17="",KOL_Database!$AN$17=0,KOL_Database!$L$17="",KOL_Database!$L$17=0),"",ROUND(KOL_Database!$AN$17/KOL_Database!$L$17,2))</f>
      </c>
      <c r="AP17" s="36">
        <f>IF(OR(KOL_Database!$AN$17="",KOL_Database!$AN$17=0,KOL_Database!$L$17="",KOL_Database!$L$17=0,KOL_Database!$K$17="",KOL_Database!$K$17=0),"",ROUND(KOL_Database!$AN$17/(KOL_Database!$L$17*KOL_Database!$K$17/100),0))</f>
      </c>
      <c r="AQ17" s="36">
        <f>IF(OR(KOL_Database!$AN$17="",KOL_Database!$AN$17=0,KOL_Database!$J$17="",KOL_Database!$J$17=0),"",ROUND(KOL_Database!$AN$17/KOL_Database!$J$17*1000,0))</f>
      </c>
      <c r="AR17" s="36">
        <f>IF(OR(KOL_Database!$L$17="",KOL_Database!$J$17=""),"",ROUND(KOL_Database!$L$17*Lookup_Lists!$D$147+KOL_Database!$J$17*Lookup_Lists!$D$148,0))</f>
      </c>
      <c r="AS17" s="39">
        <f>IF(OR(KOL_Database!$AN$17="",KOL_Database!$AN$17=0,KOL_Database!$AR$17=""),"",ROUND(KOL_Database!$AR$17*KOL_Database!$K$17/100*Lookup_Lists!$D$146/KOL_Database!$AN$17,2))</f>
      </c>
      <c r="AT17" s="38">
        <v>89</v>
      </c>
      <c r="AU17" s="38">
        <v>54</v>
      </c>
      <c r="AV17" s="35" t="s">
        <v>408</v>
      </c>
      <c r="AW17" s="35" t="s">
        <v>249</v>
      </c>
      <c r="AX17" s="35" t="s">
        <v>249</v>
      </c>
      <c r="AY17" s="35" t="s">
        <v>249</v>
      </c>
      <c r="AZ17" s="35" t="s">
        <v>249</v>
      </c>
      <c r="BA17" s="41">
        <v>46164.70833333333</v>
      </c>
      <c r="BB17" s="41">
        <v>46255.70833333333</v>
      </c>
      <c r="BC17" s="42">
        <f>IF(OR(KOL_Database!$J$17="",KOL_Database!$J$17=0,KOL_Database!$L$17=""),"",ROUND(KOL_Database!$L$17/KOL_Database!$J$17,3))</f>
      </c>
      <c r="BD17" s="38">
        <f>IF(OR(KOL_Database!$AP$17="",KOL_Database!$AP$17=0,Lookup_Lists!$D$149=0),"",MIN(100,ROUND(Lookup_Lists!$D$149/KOL_Database!$AP$17*100,0)))</f>
      </c>
      <c r="BE17" s="38">
        <f>ROUND((IF(KOL_Database!$J$17="",0,1)+IF(KOL_Database!$K$17="",0,1)+IF(KOL_Database!$L$17="",0,1)+IF(KOL_Database!$M$17="",0,1)+IF(KOL_Database!$N$17="",0,1)+IF(KOL_Database!$O$17="",0,1)+IF(KOL_Database!$P$17="",0,1)+IF(KOL_Database!$R$17="",0,1)+IF(KOL_Database!$S$17="",0,1)+IF(KOL_Database!$AE$17="",0,1)+IF(KOL_Database!$AF$17="",0,1)+IF(KOL_Database!$AN$17="",0,1))/12*100,0)</f>
      </c>
      <c r="BF17" s="35">
        <f>IF(KOL_Database!$BE$17&gt;=Lookup_Lists!$D$159,"Live",IF(KOL_Database!$BE$17&gt;=Lookup_Lists!$D$160,"Calculated","Estimated"))</f>
      </c>
    </row>
    <row r="18" spans="1:58" x14ac:dyDescent="0.25">
      <c r="A18" s="35" t="s">
        <v>511</v>
      </c>
      <c r="B18" s="35" t="s">
        <v>512</v>
      </c>
      <c r="C18" s="35" t="s">
        <v>513</v>
      </c>
      <c r="D18" s="35" t="s">
        <v>402</v>
      </c>
      <c r="E18" s="35" t="s">
        <v>505</v>
      </c>
      <c r="F18" s="35" t="s">
        <v>514</v>
      </c>
      <c r="G18" s="35">
        <f>IFERROR(INDEX(Lookup_Lists!$A$96:$A$100,MATCH(KOL_Database!$J$18,Lookup_Lists!$B$96:$B$100,1)),"")</f>
      </c>
      <c r="H18" s="35" t="s">
        <v>253</v>
      </c>
      <c r="I18" s="35" t="s">
        <v>413</v>
      </c>
      <c r="J18" s="36">
        <v>268000</v>
      </c>
      <c r="K18" s="37">
        <v>4.7</v>
      </c>
      <c r="L18" s="36">
        <v>60835</v>
      </c>
      <c r="M18" s="36">
        <v>38966</v>
      </c>
      <c r="N18" s="37">
        <v>4.7</v>
      </c>
      <c r="O18" s="37">
        <v>13.5</v>
      </c>
      <c r="P18" s="38">
        <v>93</v>
      </c>
      <c r="Q18" s="38">
        <v>92</v>
      </c>
      <c r="R18" s="38">
        <v>62</v>
      </c>
      <c r="S18" s="38">
        <v>68</v>
      </c>
      <c r="T18" s="39">
        <v>0.6</v>
      </c>
      <c r="U18" s="39">
        <v>0.98</v>
      </c>
      <c r="V18" s="38">
        <v>49</v>
      </c>
      <c r="W18" s="38">
        <v>9</v>
      </c>
      <c r="X18" s="38">
        <v>36</v>
      </c>
      <c r="Y18" s="38">
        <v>32</v>
      </c>
      <c r="Z18" s="38">
        <v>15</v>
      </c>
      <c r="AA18" s="38">
        <v>8</v>
      </c>
      <c r="AB18" s="38">
        <v>76</v>
      </c>
      <c r="AC18" s="38">
        <v>24</v>
      </c>
      <c r="AD18" s="35" t="s">
        <v>137</v>
      </c>
      <c r="AE18" s="35" t="s">
        <v>414</v>
      </c>
      <c r="AF18" s="35" t="s">
        <v>413</v>
      </c>
      <c r="AG18" s="35" t="s">
        <v>515</v>
      </c>
      <c r="AH18" s="35" t="s">
        <v>405</v>
      </c>
      <c r="AI18" s="35" t="s">
        <v>516</v>
      </c>
      <c r="AJ18" s="35" t="s">
        <v>509</v>
      </c>
      <c r="AK18" s="35" t="s">
        <v>164</v>
      </c>
      <c r="AL18" s="35" t="s">
        <v>517</v>
      </c>
      <c r="AM18" s="38">
        <v>63</v>
      </c>
      <c r="AN18" s="36">
        <v>9178000</v>
      </c>
      <c r="AO18" s="40">
        <f>IF(OR(KOL_Database!$AN$18="",KOL_Database!$AN$18=0,KOL_Database!$L$18="",KOL_Database!$L$18=0),"",ROUND(KOL_Database!$AN$18/KOL_Database!$L$18,2))</f>
      </c>
      <c r="AP18" s="36">
        <f>IF(OR(KOL_Database!$AN$18="",KOL_Database!$AN$18=0,KOL_Database!$L$18="",KOL_Database!$L$18=0,KOL_Database!$K$18="",KOL_Database!$K$18=0),"",ROUND(KOL_Database!$AN$18/(KOL_Database!$L$18*KOL_Database!$K$18/100),0))</f>
      </c>
      <c r="AQ18" s="36">
        <f>IF(OR(KOL_Database!$AN$18="",KOL_Database!$AN$18=0,KOL_Database!$J$18="",KOL_Database!$J$18=0),"",ROUND(KOL_Database!$AN$18/KOL_Database!$J$18*1000,0))</f>
      </c>
      <c r="AR18" s="36">
        <f>IF(OR(KOL_Database!$L$18="",KOL_Database!$J$18=""),"",ROUND(KOL_Database!$L$18*Lookup_Lists!$D$147+KOL_Database!$J$18*Lookup_Lists!$D$148,0))</f>
      </c>
      <c r="AS18" s="39">
        <f>IF(OR(KOL_Database!$AN$18="",KOL_Database!$AN$18=0,KOL_Database!$AR$18=""),"",ROUND(KOL_Database!$AR$18*KOL_Database!$K$18/100*Lookup_Lists!$D$146/KOL_Database!$AN$18,2))</f>
      </c>
      <c r="AT18" s="38">
        <v>72</v>
      </c>
      <c r="AU18" s="38">
        <v>15</v>
      </c>
      <c r="AV18" s="35" t="s">
        <v>442</v>
      </c>
      <c r="AW18" s="35" t="s">
        <v>249</v>
      </c>
      <c r="AX18" s="35" t="s">
        <v>249</v>
      </c>
      <c r="AY18" s="35" t="s">
        <v>249</v>
      </c>
      <c r="AZ18" s="35" t="s">
        <v>249</v>
      </c>
      <c r="BA18" s="41">
        <v>46091.70833333333</v>
      </c>
      <c r="BB18" s="41">
        <v>46257.70833333333</v>
      </c>
      <c r="BC18" s="42">
        <f>IF(OR(KOL_Database!$J$18="",KOL_Database!$J$18=0,KOL_Database!$L$18=""),"",ROUND(KOL_Database!$L$18/KOL_Database!$J$18,3))</f>
      </c>
      <c r="BD18" s="38">
        <f>IF(OR(KOL_Database!$AP$18="",KOL_Database!$AP$18=0,Lookup_Lists!$D$149=0),"",MIN(100,ROUND(Lookup_Lists!$D$149/KOL_Database!$AP$18*100,0)))</f>
      </c>
      <c r="BE18" s="38">
        <f>ROUND((IF(KOL_Database!$J$18="",0,1)+IF(KOL_Database!$K$18="",0,1)+IF(KOL_Database!$L$18="",0,1)+IF(KOL_Database!$M$18="",0,1)+IF(KOL_Database!$N$18="",0,1)+IF(KOL_Database!$O$18="",0,1)+IF(KOL_Database!$P$18="",0,1)+IF(KOL_Database!$R$18="",0,1)+IF(KOL_Database!$S$18="",0,1)+IF(KOL_Database!$AE$18="",0,1)+IF(KOL_Database!$AF$18="",0,1)+IF(KOL_Database!$AN$18="",0,1))/12*100,0)</f>
      </c>
      <c r="BF18" s="35">
        <f>IF(KOL_Database!$BE$18&gt;=Lookup_Lists!$D$159,"Live",IF(KOL_Database!$BE$18&gt;=Lookup_Lists!$D$160,"Calculated","Estimated"))</f>
      </c>
    </row>
    <row r="19" spans="1:58" x14ac:dyDescent="0.25">
      <c r="A19" s="35" t="s">
        <v>518</v>
      </c>
      <c r="B19" s="35" t="s">
        <v>519</v>
      </c>
      <c r="C19" s="35" t="s">
        <v>520</v>
      </c>
      <c r="D19" s="35" t="s">
        <v>402</v>
      </c>
      <c r="E19" s="35" t="s">
        <v>521</v>
      </c>
      <c r="F19" s="35" t="s">
        <v>522</v>
      </c>
      <c r="G19" s="35">
        <f>IFERROR(INDEX(Lookup_Lists!$A$96:$A$100,MATCH(KOL_Database!$J$19,Lookup_Lists!$B$96:$B$100,1)),"")</f>
      </c>
      <c r="H19" s="35" t="s">
        <v>249</v>
      </c>
      <c r="I19" s="35" t="s">
        <v>146</v>
      </c>
      <c r="J19" s="36">
        <v>58000</v>
      </c>
      <c r="K19" s="37">
        <v>5.8</v>
      </c>
      <c r="L19" s="36">
        <v>19817</v>
      </c>
      <c r="M19" s="36"/>
      <c r="N19" s="37">
        <v>0.8</v>
      </c>
      <c r="O19" s="37">
        <v>2.2</v>
      </c>
      <c r="P19" s="38">
        <v>54</v>
      </c>
      <c r="Q19" s="38">
        <v>49</v>
      </c>
      <c r="R19" s="38">
        <v>79</v>
      </c>
      <c r="S19" s="38">
        <v>75</v>
      </c>
      <c r="T19" s="39">
        <v>1.78</v>
      </c>
      <c r="U19" s="39">
        <v>2.87</v>
      </c>
      <c r="V19" s="38">
        <v>77</v>
      </c>
      <c r="W19" s="38">
        <v>6</v>
      </c>
      <c r="X19" s="38">
        <v>41</v>
      </c>
      <c r="Y19" s="38">
        <v>36</v>
      </c>
      <c r="Z19" s="38">
        <v>13</v>
      </c>
      <c r="AA19" s="38">
        <v>4</v>
      </c>
      <c r="AB19" s="38">
        <v>78</v>
      </c>
      <c r="AC19" s="38">
        <v>22</v>
      </c>
      <c r="AD19" s="35" t="s">
        <v>137</v>
      </c>
      <c r="AE19" s="35" t="s">
        <v>141</v>
      </c>
      <c r="AF19" s="35" t="s">
        <v>146</v>
      </c>
      <c r="AG19" s="35" t="s">
        <v>523</v>
      </c>
      <c r="AH19" s="35" t="s">
        <v>405</v>
      </c>
      <c r="AI19" s="35" t="s">
        <v>524</v>
      </c>
      <c r="AJ19" s="35" t="s">
        <v>525</v>
      </c>
      <c r="AK19" s="35" t="s">
        <v>233</v>
      </c>
      <c r="AL19" s="35" t="s">
        <v>526</v>
      </c>
      <c r="AM19" s="38">
        <v>81</v>
      </c>
      <c r="AN19" s="36"/>
      <c r="AO19" s="40">
        <f>IF(OR(KOL_Database!$AN$19="",KOL_Database!$AN$19=0,KOL_Database!$L$19="",KOL_Database!$L$19=0),"",ROUND(KOL_Database!$AN$19/KOL_Database!$L$19,2))</f>
      </c>
      <c r="AP19" s="36">
        <f>IF(OR(KOL_Database!$AN$19="",KOL_Database!$AN$19=0,KOL_Database!$L$19="",KOL_Database!$L$19=0,KOL_Database!$K$19="",KOL_Database!$K$19=0),"",ROUND(KOL_Database!$AN$19/(KOL_Database!$L$19*KOL_Database!$K$19/100),0))</f>
      </c>
      <c r="AQ19" s="36">
        <f>IF(OR(KOL_Database!$AN$19="",KOL_Database!$AN$19=0,KOL_Database!$J$19="",KOL_Database!$J$19=0),"",ROUND(KOL_Database!$AN$19/KOL_Database!$J$19*1000,0))</f>
      </c>
      <c r="AR19" s="36">
        <f>IF(OR(KOL_Database!$L$19="",KOL_Database!$J$19=""),"",ROUND(KOL_Database!$L$19*Lookup_Lists!$D$147+KOL_Database!$J$19*Lookup_Lists!$D$148,0))</f>
      </c>
      <c r="AS19" s="39">
        <f>IF(OR(KOL_Database!$AN$19="",KOL_Database!$AN$19=0,KOL_Database!$AR$19=""),"",ROUND(KOL_Database!$AR$19*KOL_Database!$K$19/100*Lookup_Lists!$D$146/KOL_Database!$AN$19,2))</f>
      </c>
      <c r="AT19" s="38">
        <v>87</v>
      </c>
      <c r="AU19" s="38">
        <v>47</v>
      </c>
      <c r="AV19" s="35" t="s">
        <v>408</v>
      </c>
      <c r="AW19" s="35" t="s">
        <v>249</v>
      </c>
      <c r="AX19" s="35" t="s">
        <v>249</v>
      </c>
      <c r="AY19" s="35" t="s">
        <v>249</v>
      </c>
      <c r="AZ19" s="35" t="s">
        <v>249</v>
      </c>
      <c r="BA19" s="41">
        <v>46192.70833333333</v>
      </c>
      <c r="BB19" s="41">
        <v>46241.70833333333</v>
      </c>
      <c r="BC19" s="42">
        <f>IF(OR(KOL_Database!$J$19="",KOL_Database!$J$19=0,KOL_Database!$L$19=""),"",ROUND(KOL_Database!$L$19/KOL_Database!$J$19,3))</f>
      </c>
      <c r="BD19" s="38">
        <f>IF(OR(KOL_Database!$AP$19="",KOL_Database!$AP$19=0,Lookup_Lists!$D$149=0),"",MIN(100,ROUND(Lookup_Lists!$D$149/KOL_Database!$AP$19*100,0)))</f>
      </c>
      <c r="BE19" s="38">
        <f>ROUND((IF(KOL_Database!$J$19="",0,1)+IF(KOL_Database!$K$19="",0,1)+IF(KOL_Database!$L$19="",0,1)+IF(KOL_Database!$M$19="",0,1)+IF(KOL_Database!$N$19="",0,1)+IF(KOL_Database!$O$19="",0,1)+IF(KOL_Database!$P$19="",0,1)+IF(KOL_Database!$R$19="",0,1)+IF(KOL_Database!$S$19="",0,1)+IF(KOL_Database!$AE$19="",0,1)+IF(KOL_Database!$AF$19="",0,1)+IF(KOL_Database!$AN$19="",0,1))/12*100,0)</f>
      </c>
      <c r="BF19" s="35">
        <f>IF(KOL_Database!$BE$19&gt;=Lookup_Lists!$D$159,"Live",IF(KOL_Database!$BE$19&gt;=Lookup_Lists!$D$160,"Calculated","Estimated"))</f>
      </c>
    </row>
    <row r="20" spans="1:58" x14ac:dyDescent="0.25">
      <c r="A20" s="35" t="s">
        <v>527</v>
      </c>
      <c r="B20" s="35" t="s">
        <v>528</v>
      </c>
      <c r="C20" s="35" t="s">
        <v>529</v>
      </c>
      <c r="D20" s="35" t="s">
        <v>412</v>
      </c>
      <c r="E20" s="35" t="s">
        <v>521</v>
      </c>
      <c r="F20" s="35" t="s">
        <v>530</v>
      </c>
      <c r="G20" s="35">
        <f>IFERROR(INDEX(Lookup_Lists!$A$96:$A$100,MATCH(KOL_Database!$J$20,Lookup_Lists!$B$96:$B$100,1)),"")</f>
      </c>
      <c r="H20" s="35" t="s">
        <v>249</v>
      </c>
      <c r="I20" s="35" t="s">
        <v>447</v>
      </c>
      <c r="J20" s="36">
        <v>143000</v>
      </c>
      <c r="K20" s="37">
        <v>7.3</v>
      </c>
      <c r="L20" s="36">
        <v>128922</v>
      </c>
      <c r="M20" s="36">
        <v>93520</v>
      </c>
      <c r="N20" s="37">
        <v>1.6</v>
      </c>
      <c r="O20" s="37">
        <v>4.7</v>
      </c>
      <c r="P20" s="38">
        <v>69</v>
      </c>
      <c r="Q20" s="38">
        <v>58</v>
      </c>
      <c r="R20" s="38">
        <v>72</v>
      </c>
      <c r="S20" s="38">
        <v>75</v>
      </c>
      <c r="T20" s="39">
        <v>1.11</v>
      </c>
      <c r="U20" s="39">
        <v>1.8</v>
      </c>
      <c r="V20" s="38">
        <v>65</v>
      </c>
      <c r="W20" s="38">
        <v>10</v>
      </c>
      <c r="X20" s="38">
        <v>35</v>
      </c>
      <c r="Y20" s="38">
        <v>32</v>
      </c>
      <c r="Z20" s="38">
        <v>15</v>
      </c>
      <c r="AA20" s="38">
        <v>8</v>
      </c>
      <c r="AB20" s="38">
        <v>50</v>
      </c>
      <c r="AC20" s="38">
        <v>50</v>
      </c>
      <c r="AD20" s="35" t="s">
        <v>137</v>
      </c>
      <c r="AE20" s="35" t="s">
        <v>531</v>
      </c>
      <c r="AF20" s="35" t="s">
        <v>447</v>
      </c>
      <c r="AG20" s="35" t="s">
        <v>532</v>
      </c>
      <c r="AH20" s="35" t="s">
        <v>416</v>
      </c>
      <c r="AI20" s="35" t="s">
        <v>533</v>
      </c>
      <c r="AJ20" s="35" t="s">
        <v>191</v>
      </c>
      <c r="AK20" s="35" t="s">
        <v>500</v>
      </c>
      <c r="AL20" s="35" t="s">
        <v>534</v>
      </c>
      <c r="AM20" s="38">
        <v>70</v>
      </c>
      <c r="AN20" s="36">
        <v>7434000</v>
      </c>
      <c r="AO20" s="40">
        <f>IF(OR(KOL_Database!$AN$20="",KOL_Database!$AN$20=0,KOL_Database!$L$20="",KOL_Database!$L$20=0),"",ROUND(KOL_Database!$AN$20/KOL_Database!$L$20,2))</f>
      </c>
      <c r="AP20" s="36">
        <f>IF(OR(KOL_Database!$AN$20="",KOL_Database!$AN$20=0,KOL_Database!$L$20="",KOL_Database!$L$20=0,KOL_Database!$K$20="",KOL_Database!$K$20=0),"",ROUND(KOL_Database!$AN$20/(KOL_Database!$L$20*KOL_Database!$K$20/100),0))</f>
      </c>
      <c r="AQ20" s="36">
        <f>IF(OR(KOL_Database!$AN$20="",KOL_Database!$AN$20=0,KOL_Database!$J$20="",KOL_Database!$J$20=0),"",ROUND(KOL_Database!$AN$20/KOL_Database!$J$20*1000,0))</f>
      </c>
      <c r="AR20" s="36">
        <f>IF(OR(KOL_Database!$L$20="",KOL_Database!$J$20=""),"",ROUND(KOL_Database!$L$20*Lookup_Lists!$D$147+KOL_Database!$J$20*Lookup_Lists!$D$148,0))</f>
      </c>
      <c r="AS20" s="39">
        <f>IF(OR(KOL_Database!$AN$20="",KOL_Database!$AN$20=0,KOL_Database!$AR$20=""),"",ROUND(KOL_Database!$AR$20*KOL_Database!$K$20/100*Lookup_Lists!$D$146/KOL_Database!$AN$20,2))</f>
      </c>
      <c r="AT20" s="38">
        <v>80</v>
      </c>
      <c r="AU20" s="38">
        <v>27</v>
      </c>
      <c r="AV20" s="35" t="s">
        <v>442</v>
      </c>
      <c r="AW20" s="35" t="s">
        <v>249</v>
      </c>
      <c r="AX20" s="35" t="s">
        <v>249</v>
      </c>
      <c r="AY20" s="35" t="s">
        <v>249</v>
      </c>
      <c r="AZ20" s="35" t="s">
        <v>249</v>
      </c>
      <c r="BA20" s="41">
        <v>46208.70833333333</v>
      </c>
      <c r="BB20" s="41">
        <v>46258.70833333333</v>
      </c>
      <c r="BC20" s="42">
        <f>IF(OR(KOL_Database!$J$20="",KOL_Database!$J$20=0,KOL_Database!$L$20=""),"",ROUND(KOL_Database!$L$20/KOL_Database!$J$20,3))</f>
      </c>
      <c r="BD20" s="38">
        <f>IF(OR(KOL_Database!$AP$20="",KOL_Database!$AP$20=0,Lookup_Lists!$D$149=0),"",MIN(100,ROUND(Lookup_Lists!$D$149/KOL_Database!$AP$20*100,0)))</f>
      </c>
      <c r="BE20" s="38">
        <f>ROUND((IF(KOL_Database!$J$20="",0,1)+IF(KOL_Database!$K$20="",0,1)+IF(KOL_Database!$L$20="",0,1)+IF(KOL_Database!$M$20="",0,1)+IF(KOL_Database!$N$20="",0,1)+IF(KOL_Database!$O$20="",0,1)+IF(KOL_Database!$P$20="",0,1)+IF(KOL_Database!$R$20="",0,1)+IF(KOL_Database!$S$20="",0,1)+IF(KOL_Database!$AE$20="",0,1)+IF(KOL_Database!$AF$20="",0,1)+IF(KOL_Database!$AN$20="",0,1))/12*100,0)</f>
      </c>
      <c r="BF20" s="35">
        <f>IF(KOL_Database!$BE$20&gt;=Lookup_Lists!$D$159,"Live",IF(KOL_Database!$BE$20&gt;=Lookup_Lists!$D$160,"Calculated","Estimated"))</f>
      </c>
    </row>
    <row r="21" spans="1:58" x14ac:dyDescent="0.25">
      <c r="A21" s="35" t="s">
        <v>535</v>
      </c>
      <c r="B21" s="35" t="s">
        <v>536</v>
      </c>
      <c r="C21" s="35" t="s">
        <v>537</v>
      </c>
      <c r="D21" s="35" t="s">
        <v>402</v>
      </c>
      <c r="E21" s="35" t="s">
        <v>538</v>
      </c>
      <c r="F21" s="35" t="s">
        <v>539</v>
      </c>
      <c r="G21" s="35">
        <f>IFERROR(INDEX(Lookup_Lists!$A$96:$A$100,MATCH(KOL_Database!$J$21,Lookup_Lists!$B$96:$B$100,1)),"")</f>
      </c>
      <c r="H21" s="35" t="s">
        <v>253</v>
      </c>
      <c r="I21" s="35" t="s">
        <v>540</v>
      </c>
      <c r="J21" s="36">
        <v>187000</v>
      </c>
      <c r="K21" s="37">
        <v>4.1</v>
      </c>
      <c r="L21" s="36">
        <v>63792</v>
      </c>
      <c r="M21" s="36">
        <v>49777</v>
      </c>
      <c r="N21" s="37">
        <v>3.8</v>
      </c>
      <c r="O21" s="37">
        <v>10.1</v>
      </c>
      <c r="P21" s="38">
        <v>60</v>
      </c>
      <c r="Q21" s="38">
        <v>55</v>
      </c>
      <c r="R21" s="38">
        <v>79</v>
      </c>
      <c r="S21" s="38">
        <v>65</v>
      </c>
      <c r="T21" s="39">
        <v>1.33</v>
      </c>
      <c r="U21" s="39">
        <v>2.67</v>
      </c>
      <c r="V21" s="38">
        <v>70</v>
      </c>
      <c r="W21" s="38">
        <v>6</v>
      </c>
      <c r="X21" s="38">
        <v>23</v>
      </c>
      <c r="Y21" s="38">
        <v>41</v>
      </c>
      <c r="Z21" s="38">
        <v>20</v>
      </c>
      <c r="AA21" s="38">
        <v>10</v>
      </c>
      <c r="AB21" s="38">
        <v>67</v>
      </c>
      <c r="AC21" s="38">
        <v>33</v>
      </c>
      <c r="AD21" s="35" t="s">
        <v>137</v>
      </c>
      <c r="AE21" s="35" t="s">
        <v>540</v>
      </c>
      <c r="AF21" s="35" t="s">
        <v>540</v>
      </c>
      <c r="AG21" s="35" t="s">
        <v>541</v>
      </c>
      <c r="AH21" s="35" t="s">
        <v>416</v>
      </c>
      <c r="AI21" s="35" t="s">
        <v>542</v>
      </c>
      <c r="AJ21" s="35" t="s">
        <v>509</v>
      </c>
      <c r="AK21" s="35" t="s">
        <v>164</v>
      </c>
      <c r="AL21" s="35" t="s">
        <v>543</v>
      </c>
      <c r="AM21" s="38">
        <v>78</v>
      </c>
      <c r="AN21" s="36">
        <v>7207000</v>
      </c>
      <c r="AO21" s="40">
        <f>IF(OR(KOL_Database!$AN$21="",KOL_Database!$AN$21=0,KOL_Database!$L$21="",KOL_Database!$L$21=0),"",ROUND(KOL_Database!$AN$21/KOL_Database!$L$21,2))</f>
      </c>
      <c r="AP21" s="36">
        <f>IF(OR(KOL_Database!$AN$21="",KOL_Database!$AN$21=0,KOL_Database!$L$21="",KOL_Database!$L$21=0,KOL_Database!$K$21="",KOL_Database!$K$21=0),"",ROUND(KOL_Database!$AN$21/(KOL_Database!$L$21*KOL_Database!$K$21/100),0))</f>
      </c>
      <c r="AQ21" s="36">
        <f>IF(OR(KOL_Database!$AN$21="",KOL_Database!$AN$21=0,KOL_Database!$J$21="",KOL_Database!$J$21=0),"",ROUND(KOL_Database!$AN$21/KOL_Database!$J$21*1000,0))</f>
      </c>
      <c r="AR21" s="36">
        <f>IF(OR(KOL_Database!$L$21="",KOL_Database!$J$21=""),"",ROUND(KOL_Database!$L$21*Lookup_Lists!$D$147+KOL_Database!$J$21*Lookup_Lists!$D$148,0))</f>
      </c>
      <c r="AS21" s="39">
        <f>IF(OR(KOL_Database!$AN$21="",KOL_Database!$AN$21=0,KOL_Database!$AR$21=""),"",ROUND(KOL_Database!$AR$21*KOL_Database!$K$21/100*Lookup_Lists!$D$146/KOL_Database!$AN$21,2))</f>
      </c>
      <c r="AT21" s="38">
        <v>83</v>
      </c>
      <c r="AU21" s="38">
        <v>41</v>
      </c>
      <c r="AV21" s="35" t="s">
        <v>408</v>
      </c>
      <c r="AW21" s="35" t="s">
        <v>249</v>
      </c>
      <c r="AX21" s="35" t="s">
        <v>249</v>
      </c>
      <c r="AY21" s="35" t="s">
        <v>249</v>
      </c>
      <c r="AZ21" s="35" t="s">
        <v>249</v>
      </c>
      <c r="BA21" s="41">
        <v>46212.70833333333</v>
      </c>
      <c r="BB21" s="41">
        <v>46254.70833333333</v>
      </c>
      <c r="BC21" s="42">
        <f>IF(OR(KOL_Database!$J$21="",KOL_Database!$J$21=0,KOL_Database!$L$21=""),"",ROUND(KOL_Database!$L$21/KOL_Database!$J$21,3))</f>
      </c>
      <c r="BD21" s="38">
        <f>IF(OR(KOL_Database!$AP$21="",KOL_Database!$AP$21=0,Lookup_Lists!$D$149=0),"",MIN(100,ROUND(Lookup_Lists!$D$149/KOL_Database!$AP$21*100,0)))</f>
      </c>
      <c r="BE21" s="38">
        <f>ROUND((IF(KOL_Database!$J$21="",0,1)+IF(KOL_Database!$K$21="",0,1)+IF(KOL_Database!$L$21="",0,1)+IF(KOL_Database!$M$21="",0,1)+IF(KOL_Database!$N$21="",0,1)+IF(KOL_Database!$O$21="",0,1)+IF(KOL_Database!$P$21="",0,1)+IF(KOL_Database!$R$21="",0,1)+IF(KOL_Database!$S$21="",0,1)+IF(KOL_Database!$AE$21="",0,1)+IF(KOL_Database!$AF$21="",0,1)+IF(KOL_Database!$AN$21="",0,1))/12*100,0)</f>
      </c>
      <c r="BF21" s="35">
        <f>IF(KOL_Database!$BE$21&gt;=Lookup_Lists!$D$159,"Live",IF(KOL_Database!$BE$21&gt;=Lookup_Lists!$D$160,"Calculated","Estimated"))</f>
      </c>
    </row>
    <row r="22" spans="1:58" x14ac:dyDescent="0.25">
      <c r="A22" s="35" t="s">
        <v>544</v>
      </c>
      <c r="B22" s="35" t="s">
        <v>545</v>
      </c>
      <c r="C22" s="35" t="s">
        <v>546</v>
      </c>
      <c r="D22" s="35" t="s">
        <v>412</v>
      </c>
      <c r="E22" s="35" t="s">
        <v>538</v>
      </c>
      <c r="F22" s="35" t="s">
        <v>547</v>
      </c>
      <c r="G22" s="35">
        <f>IFERROR(INDEX(Lookup_Lists!$A$96:$A$100,MATCH(KOL_Database!$J$22,Lookup_Lists!$B$96:$B$100,1)),"")</f>
      </c>
      <c r="H22" s="35" t="s">
        <v>249</v>
      </c>
      <c r="I22" s="35" t="s">
        <v>429</v>
      </c>
      <c r="J22" s="36">
        <v>72000</v>
      </c>
      <c r="K22" s="37">
        <v>6.9</v>
      </c>
      <c r="L22" s="36">
        <v>78906</v>
      </c>
      <c r="M22" s="36">
        <v>60692</v>
      </c>
      <c r="N22" s="37">
        <v>1.8</v>
      </c>
      <c r="O22" s="37"/>
      <c r="P22" s="38">
        <v>79</v>
      </c>
      <c r="Q22" s="38">
        <v>74</v>
      </c>
      <c r="R22" s="38">
        <v>82</v>
      </c>
      <c r="S22" s="38">
        <v>75</v>
      </c>
      <c r="T22" s="39">
        <v>1.34</v>
      </c>
      <c r="U22" s="39">
        <v>3.01</v>
      </c>
      <c r="V22" s="38">
        <v>76</v>
      </c>
      <c r="W22" s="38">
        <v>8</v>
      </c>
      <c r="X22" s="38">
        <v>38</v>
      </c>
      <c r="Y22" s="38">
        <v>34</v>
      </c>
      <c r="Z22" s="38">
        <v>14</v>
      </c>
      <c r="AA22" s="38">
        <v>6</v>
      </c>
      <c r="AB22" s="38">
        <v>45</v>
      </c>
      <c r="AC22" s="38">
        <v>55</v>
      </c>
      <c r="AD22" s="35" t="s">
        <v>137</v>
      </c>
      <c r="AE22" s="35" t="s">
        <v>430</v>
      </c>
      <c r="AF22" s="35" t="s">
        <v>429</v>
      </c>
      <c r="AG22" s="35" t="s">
        <v>548</v>
      </c>
      <c r="AH22" s="35" t="s">
        <v>416</v>
      </c>
      <c r="AI22" s="35" t="s">
        <v>549</v>
      </c>
      <c r="AJ22" s="35" t="s">
        <v>525</v>
      </c>
      <c r="AK22" s="35" t="s">
        <v>550</v>
      </c>
      <c r="AL22" s="35" t="s">
        <v>551</v>
      </c>
      <c r="AM22" s="38">
        <v>81</v>
      </c>
      <c r="AN22" s="36">
        <v>3178000</v>
      </c>
      <c r="AO22" s="40">
        <f>IF(OR(KOL_Database!$AN$22="",KOL_Database!$AN$22=0,KOL_Database!$L$22="",KOL_Database!$L$22=0),"",ROUND(KOL_Database!$AN$22/KOL_Database!$L$22,2))</f>
      </c>
      <c r="AP22" s="36">
        <f>IF(OR(KOL_Database!$AN$22="",KOL_Database!$AN$22=0,KOL_Database!$L$22="",KOL_Database!$L$22=0,KOL_Database!$K$22="",KOL_Database!$K$22=0),"",ROUND(KOL_Database!$AN$22/(KOL_Database!$L$22*KOL_Database!$K$22/100),0))</f>
      </c>
      <c r="AQ22" s="36">
        <f>IF(OR(KOL_Database!$AN$22="",KOL_Database!$AN$22=0,KOL_Database!$J$22="",KOL_Database!$J$22=0),"",ROUND(KOL_Database!$AN$22/KOL_Database!$J$22*1000,0))</f>
      </c>
      <c r="AR22" s="36">
        <f>IF(OR(KOL_Database!$L$22="",KOL_Database!$J$22=""),"",ROUND(KOL_Database!$L$22*Lookup_Lists!$D$147+KOL_Database!$J$22*Lookup_Lists!$D$148,0))</f>
      </c>
      <c r="AS22" s="39">
        <f>IF(OR(KOL_Database!$AN$22="",KOL_Database!$AN$22=0,KOL_Database!$AR$22=""),"",ROUND(KOL_Database!$AR$22*KOL_Database!$K$22/100*Lookup_Lists!$D$146/KOL_Database!$AN$22,2))</f>
      </c>
      <c r="AT22" s="38">
        <v>86</v>
      </c>
      <c r="AU22" s="38">
        <v>47</v>
      </c>
      <c r="AV22" s="35" t="s">
        <v>408</v>
      </c>
      <c r="AW22" s="35" t="s">
        <v>249</v>
      </c>
      <c r="AX22" s="35" t="s">
        <v>249</v>
      </c>
      <c r="AY22" s="35" t="s">
        <v>249</v>
      </c>
      <c r="AZ22" s="35" t="s">
        <v>249</v>
      </c>
      <c r="BA22" s="41">
        <v>46042.70833333333</v>
      </c>
      <c r="BB22" s="41">
        <v>46262.70833333333</v>
      </c>
      <c r="BC22" s="42">
        <f>IF(OR(KOL_Database!$J$22="",KOL_Database!$J$22=0,KOL_Database!$L$22=""),"",ROUND(KOL_Database!$L$22/KOL_Database!$J$22,3))</f>
      </c>
      <c r="BD22" s="38">
        <f>IF(OR(KOL_Database!$AP$22="",KOL_Database!$AP$22=0,Lookup_Lists!$D$149=0),"",MIN(100,ROUND(Lookup_Lists!$D$149/KOL_Database!$AP$22*100,0)))</f>
      </c>
      <c r="BE22" s="38">
        <f>ROUND((IF(KOL_Database!$J$22="",0,1)+IF(KOL_Database!$K$22="",0,1)+IF(KOL_Database!$L$22="",0,1)+IF(KOL_Database!$M$22="",0,1)+IF(KOL_Database!$N$22="",0,1)+IF(KOL_Database!$O$22="",0,1)+IF(KOL_Database!$P$22="",0,1)+IF(KOL_Database!$R$22="",0,1)+IF(KOL_Database!$S$22="",0,1)+IF(KOL_Database!$AE$22="",0,1)+IF(KOL_Database!$AF$22="",0,1)+IF(KOL_Database!$AN$22="",0,1))/12*100,0)</f>
      </c>
      <c r="BF22" s="35">
        <f>IF(KOL_Database!$BE$22&gt;=Lookup_Lists!$D$159,"Live",IF(KOL_Database!$BE$22&gt;=Lookup_Lists!$D$160,"Calculated","Estimated"))</f>
      </c>
    </row>
    <row r="23" spans="1:58" x14ac:dyDescent="0.25">
      <c r="A23" s="35" t="s">
        <v>552</v>
      </c>
      <c r="B23" s="35" t="s">
        <v>553</v>
      </c>
      <c r="C23" s="35" t="s">
        <v>554</v>
      </c>
      <c r="D23" s="35" t="s">
        <v>402</v>
      </c>
      <c r="E23" s="35" t="s">
        <v>555</v>
      </c>
      <c r="F23" s="35" t="s">
        <v>556</v>
      </c>
      <c r="G23" s="35">
        <f>IFERROR(INDEX(Lookup_Lists!$A$96:$A$100,MATCH(KOL_Database!$J$23,Lookup_Lists!$B$96:$B$100,1)),"")</f>
      </c>
      <c r="H23" s="35" t="s">
        <v>253</v>
      </c>
      <c r="I23" s="35" t="s">
        <v>557</v>
      </c>
      <c r="J23" s="36">
        <v>134000</v>
      </c>
      <c r="K23" s="37">
        <v>4.6</v>
      </c>
      <c r="L23" s="36">
        <v>45915</v>
      </c>
      <c r="M23" s="36">
        <v>35162</v>
      </c>
      <c r="N23" s="37">
        <v>0.7</v>
      </c>
      <c r="O23" s="37">
        <v>1.5</v>
      </c>
      <c r="P23" s="38">
        <v>52</v>
      </c>
      <c r="Q23" s="38">
        <v>47</v>
      </c>
      <c r="R23" s="38">
        <v>79</v>
      </c>
      <c r="S23" s="38">
        <v>66</v>
      </c>
      <c r="T23" s="39">
        <v>1.66</v>
      </c>
      <c r="U23" s="39">
        <v>2.96</v>
      </c>
      <c r="V23" s="38">
        <v>75</v>
      </c>
      <c r="W23" s="38">
        <v>1</v>
      </c>
      <c r="X23" s="38">
        <v>24</v>
      </c>
      <c r="Y23" s="38">
        <v>48</v>
      </c>
      <c r="Z23" s="38">
        <v>20</v>
      </c>
      <c r="AA23" s="38">
        <v>7</v>
      </c>
      <c r="AB23" s="38">
        <v>75</v>
      </c>
      <c r="AC23" s="38">
        <v>25</v>
      </c>
      <c r="AD23" s="35" t="s">
        <v>137</v>
      </c>
      <c r="AE23" s="35" t="s">
        <v>414</v>
      </c>
      <c r="AF23" s="35" t="s">
        <v>557</v>
      </c>
      <c r="AG23" s="35" t="s">
        <v>558</v>
      </c>
      <c r="AH23" s="35" t="s">
        <v>405</v>
      </c>
      <c r="AI23" s="35" t="s">
        <v>559</v>
      </c>
      <c r="AJ23" s="35" t="s">
        <v>191</v>
      </c>
      <c r="AK23" s="35" t="s">
        <v>233</v>
      </c>
      <c r="AL23" s="35" t="s">
        <v>560</v>
      </c>
      <c r="AM23" s="38">
        <v>81</v>
      </c>
      <c r="AN23" s="36">
        <v>4242000</v>
      </c>
      <c r="AO23" s="40">
        <f>IF(OR(KOL_Database!$AN$23="",KOL_Database!$AN$23=0,KOL_Database!$L$23="",KOL_Database!$L$23=0),"",ROUND(KOL_Database!$AN$23/KOL_Database!$L$23,2))</f>
      </c>
      <c r="AP23" s="36">
        <f>IF(OR(KOL_Database!$AN$23="",KOL_Database!$AN$23=0,KOL_Database!$L$23="",KOL_Database!$L$23=0,KOL_Database!$K$23="",KOL_Database!$K$23=0),"",ROUND(KOL_Database!$AN$23/(KOL_Database!$L$23*KOL_Database!$K$23/100),0))</f>
      </c>
      <c r="AQ23" s="36">
        <f>IF(OR(KOL_Database!$AN$23="",KOL_Database!$AN$23=0,KOL_Database!$J$23="",KOL_Database!$J$23=0),"",ROUND(KOL_Database!$AN$23/KOL_Database!$J$23*1000,0))</f>
      </c>
      <c r="AR23" s="36">
        <f>IF(OR(KOL_Database!$L$23="",KOL_Database!$J$23=""),"",ROUND(KOL_Database!$L$23*Lookup_Lists!$D$147+KOL_Database!$J$23*Lookup_Lists!$D$148,0))</f>
      </c>
      <c r="AS23" s="39">
        <f>IF(OR(KOL_Database!$AN$23="",KOL_Database!$AN$23=0,KOL_Database!$AR$23=""),"",ROUND(KOL_Database!$AR$23*KOL_Database!$K$23/100*Lookup_Lists!$D$146/KOL_Database!$AN$23,2))</f>
      </c>
      <c r="AT23" s="38">
        <v>86</v>
      </c>
      <c r="AU23" s="38">
        <v>48</v>
      </c>
      <c r="AV23" s="35" t="s">
        <v>408</v>
      </c>
      <c r="AW23" s="35" t="s">
        <v>249</v>
      </c>
      <c r="AX23" s="35" t="s">
        <v>249</v>
      </c>
      <c r="AY23" s="35" t="s">
        <v>249</v>
      </c>
      <c r="AZ23" s="35" t="s">
        <v>249</v>
      </c>
      <c r="BA23" s="41">
        <v>46079.70833333333</v>
      </c>
      <c r="BB23" s="41">
        <v>46255.70833333333</v>
      </c>
      <c r="BC23" s="42">
        <f>IF(OR(KOL_Database!$J$23="",KOL_Database!$J$23=0,KOL_Database!$L$23=""),"",ROUND(KOL_Database!$L$23/KOL_Database!$J$23,3))</f>
      </c>
      <c r="BD23" s="38">
        <f>IF(OR(KOL_Database!$AP$23="",KOL_Database!$AP$23=0,Lookup_Lists!$D$149=0),"",MIN(100,ROUND(Lookup_Lists!$D$149/KOL_Database!$AP$23*100,0)))</f>
      </c>
      <c r="BE23" s="38">
        <f>ROUND((IF(KOL_Database!$J$23="",0,1)+IF(KOL_Database!$K$23="",0,1)+IF(KOL_Database!$L$23="",0,1)+IF(KOL_Database!$M$23="",0,1)+IF(KOL_Database!$N$23="",0,1)+IF(KOL_Database!$O$23="",0,1)+IF(KOL_Database!$P$23="",0,1)+IF(KOL_Database!$R$23="",0,1)+IF(KOL_Database!$S$23="",0,1)+IF(KOL_Database!$AE$23="",0,1)+IF(KOL_Database!$AF$23="",0,1)+IF(KOL_Database!$AN$23="",0,1))/12*100,0)</f>
      </c>
      <c r="BF23" s="35">
        <f>IF(KOL_Database!$BE$23&gt;=Lookup_Lists!$D$159,"Live",IF(KOL_Database!$BE$23&gt;=Lookup_Lists!$D$160,"Calculated","Estimated"))</f>
      </c>
    </row>
    <row r="24" spans="1:58" x14ac:dyDescent="0.25">
      <c r="A24" s="35" t="s">
        <v>561</v>
      </c>
      <c r="B24" s="35" t="s">
        <v>562</v>
      </c>
      <c r="C24" s="35" t="s">
        <v>563</v>
      </c>
      <c r="D24" s="35" t="s">
        <v>412</v>
      </c>
      <c r="E24" s="35" t="s">
        <v>555</v>
      </c>
      <c r="F24" s="35" t="s">
        <v>564</v>
      </c>
      <c r="G24" s="35">
        <f>IFERROR(INDEX(Lookup_Lists!$A$96:$A$100,MATCH(KOL_Database!$J$24,Lookup_Lists!$B$96:$B$100,1)),"")</f>
      </c>
      <c r="H24" s="35" t="s">
        <v>249</v>
      </c>
      <c r="I24" s="35" t="s">
        <v>565</v>
      </c>
      <c r="J24" s="36">
        <v>89000</v>
      </c>
      <c r="K24" s="37">
        <v>5.4</v>
      </c>
      <c r="L24" s="36">
        <v>124509</v>
      </c>
      <c r="M24" s="36">
        <v>101100</v>
      </c>
      <c r="N24" s="37">
        <v>0.5</v>
      </c>
      <c r="O24" s="37">
        <v>1.7</v>
      </c>
      <c r="P24" s="38">
        <v>55</v>
      </c>
      <c r="Q24" s="38">
        <v>47</v>
      </c>
      <c r="R24" s="38">
        <v>85</v>
      </c>
      <c r="S24" s="38">
        <v>95</v>
      </c>
      <c r="T24" s="39">
        <v>1.74</v>
      </c>
      <c r="U24" s="39">
        <v>3.68</v>
      </c>
      <c r="V24" s="38">
        <v>86</v>
      </c>
      <c r="W24" s="38">
        <v>4</v>
      </c>
      <c r="X24" s="38">
        <v>15</v>
      </c>
      <c r="Y24" s="38">
        <v>36</v>
      </c>
      <c r="Z24" s="38">
        <v>29</v>
      </c>
      <c r="AA24" s="38">
        <v>16</v>
      </c>
      <c r="AB24" s="38">
        <v>53</v>
      </c>
      <c r="AC24" s="38">
        <v>47</v>
      </c>
      <c r="AD24" s="35" t="s">
        <v>137</v>
      </c>
      <c r="AE24" s="35" t="s">
        <v>414</v>
      </c>
      <c r="AF24" s="35" t="s">
        <v>565</v>
      </c>
      <c r="AG24" s="35" t="s">
        <v>566</v>
      </c>
      <c r="AH24" s="35" t="s">
        <v>416</v>
      </c>
      <c r="AI24" s="35" t="s">
        <v>567</v>
      </c>
      <c r="AJ24" s="35" t="s">
        <v>568</v>
      </c>
      <c r="AK24" s="35" t="s">
        <v>569</v>
      </c>
      <c r="AL24" s="35" t="s">
        <v>570</v>
      </c>
      <c r="AM24" s="38">
        <v>88</v>
      </c>
      <c r="AN24" s="36">
        <v>2239000</v>
      </c>
      <c r="AO24" s="40">
        <f>IF(OR(KOL_Database!$AN$24="",KOL_Database!$AN$24=0,KOL_Database!$L$24="",KOL_Database!$L$24=0),"",ROUND(KOL_Database!$AN$24/KOL_Database!$L$24,2))</f>
      </c>
      <c r="AP24" s="36">
        <f>IF(OR(KOL_Database!$AN$24="",KOL_Database!$AN$24=0,KOL_Database!$L$24="",KOL_Database!$L$24=0,KOL_Database!$K$24="",KOL_Database!$K$24=0),"",ROUND(KOL_Database!$AN$24/(KOL_Database!$L$24*KOL_Database!$K$24/100),0))</f>
      </c>
      <c r="AQ24" s="36">
        <f>IF(OR(KOL_Database!$AN$24="",KOL_Database!$AN$24=0,KOL_Database!$J$24="",KOL_Database!$J$24=0),"",ROUND(KOL_Database!$AN$24/KOL_Database!$J$24*1000,0))</f>
      </c>
      <c r="AR24" s="36">
        <f>IF(OR(KOL_Database!$L$24="",KOL_Database!$J$24=""),"",ROUND(KOL_Database!$L$24*Lookup_Lists!$D$147+KOL_Database!$J$24*Lookup_Lists!$D$148,0))</f>
      </c>
      <c r="AS24" s="39">
        <f>IF(OR(KOL_Database!$AN$24="",KOL_Database!$AN$24=0,KOL_Database!$AR$24=""),"",ROUND(KOL_Database!$AR$24*KOL_Database!$K$24/100*Lookup_Lists!$D$146/KOL_Database!$AN$24,2))</f>
      </c>
      <c r="AT24" s="38">
        <v>92</v>
      </c>
      <c r="AU24" s="38">
        <v>58</v>
      </c>
      <c r="AV24" s="35" t="s">
        <v>408</v>
      </c>
      <c r="AW24" s="35" t="s">
        <v>249</v>
      </c>
      <c r="AX24" s="35" t="s">
        <v>249</v>
      </c>
      <c r="AY24" s="35" t="s">
        <v>249</v>
      </c>
      <c r="AZ24" s="35" t="s">
        <v>249</v>
      </c>
      <c r="BA24" s="41">
        <v>46166.70833333333</v>
      </c>
      <c r="BB24" s="41">
        <v>46241.70833333333</v>
      </c>
      <c r="BC24" s="42">
        <f>IF(OR(KOL_Database!$J$24="",KOL_Database!$J$24=0,KOL_Database!$L$24=""),"",ROUND(KOL_Database!$L$24/KOL_Database!$J$24,3))</f>
      </c>
      <c r="BD24" s="38">
        <f>IF(OR(KOL_Database!$AP$24="",KOL_Database!$AP$24=0,Lookup_Lists!$D$149=0),"",MIN(100,ROUND(Lookup_Lists!$D$149/KOL_Database!$AP$24*100,0)))</f>
      </c>
      <c r="BE24" s="38">
        <f>ROUND((IF(KOL_Database!$J$24="",0,1)+IF(KOL_Database!$K$24="",0,1)+IF(KOL_Database!$L$24="",0,1)+IF(KOL_Database!$M$24="",0,1)+IF(KOL_Database!$N$24="",0,1)+IF(KOL_Database!$O$24="",0,1)+IF(KOL_Database!$P$24="",0,1)+IF(KOL_Database!$R$24="",0,1)+IF(KOL_Database!$S$24="",0,1)+IF(KOL_Database!$AE$24="",0,1)+IF(KOL_Database!$AF$24="",0,1)+IF(KOL_Database!$AN$24="",0,1))/12*100,0)</f>
      </c>
      <c r="BF24" s="35">
        <f>IF(KOL_Database!$BE$24&gt;=Lookup_Lists!$D$159,"Live",IF(KOL_Database!$BE$24&gt;=Lookup_Lists!$D$160,"Calculated","Estimated"))</f>
      </c>
    </row>
    <row r="25" spans="1:58" x14ac:dyDescent="0.25">
      <c r="A25" s="35" t="s">
        <v>571</v>
      </c>
      <c r="B25" s="35" t="s">
        <v>572</v>
      </c>
      <c r="C25" s="35" t="s">
        <v>573</v>
      </c>
      <c r="D25" s="35" t="s">
        <v>412</v>
      </c>
      <c r="E25" s="35" t="s">
        <v>574</v>
      </c>
      <c r="F25" s="35" t="s">
        <v>575</v>
      </c>
      <c r="G25" s="35">
        <f>IFERROR(INDEX(Lookup_Lists!$A$96:$A$100,MATCH(KOL_Database!$J$25,Lookup_Lists!$B$96:$B$100,1)),"")</f>
      </c>
      <c r="H25" s="35" t="s">
        <v>253</v>
      </c>
      <c r="I25" s="35" t="s">
        <v>146</v>
      </c>
      <c r="J25" s="36">
        <v>1240000</v>
      </c>
      <c r="K25" s="37">
        <v>9.2</v>
      </c>
      <c r="L25" s="36">
        <v>1287497</v>
      </c>
      <c r="M25" s="36">
        <v>977803</v>
      </c>
      <c r="N25" s="37">
        <v>2.2</v>
      </c>
      <c r="O25" s="37">
        <v>6.7</v>
      </c>
      <c r="P25" s="38">
        <v>63</v>
      </c>
      <c r="Q25" s="38">
        <v>52</v>
      </c>
      <c r="R25" s="38">
        <v>76</v>
      </c>
      <c r="S25" s="38">
        <v>83</v>
      </c>
      <c r="T25" s="39">
        <v>1.43</v>
      </c>
      <c r="U25" s="39">
        <v>2.34</v>
      </c>
      <c r="V25" s="38">
        <v>66</v>
      </c>
      <c r="W25" s="38">
        <v>12</v>
      </c>
      <c r="X25" s="38">
        <v>44</v>
      </c>
      <c r="Y25" s="38">
        <v>30</v>
      </c>
      <c r="Z25" s="38">
        <v>10</v>
      </c>
      <c r="AA25" s="38">
        <v>4</v>
      </c>
      <c r="AB25" s="38">
        <v>46</v>
      </c>
      <c r="AC25" s="38">
        <v>54</v>
      </c>
      <c r="AD25" s="35" t="s">
        <v>137</v>
      </c>
      <c r="AE25" s="35" t="s">
        <v>142</v>
      </c>
      <c r="AF25" s="35" t="s">
        <v>142</v>
      </c>
      <c r="AG25" s="35" t="s">
        <v>576</v>
      </c>
      <c r="AH25" s="35" t="s">
        <v>442</v>
      </c>
      <c r="AI25" s="35" t="s">
        <v>577</v>
      </c>
      <c r="AJ25" s="35" t="s">
        <v>575</v>
      </c>
      <c r="AK25" s="35" t="s">
        <v>569</v>
      </c>
      <c r="AL25" s="35" t="s">
        <v>578</v>
      </c>
      <c r="AM25" s="38">
        <v>75</v>
      </c>
      <c r="AN25" s="36">
        <v>65830000</v>
      </c>
      <c r="AO25" s="40">
        <f>IF(OR(KOL_Database!$AN$25="",KOL_Database!$AN$25=0,KOL_Database!$L$25="",KOL_Database!$L$25=0),"",ROUND(KOL_Database!$AN$25/KOL_Database!$L$25,2))</f>
      </c>
      <c r="AP25" s="36">
        <f>IF(OR(KOL_Database!$AN$25="",KOL_Database!$AN$25=0,KOL_Database!$L$25="",KOL_Database!$L$25=0,KOL_Database!$K$25="",KOL_Database!$K$25=0),"",ROUND(KOL_Database!$AN$25/(KOL_Database!$L$25*KOL_Database!$K$25/100),0))</f>
      </c>
      <c r="AQ25" s="36">
        <f>IF(OR(KOL_Database!$AN$25="",KOL_Database!$AN$25=0,KOL_Database!$J$25="",KOL_Database!$J$25=0),"",ROUND(KOL_Database!$AN$25/KOL_Database!$J$25*1000,0))</f>
      </c>
      <c r="AR25" s="36">
        <f>IF(OR(KOL_Database!$L$25="",KOL_Database!$J$25=""),"",ROUND(KOL_Database!$L$25*Lookup_Lists!$D$147+KOL_Database!$J$25*Lookup_Lists!$D$148,0))</f>
      </c>
      <c r="AS25" s="39">
        <f>IF(OR(KOL_Database!$AN$25="",KOL_Database!$AN$25=0,KOL_Database!$AR$25=""),"",ROUND(KOL_Database!$AR$25*KOL_Database!$K$25/100*Lookup_Lists!$D$146/KOL_Database!$AN$25,2))</f>
      </c>
      <c r="AT25" s="38">
        <v>62</v>
      </c>
      <c r="AU25" s="38">
        <v>88</v>
      </c>
      <c r="AV25" s="35" t="s">
        <v>416</v>
      </c>
      <c r="AW25" s="35" t="s">
        <v>249</v>
      </c>
      <c r="AX25" s="35" t="s">
        <v>249</v>
      </c>
      <c r="AY25" s="35" t="s">
        <v>249</v>
      </c>
      <c r="AZ25" s="35" t="s">
        <v>249</v>
      </c>
      <c r="BA25" s="41">
        <v>46071.70833333333</v>
      </c>
      <c r="BB25" s="41">
        <v>46236.70833333333</v>
      </c>
      <c r="BC25" s="42">
        <f>IF(OR(KOL_Database!$J$25="",KOL_Database!$J$25=0,KOL_Database!$L$25=""),"",ROUND(KOL_Database!$L$25/KOL_Database!$J$25,3))</f>
      </c>
      <c r="BD25" s="38">
        <f>IF(OR(KOL_Database!$AP$25="",KOL_Database!$AP$25=0,Lookup_Lists!$D$149=0),"",MIN(100,ROUND(Lookup_Lists!$D$149/KOL_Database!$AP$25*100,0)))</f>
      </c>
      <c r="BE25" s="38">
        <f>ROUND((IF(KOL_Database!$J$25="",0,1)+IF(KOL_Database!$K$25="",0,1)+IF(KOL_Database!$L$25="",0,1)+IF(KOL_Database!$M$25="",0,1)+IF(KOL_Database!$N$25="",0,1)+IF(KOL_Database!$O$25="",0,1)+IF(KOL_Database!$P$25="",0,1)+IF(KOL_Database!$R$25="",0,1)+IF(KOL_Database!$S$25="",0,1)+IF(KOL_Database!$AE$25="",0,1)+IF(KOL_Database!$AF$25="",0,1)+IF(KOL_Database!$AN$25="",0,1))/12*100,0)</f>
      </c>
      <c r="BF25" s="35">
        <f>IF(KOL_Database!$BE$25&gt;=Lookup_Lists!$D$159,"Live",IF(KOL_Database!$BE$25&gt;=Lookup_Lists!$D$160,"Calculated","Estimated"))</f>
      </c>
    </row>
    <row r="26" spans="1:58" x14ac:dyDescent="0.25">
      <c r="A26" s="35" t="s">
        <v>579</v>
      </c>
      <c r="B26" s="35" t="s">
        <v>580</v>
      </c>
      <c r="C26" s="35" t="s">
        <v>581</v>
      </c>
      <c r="D26" s="35" t="s">
        <v>402</v>
      </c>
      <c r="E26" s="35" t="s">
        <v>574</v>
      </c>
      <c r="F26" s="35" t="s">
        <v>582</v>
      </c>
      <c r="G26" s="35">
        <f>IFERROR(INDEX(Lookup_Lists!$A$96:$A$100,MATCH(KOL_Database!$J$26,Lookup_Lists!$B$96:$B$100,1)),"")</f>
      </c>
      <c r="H26" s="35" t="s">
        <v>253</v>
      </c>
      <c r="I26" s="35" t="s">
        <v>146</v>
      </c>
      <c r="J26" s="36">
        <v>420000</v>
      </c>
      <c r="K26" s="37">
        <v>3.6</v>
      </c>
      <c r="L26" s="36">
        <v>129874</v>
      </c>
      <c r="M26" s="36">
        <v>96335</v>
      </c>
      <c r="N26" s="37">
        <v>2.4</v>
      </c>
      <c r="O26" s="37">
        <v>5.7</v>
      </c>
      <c r="P26" s="38">
        <v>74</v>
      </c>
      <c r="Q26" s="38">
        <v>69</v>
      </c>
      <c r="R26" s="38">
        <v>75</v>
      </c>
      <c r="S26" s="38">
        <v>74</v>
      </c>
      <c r="T26" s="39">
        <v>1.14</v>
      </c>
      <c r="U26" s="39">
        <v>2.58</v>
      </c>
      <c r="V26" s="38">
        <v>72</v>
      </c>
      <c r="W26" s="38">
        <v>11</v>
      </c>
      <c r="X26" s="38">
        <v>47</v>
      </c>
      <c r="Y26" s="38">
        <v>31</v>
      </c>
      <c r="Z26" s="38">
        <v>9</v>
      </c>
      <c r="AA26" s="38">
        <v>2</v>
      </c>
      <c r="AB26" s="38">
        <v>66</v>
      </c>
      <c r="AC26" s="38">
        <v>34</v>
      </c>
      <c r="AD26" s="35" t="s">
        <v>137</v>
      </c>
      <c r="AE26" s="35" t="s">
        <v>142</v>
      </c>
      <c r="AF26" s="35" t="s">
        <v>146</v>
      </c>
      <c r="AG26" s="35" t="s">
        <v>583</v>
      </c>
      <c r="AH26" s="35" t="s">
        <v>442</v>
      </c>
      <c r="AI26" s="35" t="s">
        <v>584</v>
      </c>
      <c r="AJ26" s="35" t="s">
        <v>509</v>
      </c>
      <c r="AK26" s="35" t="s">
        <v>434</v>
      </c>
      <c r="AL26" s="35" t="s">
        <v>585</v>
      </c>
      <c r="AM26" s="38">
        <v>78</v>
      </c>
      <c r="AN26" s="36">
        <v>16589000</v>
      </c>
      <c r="AO26" s="40">
        <f>IF(OR(KOL_Database!$AN$26="",KOL_Database!$AN$26=0,KOL_Database!$L$26="",KOL_Database!$L$26=0),"",ROUND(KOL_Database!$AN$26/KOL_Database!$L$26,2))</f>
      </c>
      <c r="AP26" s="36">
        <f>IF(OR(KOL_Database!$AN$26="",KOL_Database!$AN$26=0,KOL_Database!$L$26="",KOL_Database!$L$26=0,KOL_Database!$K$26="",KOL_Database!$K$26=0),"",ROUND(KOL_Database!$AN$26/(KOL_Database!$L$26*KOL_Database!$K$26/100),0))</f>
      </c>
      <c r="AQ26" s="36">
        <f>IF(OR(KOL_Database!$AN$26="",KOL_Database!$AN$26=0,KOL_Database!$J$26="",KOL_Database!$J$26=0),"",ROUND(KOL_Database!$AN$26/KOL_Database!$J$26*1000,0))</f>
      </c>
      <c r="AR26" s="36">
        <f>IF(OR(KOL_Database!$L$26="",KOL_Database!$J$26=""),"",ROUND(KOL_Database!$L$26*Lookup_Lists!$D$147+KOL_Database!$J$26*Lookup_Lists!$D$148,0))</f>
      </c>
      <c r="AS26" s="39">
        <f>IF(OR(KOL_Database!$AN$26="",KOL_Database!$AN$26=0,KOL_Database!$AR$26=""),"",ROUND(KOL_Database!$AR$26*KOL_Database!$K$26/100*Lookup_Lists!$D$146/KOL_Database!$AN$26,2))</f>
      </c>
      <c r="AT26" s="38">
        <v>55</v>
      </c>
      <c r="AU26" s="38">
        <v>40</v>
      </c>
      <c r="AV26" s="35" t="s">
        <v>405</v>
      </c>
      <c r="AW26" s="35" t="s">
        <v>249</v>
      </c>
      <c r="AX26" s="35" t="s">
        <v>249</v>
      </c>
      <c r="AY26" s="35" t="s">
        <v>249</v>
      </c>
      <c r="AZ26" s="35" t="s">
        <v>253</v>
      </c>
      <c r="BA26" s="41">
        <v>46113.70833333333</v>
      </c>
      <c r="BB26" s="41">
        <v>46271.70833333333</v>
      </c>
      <c r="BC26" s="42">
        <f>IF(OR(KOL_Database!$J$26="",KOL_Database!$J$26=0,KOL_Database!$L$26=""),"",ROUND(KOL_Database!$L$26/KOL_Database!$J$26,3))</f>
      </c>
      <c r="BD26" s="38">
        <f>IF(OR(KOL_Database!$AP$26="",KOL_Database!$AP$26=0,Lookup_Lists!$D$149=0),"",MIN(100,ROUND(Lookup_Lists!$D$149/KOL_Database!$AP$26*100,0)))</f>
      </c>
      <c r="BE26" s="38">
        <f>ROUND((IF(KOL_Database!$J$26="",0,1)+IF(KOL_Database!$K$26="",0,1)+IF(KOL_Database!$L$26="",0,1)+IF(KOL_Database!$M$26="",0,1)+IF(KOL_Database!$N$26="",0,1)+IF(KOL_Database!$O$26="",0,1)+IF(KOL_Database!$P$26="",0,1)+IF(KOL_Database!$R$26="",0,1)+IF(KOL_Database!$S$26="",0,1)+IF(KOL_Database!$AE$26="",0,1)+IF(KOL_Database!$AF$26="",0,1)+IF(KOL_Database!$AN$26="",0,1))/12*100,0)</f>
      </c>
      <c r="BF26" s="35">
        <f>IF(KOL_Database!$BE$26&gt;=Lookup_Lists!$D$159,"Live",IF(KOL_Database!$BE$26&gt;=Lookup_Lists!$D$160,"Calculated","Estimated"))</f>
      </c>
    </row>
    <row r="27" spans="1:58" x14ac:dyDescent="0.25">
      <c r="A27" s="35" t="s">
        <v>586</v>
      </c>
      <c r="B27" s="35" t="s">
        <v>587</v>
      </c>
      <c r="C27" s="35" t="s">
        <v>588</v>
      </c>
      <c r="D27" s="35" t="s">
        <v>412</v>
      </c>
      <c r="E27" s="35" t="s">
        <v>589</v>
      </c>
      <c r="F27" s="35" t="s">
        <v>590</v>
      </c>
      <c r="G27" s="35">
        <f>IFERROR(INDEX(Lookup_Lists!$A$96:$A$100,MATCH(KOL_Database!$J$27,Lookup_Lists!$B$96:$B$100,1)),"")</f>
      </c>
      <c r="H27" s="35" t="s">
        <v>253</v>
      </c>
      <c r="I27" s="35" t="s">
        <v>429</v>
      </c>
      <c r="J27" s="36">
        <v>640000</v>
      </c>
      <c r="K27" s="37">
        <v>7.8</v>
      </c>
      <c r="L27" s="36">
        <v>579030</v>
      </c>
      <c r="M27" s="36">
        <v>417940</v>
      </c>
      <c r="N27" s="37">
        <v>3.2</v>
      </c>
      <c r="O27" s="37">
        <v>8.1</v>
      </c>
      <c r="P27" s="38">
        <v>93</v>
      </c>
      <c r="Q27" s="38">
        <v>48</v>
      </c>
      <c r="R27" s="38">
        <v>73</v>
      </c>
      <c r="S27" s="38">
        <v>80</v>
      </c>
      <c r="T27" s="39">
        <v>1.25</v>
      </c>
      <c r="U27" s="39">
        <v>2.27</v>
      </c>
      <c r="V27" s="38">
        <v>67</v>
      </c>
      <c r="W27" s="38">
        <v>13</v>
      </c>
      <c r="X27" s="38">
        <v>42</v>
      </c>
      <c r="Y27" s="38">
        <v>29</v>
      </c>
      <c r="Z27" s="38">
        <v>11</v>
      </c>
      <c r="AA27" s="38">
        <v>5</v>
      </c>
      <c r="AB27" s="38">
        <v>28</v>
      </c>
      <c r="AC27" s="38">
        <v>72</v>
      </c>
      <c r="AD27" s="35" t="s">
        <v>137</v>
      </c>
      <c r="AE27" s="35" t="s">
        <v>142</v>
      </c>
      <c r="AF27" s="35" t="s">
        <v>429</v>
      </c>
      <c r="AG27" s="35" t="s">
        <v>591</v>
      </c>
      <c r="AH27" s="35" t="s">
        <v>416</v>
      </c>
      <c r="AI27" s="35" t="s">
        <v>592</v>
      </c>
      <c r="AJ27" s="35" t="s">
        <v>568</v>
      </c>
      <c r="AK27" s="35" t="s">
        <v>568</v>
      </c>
      <c r="AL27" s="35" t="s">
        <v>593</v>
      </c>
      <c r="AM27" s="38">
        <v>75</v>
      </c>
      <c r="AN27" s="36">
        <v>29793000</v>
      </c>
      <c r="AO27" s="40">
        <f>IF(OR(KOL_Database!$AN$27="",KOL_Database!$AN$27=0,KOL_Database!$L$27="",KOL_Database!$L$27=0),"",ROUND(KOL_Database!$AN$27/KOL_Database!$L$27,2))</f>
      </c>
      <c r="AP27" s="36">
        <f>IF(OR(KOL_Database!$AN$27="",KOL_Database!$AN$27=0,KOL_Database!$L$27="",KOL_Database!$L$27=0,KOL_Database!$K$27="",KOL_Database!$K$27=0),"",ROUND(KOL_Database!$AN$27/(KOL_Database!$L$27*KOL_Database!$K$27/100),0))</f>
      </c>
      <c r="AQ27" s="36">
        <f>IF(OR(KOL_Database!$AN$27="",KOL_Database!$AN$27=0,KOL_Database!$J$27="",KOL_Database!$J$27=0),"",ROUND(KOL_Database!$AN$27/KOL_Database!$J$27*1000,0))</f>
      </c>
      <c r="AR27" s="36">
        <f>IF(OR(KOL_Database!$L$27="",KOL_Database!$J$27=""),"",ROUND(KOL_Database!$L$27*Lookup_Lists!$D$147+KOL_Database!$J$27*Lookup_Lists!$D$148,0))</f>
      </c>
      <c r="AS27" s="39">
        <f>IF(OR(KOL_Database!$AN$27="",KOL_Database!$AN$27=0,KOL_Database!$AR$27=""),"",ROUND(KOL_Database!$AR$27*KOL_Database!$K$27/100*Lookup_Lists!$D$146/KOL_Database!$AN$27,2))</f>
      </c>
      <c r="AT27" s="38">
        <v>82</v>
      </c>
      <c r="AU27" s="38">
        <v>35</v>
      </c>
      <c r="AV27" s="35" t="s">
        <v>408</v>
      </c>
      <c r="AW27" s="35" t="s">
        <v>249</v>
      </c>
      <c r="AX27" s="35" t="s">
        <v>253</v>
      </c>
      <c r="AY27" s="35" t="s">
        <v>249</v>
      </c>
      <c r="AZ27" s="35" t="s">
        <v>249</v>
      </c>
      <c r="BA27" s="41">
        <v>46112.70833333333</v>
      </c>
      <c r="BB27" s="41">
        <v>46255.70833333333</v>
      </c>
      <c r="BC27" s="42">
        <f>IF(OR(KOL_Database!$J$27="",KOL_Database!$J$27=0,KOL_Database!$L$27=""),"",ROUND(KOL_Database!$L$27/KOL_Database!$J$27,3))</f>
      </c>
      <c r="BD27" s="38">
        <f>IF(OR(KOL_Database!$AP$27="",KOL_Database!$AP$27=0,Lookup_Lists!$D$149=0),"",MIN(100,ROUND(Lookup_Lists!$D$149/KOL_Database!$AP$27*100,0)))</f>
      </c>
      <c r="BE27" s="38">
        <f>ROUND((IF(KOL_Database!$J$27="",0,1)+IF(KOL_Database!$K$27="",0,1)+IF(KOL_Database!$L$27="",0,1)+IF(KOL_Database!$M$27="",0,1)+IF(KOL_Database!$N$27="",0,1)+IF(KOL_Database!$O$27="",0,1)+IF(KOL_Database!$P$27="",0,1)+IF(KOL_Database!$R$27="",0,1)+IF(KOL_Database!$S$27="",0,1)+IF(KOL_Database!$AE$27="",0,1)+IF(KOL_Database!$AF$27="",0,1)+IF(KOL_Database!$AN$27="",0,1))/12*100,0)</f>
      </c>
      <c r="BF27" s="35">
        <f>IF(KOL_Database!$BE$27&gt;=Lookup_Lists!$D$159,"Live",IF(KOL_Database!$BE$27&gt;=Lookup_Lists!$D$160,"Calculated","Estimated"))</f>
      </c>
    </row>
    <row r="28" spans="1:58" x14ac:dyDescent="0.25">
      <c r="A28" s="35" t="s">
        <v>594</v>
      </c>
      <c r="B28" s="35" t="s">
        <v>595</v>
      </c>
      <c r="C28" s="35" t="s">
        <v>596</v>
      </c>
      <c r="D28" s="35" t="s">
        <v>402</v>
      </c>
      <c r="E28" s="35" t="s">
        <v>589</v>
      </c>
      <c r="F28" s="35" t="s">
        <v>597</v>
      </c>
      <c r="G28" s="35">
        <f>IFERROR(INDEX(Lookup_Lists!$A$96:$A$100,MATCH(KOL_Database!$J$28,Lookup_Lists!$B$96:$B$100,1)),"")</f>
      </c>
      <c r="H28" s="35" t="s">
        <v>249</v>
      </c>
      <c r="I28" s="35" t="s">
        <v>598</v>
      </c>
      <c r="J28" s="36">
        <v>51000</v>
      </c>
      <c r="K28" s="37">
        <v>4.2</v>
      </c>
      <c r="L28" s="36">
        <v>15813</v>
      </c>
      <c r="M28" s="36">
        <v>11551</v>
      </c>
      <c r="N28" s="37">
        <v>3.5</v>
      </c>
      <c r="O28" s="37">
        <v>9.2</v>
      </c>
      <c r="P28" s="38">
        <v>62</v>
      </c>
      <c r="Q28" s="38">
        <v>58</v>
      </c>
      <c r="R28" s="38">
        <v>74</v>
      </c>
      <c r="S28" s="38">
        <v>74</v>
      </c>
      <c r="T28" s="39">
        <v>1.36</v>
      </c>
      <c r="U28" s="39">
        <v>2.4</v>
      </c>
      <c r="V28" s="38">
        <v>67</v>
      </c>
      <c r="W28" s="38">
        <v>8</v>
      </c>
      <c r="X28" s="38">
        <v>38</v>
      </c>
      <c r="Y28" s="38">
        <v>34</v>
      </c>
      <c r="Z28" s="38">
        <v>14</v>
      </c>
      <c r="AA28" s="38">
        <v>6</v>
      </c>
      <c r="AB28" s="38">
        <v>29</v>
      </c>
      <c r="AC28" s="38">
        <v>71</v>
      </c>
      <c r="AD28" s="35" t="s">
        <v>137</v>
      </c>
      <c r="AE28" s="35" t="s">
        <v>599</v>
      </c>
      <c r="AF28" s="35"/>
      <c r="AG28" s="35" t="s">
        <v>600</v>
      </c>
      <c r="AH28" s="35" t="s">
        <v>405</v>
      </c>
      <c r="AI28" s="35" t="s">
        <v>601</v>
      </c>
      <c r="AJ28" s="35" t="s">
        <v>491</v>
      </c>
      <c r="AK28" s="35" t="s">
        <v>602</v>
      </c>
      <c r="AL28" s="35" t="s">
        <v>603</v>
      </c>
      <c r="AM28" s="38">
        <v>76</v>
      </c>
      <c r="AN28" s="36">
        <v>2350000</v>
      </c>
      <c r="AO28" s="40">
        <f>IF(OR(KOL_Database!$AN$28="",KOL_Database!$AN$28=0,KOL_Database!$L$28="",KOL_Database!$L$28=0),"",ROUND(KOL_Database!$AN$28/KOL_Database!$L$28,2))</f>
      </c>
      <c r="AP28" s="36">
        <f>IF(OR(KOL_Database!$AN$28="",KOL_Database!$AN$28=0,KOL_Database!$L$28="",KOL_Database!$L$28=0,KOL_Database!$K$28="",KOL_Database!$K$28=0),"",ROUND(KOL_Database!$AN$28/(KOL_Database!$L$28*KOL_Database!$K$28/100),0))</f>
      </c>
      <c r="AQ28" s="36">
        <f>IF(OR(KOL_Database!$AN$28="",KOL_Database!$AN$28=0,KOL_Database!$J$28="",KOL_Database!$J$28=0),"",ROUND(KOL_Database!$AN$28/KOL_Database!$J$28*1000,0))</f>
      </c>
      <c r="AR28" s="36">
        <f>IF(OR(KOL_Database!$L$28="",KOL_Database!$J$28=""),"",ROUND(KOL_Database!$L$28*Lookup_Lists!$D$147+KOL_Database!$J$28*Lookup_Lists!$D$148,0))</f>
      </c>
      <c r="AS28" s="39">
        <f>IF(OR(KOL_Database!$AN$28="",KOL_Database!$AN$28=0,KOL_Database!$AR$28=""),"",ROUND(KOL_Database!$AR$28*KOL_Database!$K$28/100*Lookup_Lists!$D$146/KOL_Database!$AN$28,2))</f>
      </c>
      <c r="AT28" s="38">
        <v>82</v>
      </c>
      <c r="AU28" s="38">
        <v>38</v>
      </c>
      <c r="AV28" s="35" t="s">
        <v>408</v>
      </c>
      <c r="AW28" s="35" t="s">
        <v>249</v>
      </c>
      <c r="AX28" s="35" t="s">
        <v>249</v>
      </c>
      <c r="AY28" s="35" t="s">
        <v>249</v>
      </c>
      <c r="AZ28" s="35" t="s">
        <v>249</v>
      </c>
      <c r="BA28" s="41">
        <v>46169.70833333333</v>
      </c>
      <c r="BB28" s="41">
        <v>46270.70833333333</v>
      </c>
      <c r="BC28" s="42">
        <f>IF(OR(KOL_Database!$J$28="",KOL_Database!$J$28=0,KOL_Database!$L$28=""),"",ROUND(KOL_Database!$L$28/KOL_Database!$J$28,3))</f>
      </c>
      <c r="BD28" s="38">
        <f>IF(OR(KOL_Database!$AP$28="",KOL_Database!$AP$28=0,Lookup_Lists!$D$149=0),"",MIN(100,ROUND(Lookup_Lists!$D$149/KOL_Database!$AP$28*100,0)))</f>
      </c>
      <c r="BE28" s="38">
        <f>ROUND((IF(KOL_Database!$J$28="",0,1)+IF(KOL_Database!$K$28="",0,1)+IF(KOL_Database!$L$28="",0,1)+IF(KOL_Database!$M$28="",0,1)+IF(KOL_Database!$N$28="",0,1)+IF(KOL_Database!$O$28="",0,1)+IF(KOL_Database!$P$28="",0,1)+IF(KOL_Database!$R$28="",0,1)+IF(KOL_Database!$S$28="",0,1)+IF(KOL_Database!$AE$28="",0,1)+IF(KOL_Database!$AF$28="",0,1)+IF(KOL_Database!$AN$28="",0,1))/12*100,0)</f>
      </c>
      <c r="BF28" s="35">
        <f>IF(KOL_Database!$BE$28&gt;=Lookup_Lists!$D$159,"Live",IF(KOL_Database!$BE$28&gt;=Lookup_Lists!$D$160,"Calculated","Estimated"))</f>
      </c>
    </row>
    <row r="29" spans="1:58" x14ac:dyDescent="0.25">
      <c r="A29" s="35" t="s">
        <v>604</v>
      </c>
      <c r="B29" s="35" t="s">
        <v>605</v>
      </c>
      <c r="C29" s="35" t="s">
        <v>606</v>
      </c>
      <c r="D29" s="35" t="s">
        <v>412</v>
      </c>
      <c r="E29" s="35" t="s">
        <v>607</v>
      </c>
      <c r="F29" s="35" t="s">
        <v>608</v>
      </c>
      <c r="G29" s="35">
        <f>IFERROR(INDEX(Lookup_Lists!$A$96:$A$100,MATCH(KOL_Database!$J$29,Lookup_Lists!$B$96:$B$100,1)),"")</f>
      </c>
      <c r="H29" s="35" t="s">
        <v>249</v>
      </c>
      <c r="I29" s="35" t="s">
        <v>565</v>
      </c>
      <c r="J29" s="36">
        <v>228000</v>
      </c>
      <c r="K29" s="37">
        <v>5.1</v>
      </c>
      <c r="L29" s="36">
        <v>238888</v>
      </c>
      <c r="M29" s="36">
        <v>174098</v>
      </c>
      <c r="N29" s="37">
        <v>7.3</v>
      </c>
      <c r="O29" s="37">
        <v>19.6</v>
      </c>
      <c r="P29" s="38">
        <v>64</v>
      </c>
      <c r="Q29" s="38">
        <v>58</v>
      </c>
      <c r="R29" s="38">
        <v>73</v>
      </c>
      <c r="S29" s="38">
        <v>79</v>
      </c>
      <c r="T29" s="39">
        <v>0.86</v>
      </c>
      <c r="U29" s="39">
        <v>1.86</v>
      </c>
      <c r="V29" s="38">
        <v>65</v>
      </c>
      <c r="W29" s="38">
        <v>6</v>
      </c>
      <c r="X29" s="38">
        <v>40</v>
      </c>
      <c r="Y29" s="38">
        <v>37</v>
      </c>
      <c r="Z29" s="38">
        <v>13</v>
      </c>
      <c r="AA29" s="38">
        <v>4</v>
      </c>
      <c r="AB29" s="38">
        <v>22</v>
      </c>
      <c r="AC29" s="38">
        <v>78</v>
      </c>
      <c r="AD29" s="35" t="s">
        <v>137</v>
      </c>
      <c r="AE29" s="35" t="s">
        <v>414</v>
      </c>
      <c r="AF29" s="35" t="s">
        <v>565</v>
      </c>
      <c r="AG29" s="35" t="s">
        <v>609</v>
      </c>
      <c r="AH29" s="35" t="s">
        <v>416</v>
      </c>
      <c r="AI29" s="35" t="s">
        <v>610</v>
      </c>
      <c r="AJ29" s="35" t="s">
        <v>525</v>
      </c>
      <c r="AK29" s="35" t="s">
        <v>550</v>
      </c>
      <c r="AL29" s="35" t="s">
        <v>611</v>
      </c>
      <c r="AM29" s="38">
        <v>70</v>
      </c>
      <c r="AN29" s="36">
        <v>11066000</v>
      </c>
      <c r="AO29" s="40">
        <f>IF(OR(KOL_Database!$AN$29="",KOL_Database!$AN$29=0,KOL_Database!$L$29="",KOL_Database!$L$29=0),"",ROUND(KOL_Database!$AN$29/KOL_Database!$L$29,2))</f>
      </c>
      <c r="AP29" s="36">
        <f>IF(OR(KOL_Database!$AN$29="",KOL_Database!$AN$29=0,KOL_Database!$L$29="",KOL_Database!$L$29=0,KOL_Database!$K$29="",KOL_Database!$K$29=0),"",ROUND(KOL_Database!$AN$29/(KOL_Database!$L$29*KOL_Database!$K$29/100),0))</f>
      </c>
      <c r="AQ29" s="36">
        <f>IF(OR(KOL_Database!$AN$29="",KOL_Database!$AN$29=0,KOL_Database!$J$29="",KOL_Database!$J$29=0),"",ROUND(KOL_Database!$AN$29/KOL_Database!$J$29*1000,0))</f>
      </c>
      <c r="AR29" s="36">
        <f>IF(OR(KOL_Database!$L$29="",KOL_Database!$J$29=""),"",ROUND(KOL_Database!$L$29*Lookup_Lists!$D$147+KOL_Database!$J$29*Lookup_Lists!$D$148,0))</f>
      </c>
      <c r="AS29" s="39">
        <f>IF(OR(KOL_Database!$AN$29="",KOL_Database!$AN$29=0,KOL_Database!$AR$29=""),"",ROUND(KOL_Database!$AR$29*KOL_Database!$K$29/100*Lookup_Lists!$D$146/KOL_Database!$AN$29,2))</f>
      </c>
      <c r="AT29" s="38">
        <v>80</v>
      </c>
      <c r="AU29" s="38">
        <v>28</v>
      </c>
      <c r="AV29" s="35" t="s">
        <v>442</v>
      </c>
      <c r="AW29" s="35" t="s">
        <v>249</v>
      </c>
      <c r="AX29" s="35" t="s">
        <v>249</v>
      </c>
      <c r="AY29" s="35" t="s">
        <v>249</v>
      </c>
      <c r="AZ29" s="35" t="s">
        <v>249</v>
      </c>
      <c r="BA29" s="41">
        <v>46192.70833333333</v>
      </c>
      <c r="BB29" s="41">
        <v>46241.70833333333</v>
      </c>
      <c r="BC29" s="42">
        <f>IF(OR(KOL_Database!$J$29="",KOL_Database!$J$29=0,KOL_Database!$L$29=""),"",ROUND(KOL_Database!$L$29/KOL_Database!$J$29,3))</f>
      </c>
      <c r="BD29" s="38">
        <f>IF(OR(KOL_Database!$AP$29="",KOL_Database!$AP$29=0,Lookup_Lists!$D$149=0),"",MIN(100,ROUND(Lookup_Lists!$D$149/KOL_Database!$AP$29*100,0)))</f>
      </c>
      <c r="BE29" s="38">
        <f>ROUND((IF(KOL_Database!$J$29="",0,1)+IF(KOL_Database!$K$29="",0,1)+IF(KOL_Database!$L$29="",0,1)+IF(KOL_Database!$M$29="",0,1)+IF(KOL_Database!$N$29="",0,1)+IF(KOL_Database!$O$29="",0,1)+IF(KOL_Database!$P$29="",0,1)+IF(KOL_Database!$R$29="",0,1)+IF(KOL_Database!$S$29="",0,1)+IF(KOL_Database!$AE$29="",0,1)+IF(KOL_Database!$AF$29="",0,1)+IF(KOL_Database!$AN$29="",0,1))/12*100,0)</f>
      </c>
      <c r="BF29" s="35">
        <f>IF(KOL_Database!$BE$29&gt;=Lookup_Lists!$D$159,"Live",IF(KOL_Database!$BE$29&gt;=Lookup_Lists!$D$160,"Calculated","Estimated"))</f>
      </c>
    </row>
    <row r="30" spans="1:58" x14ac:dyDescent="0.25">
      <c r="A30" s="35" t="s">
        <v>612</v>
      </c>
      <c r="B30" s="35" t="s">
        <v>613</v>
      </c>
      <c r="C30" s="35" t="s">
        <v>614</v>
      </c>
      <c r="D30" s="35" t="s">
        <v>402</v>
      </c>
      <c r="E30" s="35" t="s">
        <v>607</v>
      </c>
      <c r="F30" s="35" t="s">
        <v>615</v>
      </c>
      <c r="G30" s="35">
        <f>IFERROR(INDEX(Lookup_Lists!$A$96:$A$100,MATCH(KOL_Database!$J$30,Lookup_Lists!$B$96:$B$100,1)),"")</f>
      </c>
      <c r="H30" s="35" t="s">
        <v>253</v>
      </c>
      <c r="I30" s="35" t="s">
        <v>146</v>
      </c>
      <c r="J30" s="36">
        <v>76000</v>
      </c>
      <c r="K30" s="37">
        <v>2.9</v>
      </c>
      <c r="L30" s="36">
        <v>16184</v>
      </c>
      <c r="M30" s="36">
        <v>10841</v>
      </c>
      <c r="N30" s="37">
        <v>3.7</v>
      </c>
      <c r="O30" s="37">
        <v>12.5</v>
      </c>
      <c r="P30" s="38">
        <v>48</v>
      </c>
      <c r="Q30" s="38">
        <v>51</v>
      </c>
      <c r="R30" s="38">
        <v>64</v>
      </c>
      <c r="S30" s="38">
        <v>74</v>
      </c>
      <c r="T30" s="39">
        <v>0.64</v>
      </c>
      <c r="U30" s="39">
        <v>0.93</v>
      </c>
      <c r="V30" s="38">
        <v>49</v>
      </c>
      <c r="W30" s="38">
        <v>1</v>
      </c>
      <c r="X30" s="38">
        <v>14</v>
      </c>
      <c r="Y30" s="38">
        <v>39</v>
      </c>
      <c r="Z30" s="38">
        <v>30</v>
      </c>
      <c r="AA30" s="38">
        <v>16</v>
      </c>
      <c r="AB30" s="38">
        <v>29</v>
      </c>
      <c r="AC30" s="38">
        <v>71</v>
      </c>
      <c r="AD30" s="35" t="s">
        <v>137</v>
      </c>
      <c r="AE30" s="35" t="s">
        <v>141</v>
      </c>
      <c r="AF30" s="35" t="s">
        <v>146</v>
      </c>
      <c r="AG30" s="35" t="s">
        <v>616</v>
      </c>
      <c r="AH30" s="35" t="s">
        <v>405</v>
      </c>
      <c r="AI30" s="35" t="s">
        <v>617</v>
      </c>
      <c r="AJ30" s="35" t="s">
        <v>224</v>
      </c>
      <c r="AK30" s="35" t="s">
        <v>458</v>
      </c>
      <c r="AL30" s="35" t="s">
        <v>618</v>
      </c>
      <c r="AM30" s="38">
        <v>62</v>
      </c>
      <c r="AN30" s="36">
        <v>1930000</v>
      </c>
      <c r="AO30" s="40">
        <f>IF(OR(KOL_Database!$AN$30="",KOL_Database!$AN$30=0,KOL_Database!$L$30="",KOL_Database!$L$30=0),"",ROUND(KOL_Database!$AN$30/KOL_Database!$L$30,2))</f>
      </c>
      <c r="AP30" s="36">
        <f>IF(OR(KOL_Database!$AN$30="",KOL_Database!$AN$30=0,KOL_Database!$L$30="",KOL_Database!$L$30=0,KOL_Database!$K$30="",KOL_Database!$K$30=0),"",ROUND(KOL_Database!$AN$30/(KOL_Database!$L$30*KOL_Database!$K$30/100),0))</f>
      </c>
      <c r="AQ30" s="36">
        <f>IF(OR(KOL_Database!$AN$30="",KOL_Database!$AN$30=0,KOL_Database!$J$30="",KOL_Database!$J$30=0),"",ROUND(KOL_Database!$AN$30/KOL_Database!$J$30*1000,0))</f>
      </c>
      <c r="AR30" s="36">
        <f>IF(OR(KOL_Database!$L$30="",KOL_Database!$J$30=""),"",ROUND(KOL_Database!$L$30*Lookup_Lists!$D$147+KOL_Database!$J$30*Lookup_Lists!$D$148,0))</f>
      </c>
      <c r="AS30" s="39">
        <f>IF(OR(KOL_Database!$AN$30="",KOL_Database!$AN$30=0,KOL_Database!$AR$30=""),"",ROUND(KOL_Database!$AR$30*KOL_Database!$K$30/100*Lookup_Lists!$D$146/KOL_Database!$AN$30,2))</f>
      </c>
      <c r="AT30" s="38">
        <v>71</v>
      </c>
      <c r="AU30" s="38">
        <v>13</v>
      </c>
      <c r="AV30" s="35" t="s">
        <v>442</v>
      </c>
      <c r="AW30" s="35" t="s">
        <v>249</v>
      </c>
      <c r="AX30" s="35" t="s">
        <v>249</v>
      </c>
      <c r="AY30" s="35" t="s">
        <v>249</v>
      </c>
      <c r="AZ30" s="35" t="s">
        <v>249</v>
      </c>
      <c r="BA30" s="41">
        <v>46189.70833333333</v>
      </c>
      <c r="BB30" s="41">
        <v>46248.70833333333</v>
      </c>
      <c r="BC30" s="42">
        <f>IF(OR(KOL_Database!$J$30="",KOL_Database!$J$30=0,KOL_Database!$L$30=""),"",ROUND(KOL_Database!$L$30/KOL_Database!$J$30,3))</f>
      </c>
      <c r="BD30" s="38">
        <f>IF(OR(KOL_Database!$AP$30="",KOL_Database!$AP$30=0,Lookup_Lists!$D$149=0),"",MIN(100,ROUND(Lookup_Lists!$D$149/KOL_Database!$AP$30*100,0)))</f>
      </c>
      <c r="BE30" s="38">
        <f>ROUND((IF(KOL_Database!$J$30="",0,1)+IF(KOL_Database!$K$30="",0,1)+IF(KOL_Database!$L$30="",0,1)+IF(KOL_Database!$M$30="",0,1)+IF(KOL_Database!$N$30="",0,1)+IF(KOL_Database!$O$30="",0,1)+IF(KOL_Database!$P$30="",0,1)+IF(KOL_Database!$R$30="",0,1)+IF(KOL_Database!$S$30="",0,1)+IF(KOL_Database!$AE$30="",0,1)+IF(KOL_Database!$AF$30="",0,1)+IF(KOL_Database!$AN$30="",0,1))/12*100,0)</f>
      </c>
      <c r="BF30" s="35">
        <f>IF(KOL_Database!$BE$30&gt;=Lookup_Lists!$D$159,"Live",IF(KOL_Database!$BE$30&gt;=Lookup_Lists!$D$160,"Calculated","Estimated"))</f>
      </c>
    </row>
    <row r="31" spans="1:58" x14ac:dyDescent="0.25">
      <c r="A31" s="35" t="s">
        <v>619</v>
      </c>
      <c r="B31" s="35" t="s">
        <v>620</v>
      </c>
      <c r="C31" s="35" t="s">
        <v>621</v>
      </c>
      <c r="D31" s="35" t="s">
        <v>402</v>
      </c>
      <c r="E31" s="35" t="s">
        <v>622</v>
      </c>
      <c r="F31" s="35" t="s">
        <v>623</v>
      </c>
      <c r="G31" s="35">
        <f>IFERROR(INDEX(Lookup_Lists!$A$96:$A$100,MATCH(KOL_Database!$J$31,Lookup_Lists!$B$96:$B$100,1)),"")</f>
      </c>
      <c r="H31" s="35" t="s">
        <v>249</v>
      </c>
      <c r="I31" s="35" t="s">
        <v>413</v>
      </c>
      <c r="J31" s="36">
        <v>46000</v>
      </c>
      <c r="K31" s="37">
        <v>4.4</v>
      </c>
      <c r="L31" s="36">
        <v>16691</v>
      </c>
      <c r="M31" s="36">
        <v>13958</v>
      </c>
      <c r="N31" s="37">
        <v>3.4</v>
      </c>
      <c r="O31" s="37">
        <v>8.9</v>
      </c>
      <c r="P31" s="38">
        <v>52</v>
      </c>
      <c r="Q31" s="38">
        <v>49</v>
      </c>
      <c r="R31" s="38">
        <v>88</v>
      </c>
      <c r="S31" s="38">
        <v>86</v>
      </c>
      <c r="T31" s="39">
        <v>1.91</v>
      </c>
      <c r="U31" s="39">
        <v>4.07</v>
      </c>
      <c r="V31" s="38">
        <v>88</v>
      </c>
      <c r="W31" s="38">
        <v>5</v>
      </c>
      <c r="X31" s="38">
        <v>23</v>
      </c>
      <c r="Y31" s="38">
        <v>42</v>
      </c>
      <c r="Z31" s="38">
        <v>20</v>
      </c>
      <c r="AA31" s="38">
        <v>10</v>
      </c>
      <c r="AB31" s="38">
        <v>74</v>
      </c>
      <c r="AC31" s="38">
        <v>26</v>
      </c>
      <c r="AD31" s="35" t="s">
        <v>137</v>
      </c>
      <c r="AE31" s="35" t="s">
        <v>414</v>
      </c>
      <c r="AF31" s="35" t="s">
        <v>413</v>
      </c>
      <c r="AG31" s="35" t="s">
        <v>624</v>
      </c>
      <c r="AH31" s="35" t="s">
        <v>405</v>
      </c>
      <c r="AI31" s="35" t="s">
        <v>625</v>
      </c>
      <c r="AJ31" s="35" t="s">
        <v>509</v>
      </c>
      <c r="AK31" s="35" t="s">
        <v>164</v>
      </c>
      <c r="AL31" s="35" t="s">
        <v>626</v>
      </c>
      <c r="AM31" s="38">
        <v>90</v>
      </c>
      <c r="AN31" s="36"/>
      <c r="AO31" s="40">
        <f>IF(OR(KOL_Database!$AN$31="",KOL_Database!$AN$31=0,KOL_Database!$L$31="",KOL_Database!$L$31=0),"",ROUND(KOL_Database!$AN$31/KOL_Database!$L$31,2))</f>
      </c>
      <c r="AP31" s="36">
        <f>IF(OR(KOL_Database!$AN$31="",KOL_Database!$AN$31=0,KOL_Database!$L$31="",KOL_Database!$L$31=0,KOL_Database!$K$31="",KOL_Database!$K$31=0),"",ROUND(KOL_Database!$AN$31/(KOL_Database!$L$31*KOL_Database!$K$31/100),0))</f>
      </c>
      <c r="AQ31" s="36">
        <f>IF(OR(KOL_Database!$AN$31="",KOL_Database!$AN$31=0,KOL_Database!$J$31="",KOL_Database!$J$31=0),"",ROUND(KOL_Database!$AN$31/KOL_Database!$J$31*1000,0))</f>
      </c>
      <c r="AR31" s="36">
        <f>IF(OR(KOL_Database!$L$31="",KOL_Database!$J$31=""),"",ROUND(KOL_Database!$L$31*Lookup_Lists!$D$147+KOL_Database!$J$31*Lookup_Lists!$D$148,0))</f>
      </c>
      <c r="AS31" s="39">
        <f>IF(OR(KOL_Database!$AN$31="",KOL_Database!$AN$31=0,KOL_Database!$AR$31=""),"",ROUND(KOL_Database!$AR$31*KOL_Database!$K$31/100*Lookup_Lists!$D$146/KOL_Database!$AN$31,2))</f>
      </c>
      <c r="AT31" s="38">
        <v>92</v>
      </c>
      <c r="AU31" s="38">
        <v>64</v>
      </c>
      <c r="AV31" s="35" t="s">
        <v>408</v>
      </c>
      <c r="AW31" s="35" t="s">
        <v>249</v>
      </c>
      <c r="AX31" s="35" t="s">
        <v>249</v>
      </c>
      <c r="AY31" s="35" t="s">
        <v>249</v>
      </c>
      <c r="AZ31" s="35" t="s">
        <v>249</v>
      </c>
      <c r="BA31" s="41">
        <v>46180.70833333333</v>
      </c>
      <c r="BB31" s="41">
        <v>46239.70833333333</v>
      </c>
      <c r="BC31" s="42">
        <f>IF(OR(KOL_Database!$J$31="",KOL_Database!$J$31=0,KOL_Database!$L$31=""),"",ROUND(KOL_Database!$L$31/KOL_Database!$J$31,3))</f>
      </c>
      <c r="BD31" s="38">
        <f>IF(OR(KOL_Database!$AP$31="",KOL_Database!$AP$31=0,Lookup_Lists!$D$149=0),"",MIN(100,ROUND(Lookup_Lists!$D$149/KOL_Database!$AP$31*100,0)))</f>
      </c>
      <c r="BE31" s="38">
        <f>ROUND((IF(KOL_Database!$J$31="",0,1)+IF(KOL_Database!$K$31="",0,1)+IF(KOL_Database!$L$31="",0,1)+IF(KOL_Database!$M$31="",0,1)+IF(KOL_Database!$N$31="",0,1)+IF(KOL_Database!$O$31="",0,1)+IF(KOL_Database!$P$31="",0,1)+IF(KOL_Database!$R$31="",0,1)+IF(KOL_Database!$S$31="",0,1)+IF(KOL_Database!$AE$31="",0,1)+IF(KOL_Database!$AF$31="",0,1)+IF(KOL_Database!$AN$31="",0,1))/12*100,0)</f>
      </c>
      <c r="BF31" s="35">
        <f>IF(KOL_Database!$BE$31&gt;=Lookup_Lists!$D$159,"Live",IF(KOL_Database!$BE$31&gt;=Lookup_Lists!$D$160,"Calculated","Estimated"))</f>
      </c>
    </row>
    <row r="32" spans="1:58" x14ac:dyDescent="0.25">
      <c r="A32" s="35" t="s">
        <v>627</v>
      </c>
      <c r="B32" s="35" t="s">
        <v>628</v>
      </c>
      <c r="C32" s="35" t="s">
        <v>629</v>
      </c>
      <c r="D32" s="35" t="s">
        <v>412</v>
      </c>
      <c r="E32" s="35" t="s">
        <v>622</v>
      </c>
      <c r="F32" s="35" t="s">
        <v>630</v>
      </c>
      <c r="G32" s="35">
        <f>IFERROR(INDEX(Lookup_Lists!$A$96:$A$100,MATCH(KOL_Database!$J$32,Lookup_Lists!$B$96:$B$100,1)),"")</f>
      </c>
      <c r="H32" s="35" t="s">
        <v>249</v>
      </c>
      <c r="I32" s="35" t="s">
        <v>146</v>
      </c>
      <c r="J32" s="36">
        <v>118000</v>
      </c>
      <c r="K32" s="37">
        <v>6.1</v>
      </c>
      <c r="L32" s="36">
        <v>134895</v>
      </c>
      <c r="M32" s="36">
        <v>105352</v>
      </c>
      <c r="N32" s="37">
        <v>4</v>
      </c>
      <c r="O32" s="37">
        <v>13.5</v>
      </c>
      <c r="P32" s="38">
        <v>77</v>
      </c>
      <c r="Q32" s="38">
        <v>75</v>
      </c>
      <c r="R32" s="38">
        <v>81</v>
      </c>
      <c r="S32" s="38">
        <v>75</v>
      </c>
      <c r="T32" s="39">
        <v>1.34</v>
      </c>
      <c r="U32" s="39">
        <v>2.68</v>
      </c>
      <c r="V32" s="38">
        <v>73</v>
      </c>
      <c r="W32" s="38">
        <v>8</v>
      </c>
      <c r="X32" s="38">
        <v>39</v>
      </c>
      <c r="Y32" s="38">
        <v>33</v>
      </c>
      <c r="Z32" s="38">
        <v>14</v>
      </c>
      <c r="AA32" s="38">
        <v>6</v>
      </c>
      <c r="AB32" s="38">
        <v>83</v>
      </c>
      <c r="AC32" s="38">
        <v>17</v>
      </c>
      <c r="AD32" s="35" t="s">
        <v>137</v>
      </c>
      <c r="AE32" s="35" t="s">
        <v>141</v>
      </c>
      <c r="AF32" s="35" t="s">
        <v>146</v>
      </c>
      <c r="AG32" s="35" t="s">
        <v>631</v>
      </c>
      <c r="AH32" s="35" t="s">
        <v>405</v>
      </c>
      <c r="AI32" s="35" t="s">
        <v>632</v>
      </c>
      <c r="AJ32" s="35" t="s">
        <v>433</v>
      </c>
      <c r="AK32" s="35" t="s">
        <v>233</v>
      </c>
      <c r="AL32" s="35" t="s">
        <v>633</v>
      </c>
      <c r="AM32" s="38">
        <v>78</v>
      </c>
      <c r="AN32" s="36">
        <v>4594000</v>
      </c>
      <c r="AO32" s="40">
        <f>IF(OR(KOL_Database!$AN$32="",KOL_Database!$AN$32=0,KOL_Database!$L$32="",KOL_Database!$L$32=0),"",ROUND(KOL_Database!$AN$32/KOL_Database!$L$32,2))</f>
      </c>
      <c r="AP32" s="36">
        <f>IF(OR(KOL_Database!$AN$32="",KOL_Database!$AN$32=0,KOL_Database!$L$32="",KOL_Database!$L$32=0,KOL_Database!$K$32="",KOL_Database!$K$32=0),"",ROUND(KOL_Database!$AN$32/(KOL_Database!$L$32*KOL_Database!$K$32/100),0))</f>
      </c>
      <c r="AQ32" s="36">
        <f>IF(OR(KOL_Database!$AN$32="",KOL_Database!$AN$32=0,KOL_Database!$J$32="",KOL_Database!$J$32=0),"",ROUND(KOL_Database!$AN$32/KOL_Database!$J$32*1000,0))</f>
      </c>
      <c r="AR32" s="36">
        <f>IF(OR(KOL_Database!$L$32="",KOL_Database!$J$32=""),"",ROUND(KOL_Database!$L$32*Lookup_Lists!$D$147+KOL_Database!$J$32*Lookup_Lists!$D$148,0))</f>
      </c>
      <c r="AS32" s="39">
        <f>IF(OR(KOL_Database!$AN$32="",KOL_Database!$AN$32=0,KOL_Database!$AR$32=""),"",ROUND(KOL_Database!$AR$32*KOL_Database!$K$32/100*Lookup_Lists!$D$146/KOL_Database!$AN$32,2))</f>
      </c>
      <c r="AT32" s="38">
        <v>85</v>
      </c>
      <c r="AU32" s="38">
        <v>42</v>
      </c>
      <c r="AV32" s="35" t="s">
        <v>408</v>
      </c>
      <c r="AW32" s="35" t="s">
        <v>249</v>
      </c>
      <c r="AX32" s="35" t="s">
        <v>249</v>
      </c>
      <c r="AY32" s="35" t="s">
        <v>249</v>
      </c>
      <c r="AZ32" s="35" t="s">
        <v>249</v>
      </c>
      <c r="BA32" s="41">
        <v>46164.70833333333</v>
      </c>
      <c r="BB32" s="41">
        <v>46255.70833333333</v>
      </c>
      <c r="BC32" s="42">
        <f>IF(OR(KOL_Database!$J$32="",KOL_Database!$J$32=0,KOL_Database!$L$32=""),"",ROUND(KOL_Database!$L$32/KOL_Database!$J$32,3))</f>
      </c>
      <c r="BD32" s="38">
        <f>IF(OR(KOL_Database!$AP$32="",KOL_Database!$AP$32=0,Lookup_Lists!$D$149=0),"",MIN(100,ROUND(Lookup_Lists!$D$149/KOL_Database!$AP$32*100,0)))</f>
      </c>
      <c r="BE32" s="38">
        <f>ROUND((IF(KOL_Database!$J$32="",0,1)+IF(KOL_Database!$K$32="",0,1)+IF(KOL_Database!$L$32="",0,1)+IF(KOL_Database!$M$32="",0,1)+IF(KOL_Database!$N$32="",0,1)+IF(KOL_Database!$O$32="",0,1)+IF(KOL_Database!$P$32="",0,1)+IF(KOL_Database!$R$32="",0,1)+IF(KOL_Database!$S$32="",0,1)+IF(KOL_Database!$AE$32="",0,1)+IF(KOL_Database!$AF$32="",0,1)+IF(KOL_Database!$AN$32="",0,1))/12*100,0)</f>
      </c>
      <c r="BF32" s="35">
        <f>IF(KOL_Database!$BE$32&gt;=Lookup_Lists!$D$159,"Live",IF(KOL_Database!$BE$32&gt;=Lookup_Lists!$D$160,"Calculated","Estimated"))</f>
      </c>
    </row>
    <row r="33" spans="1:58" x14ac:dyDescent="0.25">
      <c r="A33" s="35" t="s">
        <v>634</v>
      </c>
      <c r="B33" s="35" t="s">
        <v>635</v>
      </c>
      <c r="C33" s="35" t="s">
        <v>636</v>
      </c>
      <c r="D33" s="35" t="s">
        <v>412</v>
      </c>
      <c r="E33" s="35" t="s">
        <v>202</v>
      </c>
      <c r="F33" s="35" t="s">
        <v>104</v>
      </c>
      <c r="G33" s="35">
        <f>IFERROR(INDEX(Lookup_Lists!$A$96:$A$100,MATCH(KOL_Database!$J$33,Lookup_Lists!$B$96:$B$100,1)),"")</f>
      </c>
      <c r="H33" s="35" t="s">
        <v>249</v>
      </c>
      <c r="I33" s="35" t="s">
        <v>447</v>
      </c>
      <c r="J33" s="36">
        <v>27000</v>
      </c>
      <c r="K33" s="37">
        <v>8.9</v>
      </c>
      <c r="L33" s="36">
        <v>16833</v>
      </c>
      <c r="M33" s="36">
        <v>14812</v>
      </c>
      <c r="N33" s="37">
        <v>3.7</v>
      </c>
      <c r="O33" s="37">
        <v>9.7</v>
      </c>
      <c r="P33" s="38">
        <v>88</v>
      </c>
      <c r="Q33" s="38">
        <v>46</v>
      </c>
      <c r="R33" s="38">
        <v>91</v>
      </c>
      <c r="S33" s="38">
        <v>95</v>
      </c>
      <c r="T33" s="39">
        <v>0.32</v>
      </c>
      <c r="U33" s="39">
        <v>4.5</v>
      </c>
      <c r="V33" s="38">
        <v>92</v>
      </c>
      <c r="W33" s="38">
        <v>10</v>
      </c>
      <c r="X33" s="38">
        <v>35</v>
      </c>
      <c r="Y33" s="38">
        <v>32</v>
      </c>
      <c r="Z33" s="38">
        <v>15</v>
      </c>
      <c r="AA33" s="38">
        <v>8</v>
      </c>
      <c r="AB33" s="38">
        <v>74</v>
      </c>
      <c r="AC33" s="38">
        <v>26</v>
      </c>
      <c r="AD33" s="35" t="s">
        <v>137</v>
      </c>
      <c r="AE33" s="35" t="s">
        <v>531</v>
      </c>
      <c r="AF33" s="35" t="s">
        <v>447</v>
      </c>
      <c r="AG33" s="35" t="s">
        <v>637</v>
      </c>
      <c r="AH33" s="35" t="s">
        <v>405</v>
      </c>
      <c r="AI33" s="35" t="s">
        <v>423</v>
      </c>
      <c r="AJ33" s="35" t="s">
        <v>224</v>
      </c>
      <c r="AK33" s="35" t="s">
        <v>233</v>
      </c>
      <c r="AL33" s="35" t="s">
        <v>638</v>
      </c>
      <c r="AM33" s="38">
        <v>59</v>
      </c>
      <c r="AN33" s="36">
        <v>912000</v>
      </c>
      <c r="AO33" s="40">
        <f>IF(OR(KOL_Database!$AN$33="",KOL_Database!$AN$33=0,KOL_Database!$L$33="",KOL_Database!$L$33=0),"",ROUND(KOL_Database!$AN$33/KOL_Database!$L$33,2))</f>
      </c>
      <c r="AP33" s="36">
        <f>IF(OR(KOL_Database!$AN$33="",KOL_Database!$AN$33=0,KOL_Database!$L$33="",KOL_Database!$L$33=0,KOL_Database!$K$33="",KOL_Database!$K$33=0),"",ROUND(KOL_Database!$AN$33/(KOL_Database!$L$33*KOL_Database!$K$33/100),0))</f>
      </c>
      <c r="AQ33" s="36">
        <f>IF(OR(KOL_Database!$AN$33="",KOL_Database!$AN$33=0,KOL_Database!$J$33="",KOL_Database!$J$33=0),"",ROUND(KOL_Database!$AN$33/KOL_Database!$J$33*1000,0))</f>
      </c>
      <c r="AR33" s="36">
        <f>IF(OR(KOL_Database!$L$33="",KOL_Database!$J$33=""),"",ROUND(KOL_Database!$L$33*Lookup_Lists!$D$147+KOL_Database!$J$33*Lookup_Lists!$D$148,0))</f>
      </c>
      <c r="AS33" s="39">
        <f>IF(OR(KOL_Database!$AN$33="",KOL_Database!$AN$33=0,KOL_Database!$AR$33=""),"",ROUND(KOL_Database!$AR$33*KOL_Database!$K$33/100*Lookup_Lists!$D$146/KOL_Database!$AN$33,2))</f>
      </c>
      <c r="AT33" s="38">
        <v>94</v>
      </c>
      <c r="AU33" s="38">
        <v>12</v>
      </c>
      <c r="AV33" s="35" t="s">
        <v>408</v>
      </c>
      <c r="AW33" s="35" t="s">
        <v>249</v>
      </c>
      <c r="AX33" s="35" t="s">
        <v>249</v>
      </c>
      <c r="AY33" s="35" t="s">
        <v>249</v>
      </c>
      <c r="AZ33" s="35" t="s">
        <v>249</v>
      </c>
      <c r="BA33" s="41">
        <v>46144.70833333333</v>
      </c>
      <c r="BB33" s="41">
        <v>46257.70833333333</v>
      </c>
      <c r="BC33" s="42">
        <f>IF(OR(KOL_Database!$J$33="",KOL_Database!$J$33=0,KOL_Database!$L$33=""),"",ROUND(KOL_Database!$L$33/KOL_Database!$J$33,3))</f>
      </c>
      <c r="BD33" s="38">
        <f>IF(OR(KOL_Database!$AP$33="",KOL_Database!$AP$33=0,Lookup_Lists!$D$149=0),"",MIN(100,ROUND(Lookup_Lists!$D$149/KOL_Database!$AP$33*100,0)))</f>
      </c>
      <c r="BE33" s="38">
        <f>ROUND((IF(KOL_Database!$J$33="",0,1)+IF(KOL_Database!$K$33="",0,1)+IF(KOL_Database!$L$33="",0,1)+IF(KOL_Database!$M$33="",0,1)+IF(KOL_Database!$N$33="",0,1)+IF(KOL_Database!$O$33="",0,1)+IF(KOL_Database!$P$33="",0,1)+IF(KOL_Database!$R$33="",0,1)+IF(KOL_Database!$S$33="",0,1)+IF(KOL_Database!$AE$33="",0,1)+IF(KOL_Database!$AF$33="",0,1)+IF(KOL_Database!$AN$33="",0,1))/12*100,0)</f>
      </c>
      <c r="BF33" s="35">
        <f>IF(KOL_Database!$BE$33&gt;=Lookup_Lists!$D$159,"Live",IF(KOL_Database!$BE$33&gt;=Lookup_Lists!$D$160,"Calculated","Estimated"))</f>
      </c>
    </row>
    <row r="34" spans="1:58" x14ac:dyDescent="0.25">
      <c r="A34" s="35" t="s">
        <v>639</v>
      </c>
      <c r="B34" s="35" t="s">
        <v>640</v>
      </c>
      <c r="C34" s="35" t="s">
        <v>641</v>
      </c>
      <c r="D34" s="35" t="s">
        <v>402</v>
      </c>
      <c r="E34" s="35" t="s">
        <v>454</v>
      </c>
      <c r="F34" s="35" t="s">
        <v>642</v>
      </c>
      <c r="G34" s="35">
        <f>IFERROR(INDEX(Lookup_Lists!$A$96:$A$100,MATCH(KOL_Database!$J$34,Lookup_Lists!$B$96:$B$100,1)),"")</f>
      </c>
      <c r="H34" s="35" t="s">
        <v>253</v>
      </c>
      <c r="I34" s="35" t="s">
        <v>146</v>
      </c>
      <c r="J34" s="36">
        <v>355000</v>
      </c>
      <c r="K34" s="37">
        <v>2.6</v>
      </c>
      <c r="L34" s="36">
        <v>83349</v>
      </c>
      <c r="M34" s="36"/>
      <c r="N34" s="37">
        <v>2.1</v>
      </c>
      <c r="O34" s="37">
        <v>6.4</v>
      </c>
      <c r="P34" s="38">
        <v>53</v>
      </c>
      <c r="Q34" s="38">
        <v>88</v>
      </c>
      <c r="R34" s="38">
        <v>66</v>
      </c>
      <c r="S34" s="38">
        <v>71</v>
      </c>
      <c r="T34" s="39">
        <v>0.63</v>
      </c>
      <c r="U34" s="39">
        <v>1.3</v>
      </c>
      <c r="V34" s="38">
        <v>56</v>
      </c>
      <c r="W34" s="38">
        <v>4</v>
      </c>
      <c r="X34" s="38">
        <v>15</v>
      </c>
      <c r="Y34" s="38">
        <v>36</v>
      </c>
      <c r="Z34" s="38">
        <v>29</v>
      </c>
      <c r="AA34" s="38">
        <v>16</v>
      </c>
      <c r="AB34" s="38">
        <v>21</v>
      </c>
      <c r="AC34" s="38">
        <v>79</v>
      </c>
      <c r="AD34" s="35" t="s">
        <v>137</v>
      </c>
      <c r="AE34" s="35" t="s">
        <v>141</v>
      </c>
      <c r="AF34" s="35" t="s">
        <v>146</v>
      </c>
      <c r="AG34" s="35" t="s">
        <v>643</v>
      </c>
      <c r="AH34" s="35" t="s">
        <v>416</v>
      </c>
      <c r="AI34" s="35" t="s">
        <v>644</v>
      </c>
      <c r="AJ34" s="35" t="s">
        <v>645</v>
      </c>
      <c r="AK34" s="35" t="s">
        <v>458</v>
      </c>
      <c r="AL34" s="35" t="s">
        <v>646</v>
      </c>
      <c r="AM34" s="38">
        <v>67</v>
      </c>
      <c r="AN34" s="36">
        <v>19218000</v>
      </c>
      <c r="AO34" s="40">
        <f>IF(OR(KOL_Database!$AN$34="",KOL_Database!$AN$34=0,KOL_Database!$L$34="",KOL_Database!$L$34=0),"",ROUND(KOL_Database!$AN$34/KOL_Database!$L$34,2))</f>
      </c>
      <c r="AP34" s="36">
        <f>IF(OR(KOL_Database!$AN$34="",KOL_Database!$AN$34=0,KOL_Database!$L$34="",KOL_Database!$L$34=0,KOL_Database!$K$34="",KOL_Database!$K$34=0),"",ROUND(KOL_Database!$AN$34/(KOL_Database!$L$34*KOL_Database!$K$34/100),0))</f>
      </c>
      <c r="AQ34" s="36">
        <f>IF(OR(KOL_Database!$AN$34="",KOL_Database!$AN$34=0,KOL_Database!$J$34="",KOL_Database!$J$34=0),"",ROUND(KOL_Database!$AN$34/KOL_Database!$J$34*1000,0))</f>
      </c>
      <c r="AR34" s="36">
        <f>IF(OR(KOL_Database!$L$34="",KOL_Database!$J$34=""),"",ROUND(KOL_Database!$L$34*Lookup_Lists!$D$147+KOL_Database!$J$34*Lookup_Lists!$D$148,0))</f>
      </c>
      <c r="AS34" s="39">
        <f>IF(OR(KOL_Database!$AN$34="",KOL_Database!$AN$34=0,KOL_Database!$AR$34=""),"",ROUND(KOL_Database!$AR$34*KOL_Database!$K$34/100*Lookup_Lists!$D$146/KOL_Database!$AN$34,2))</f>
      </c>
      <c r="AT34" s="38">
        <v>75</v>
      </c>
      <c r="AU34" s="38">
        <v>21</v>
      </c>
      <c r="AV34" s="35" t="s">
        <v>442</v>
      </c>
      <c r="AW34" s="35" t="s">
        <v>249</v>
      </c>
      <c r="AX34" s="35" t="s">
        <v>249</v>
      </c>
      <c r="AY34" s="35" t="s">
        <v>249</v>
      </c>
      <c r="AZ34" s="35" t="s">
        <v>249</v>
      </c>
      <c r="BA34" s="41">
        <v>46179.70833333333</v>
      </c>
      <c r="BB34" s="41">
        <v>46235.70833333333</v>
      </c>
      <c r="BC34" s="42">
        <f>IF(OR(KOL_Database!$J$34="",KOL_Database!$J$34=0,KOL_Database!$L$34=""),"",ROUND(KOL_Database!$L$34/KOL_Database!$J$34,3))</f>
      </c>
      <c r="BD34" s="38">
        <f>IF(OR(KOL_Database!$AP$34="",KOL_Database!$AP$34=0,Lookup_Lists!$D$149=0),"",MIN(100,ROUND(Lookup_Lists!$D$149/KOL_Database!$AP$34*100,0)))</f>
      </c>
      <c r="BE34" s="38">
        <f>ROUND((IF(KOL_Database!$J$34="",0,1)+IF(KOL_Database!$K$34="",0,1)+IF(KOL_Database!$L$34="",0,1)+IF(KOL_Database!$M$34="",0,1)+IF(KOL_Database!$N$34="",0,1)+IF(KOL_Database!$O$34="",0,1)+IF(KOL_Database!$P$34="",0,1)+IF(KOL_Database!$R$34="",0,1)+IF(KOL_Database!$S$34="",0,1)+IF(KOL_Database!$AE$34="",0,1)+IF(KOL_Database!$AF$34="",0,1)+IF(KOL_Database!$AN$34="",0,1))/12*100,0)</f>
      </c>
      <c r="BF34" s="35">
        <f>IF(KOL_Database!$BE$34&gt;=Lookup_Lists!$D$159,"Live",IF(KOL_Database!$BE$34&gt;=Lookup_Lists!$D$160,"Calculated","Estimated"))</f>
      </c>
    </row>
  </sheetData>
  <mergeCells count="11">
    <mergeCell ref="A1:BF1"/>
    <mergeCell ref="A2:BF2"/>
    <mergeCell ref="A3:I3"/>
    <mergeCell ref="J3:V3"/>
    <mergeCell ref="W3:AH3"/>
    <mergeCell ref="AI3:AM3"/>
    <mergeCell ref="AN3:AS3"/>
    <mergeCell ref="AT3:AV3"/>
    <mergeCell ref="AW3:AZ3"/>
    <mergeCell ref="BA3:BB3"/>
    <mergeCell ref="BC3:BF3"/>
  </mergeCells>
  <conditionalFormatting sqref="K5:K34">
    <cfRule type="colorScale" priority="1">
      <colorScale>
        <cfvo type="num" val="0"/>
        <cfvo type="num" val="5"/>
        <cfvo type="num" val="10"/>
        <color rgb="FFFEE2E2"/>
        <color rgb="FFFEF3C7"/>
        <color rgb="FFBBF7D0"/>
      </colorScale>
    </cfRule>
  </conditionalFormatting>
  <conditionalFormatting sqref="AV5:AV34">
    <cfRule type="containsText" dxfId="0" priority="1" operator="containsText" text="High">
      <formula>NOT(ISERROR(SEARCH("High",AV5)))</formula>
    </cfRule>
    <cfRule type="containsText" dxfId="1" priority="2" operator="containsText" text="Medium">
      <formula>NOT(ISERROR(SEARCH("Medium",AV5)))</formula>
    </cfRule>
  </conditionalFormatting>
  <conditionalFormatting sqref="BF5:BF34">
    <cfRule type="containsText" dxfId="2" priority="1" operator="containsText" text="Live">
      <formula>NOT(ISERROR(SEARCH("Live",BF5)))</formula>
    </cfRule>
    <cfRule type="containsText" dxfId="3" priority="2" operator="containsText" text="Estimated">
      <formula>NOT(ISERROR(SEARCH("Estimated",BF5)))</formula>
    </cfRule>
  </conditionalFormatting>
  <dataValidations count="26">
    <dataValidation type="list" allowBlank="1" sqref="AD10:AD34">
      <formula1>Lookup_Lists!$H$6:$H$11</formula1>
    </dataValidation>
    <dataValidation type="list" allowBlank="1" sqref="AD5:AD34">
      <formula1>Lookup_Lists!$H$6:$H$11</formula1>
    </dataValidation>
    <dataValidation type="list" allowBlank="1" sqref="AE10:AE34">
      <formula1>Lookup_Lists!$I$6:$I$15</formula1>
    </dataValidation>
    <dataValidation type="list" allowBlank="1" sqref="AE5:AE34">
      <formula1>Lookup_Lists!$I$6:$I$15</formula1>
    </dataValidation>
    <dataValidation type="list" allowBlank="1" sqref="AF10:AF34">
      <formula1>Lookup_Lists!$J$6:$J$17</formula1>
    </dataValidation>
    <dataValidation type="list" allowBlank="1" sqref="AF5:AF34">
      <formula1>Lookup_Lists!$J$6:$J$17</formula1>
    </dataValidation>
    <dataValidation type="list" allowBlank="1" sqref="AH10:AH34">
      <formula1>Lookup_Lists!$T$6:$T$8</formula1>
    </dataValidation>
    <dataValidation type="list" allowBlank="1" sqref="AH5:AH34">
      <formula1>Lookup_Lists!$T$6:$T$8</formula1>
    </dataValidation>
    <dataValidation type="list" allowBlank="1" sqref="AJ10:AJ34">
      <formula1>Lookup_Lists!$L$6:$L$15</formula1>
    </dataValidation>
    <dataValidation type="list" allowBlank="1" sqref="AJ5:AJ34">
      <formula1>Lookup_Lists!$L$6:$L$15</formula1>
    </dataValidation>
    <dataValidation type="list" allowBlank="1" sqref="AK10:AK34">
      <formula1>Lookup_Lists!$M$6:$M$17</formula1>
    </dataValidation>
    <dataValidation type="list" allowBlank="1" sqref="AK5:AK34">
      <formula1>Lookup_Lists!$M$6:$M$17</formula1>
    </dataValidation>
    <dataValidation type="list" allowBlank="1" sqref="AV10:AV34">
      <formula1>Lookup_Lists!$U$6:$U$9</formula1>
    </dataValidation>
    <dataValidation type="list" allowBlank="1" sqref="AV5:AV34">
      <formula1>Lookup_Lists!$U$6:$U$9</formula1>
    </dataValidation>
    <dataValidation type="list" allowBlank="1" sqref="AW10:AZ34">
      <formula1>Lookup_Lists!$V$6:$V$7</formula1>
    </dataValidation>
    <dataValidation type="list" allowBlank="1" sqref="AW5:AZ34">
      <formula1>Lookup_Lists!$V$6:$V$7</formula1>
    </dataValidation>
    <dataValidation type="list" allowBlank="1" sqref="D10:D34">
      <formula1>Lookup_Lists!$A$6:$A$7</formula1>
    </dataValidation>
    <dataValidation type="list" allowBlank="1" sqref="D5:D34">
      <formula1>Lookup_Lists!$A$6:$A$7</formula1>
    </dataValidation>
    <dataValidation type="list" allowBlank="1" sqref="E10:E34">
      <formula1>Lookup_Lists!$C$6:$C$19</formula1>
    </dataValidation>
    <dataValidation type="list" allowBlank="1" sqref="E5:E34">
      <formula1>Lookup_Lists!$C$6:$C$19</formula1>
    </dataValidation>
    <dataValidation type="list" allowBlank="1" sqref="F10:F34">
      <formula1>Lookup_Lists!$D$6:$D$47</formula1>
    </dataValidation>
    <dataValidation type="list" allowBlank="1" sqref="F5:F34">
      <formula1>Lookup_Lists!$D$6:$D$47</formula1>
    </dataValidation>
    <dataValidation type="list" allowBlank="1" sqref="H10:H34">
      <formula1>Lookup_Lists!$V$6:$V$7</formula1>
    </dataValidation>
    <dataValidation type="list" allowBlank="1" sqref="H5:H34">
      <formula1>Lookup_Lists!$V$6:$V$7</formula1>
    </dataValidation>
    <dataValidation type="list" allowBlank="1" sqref="I10:I34">
      <formula1>Lookup_Lists!$J$6:$J$17</formula1>
    </dataValidation>
    <dataValidation type="list" allowBlank="1" sqref="I5:I34">
      <formula1>Lookup_Lists!$J$6:$J$17</formula1>
    </dataValidation>
  </dataValidations>
  <pageMargins left="0.7" right="0.7" top="0.75" bottom="0.75" header="0.3" footer="0.3"/>
  <pageSetup orientation="portrait" horizontalDpi="4294967295" verticalDpi="4294967295" scale="100" fitToWidth="1" fitToHeight="1"/>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95"/>
  <sheetViews>
    <sheetView workbookViewId="0">
      <pane xSplit="4" ySplit="5" topLeftCell="E6" activePane="bottomRight" state="frozen"/>
      <selection pane="bottomRight"/>
    </sheetView>
  </sheetViews>
  <sheetFormatPr defaultRowHeight="15" outlineLevelRow="0" outlineLevelCol="0" x14ac:dyDescent="55"/>
  <cols>
    <col min="1" max="1" width="10" customWidth="1"/>
    <col min="6" max="7" width="10" customWidth="1"/>
    <col min="9" max="9" width="11" customWidth="1"/>
    <col min="10" max="10" width="21" customWidth="1"/>
    <col min="11" max="12" width="16" customWidth="1"/>
    <col min="13" max="13" width="15" customWidth="1"/>
    <col min="14" max="14" width="22" customWidth="1"/>
    <col min="15" max="15" width="17" customWidth="1"/>
    <col min="16" max="16" width="20" customWidth="1"/>
    <col min="17" max="20" width="22" customWidth="1"/>
    <col min="21" max="21" width="20" customWidth="1"/>
    <col min="22" max="22" width="13" customWidth="1"/>
    <col min="23" max="23" width="21" customWidth="1"/>
    <col min="24" max="24" width="22" customWidth="1"/>
    <col min="25" max="25" width="19" customWidth="1"/>
    <col min="26" max="26" width="22" customWidth="1"/>
    <col min="27" max="27" width="14" customWidth="1"/>
    <col min="28" max="31" width="22" customWidth="1"/>
    <col min="32" max="32" width="19" customWidth="1"/>
    <col min="33" max="33" width="17" customWidth="1"/>
    <col min="34" max="36" width="21" customWidth="1"/>
    <col min="37" max="37" width="19" customWidth="1"/>
    <col min="38" max="38" width="22" customWidth="1"/>
    <col min="39" max="39" width="11" customWidth="1"/>
    <col min="40" max="40" width="17" customWidth="1"/>
    <col min="41" max="41" width="14" customWidth="1"/>
    <col min="42" max="42" width="19" customWidth="1"/>
    <col min="43" max="43" width="13" customWidth="1"/>
    <col min="44" max="44" width="21" customWidth="1"/>
    <col min="45" max="45" width="12" customWidth="1"/>
    <col min="46" max="46" width="17" customWidth="1"/>
    <col min="47" max="47" width="19" customWidth="1"/>
    <col min="48" max="48" width="20" customWidth="1"/>
    <col min="49" max="49" width="40" customWidth="1"/>
    <col min="50" max="50" width="16" customWidth="1"/>
    <col min="51" max="51" width="22" customWidth="1"/>
    <col min="52" max="52" width="11" customWidth="1"/>
    <col min="53" max="57" width="22" customWidth="1"/>
    <col min="58" max="58" width="46" customWidth="1"/>
    <col min="59" max="59" width="40" customWidth="1"/>
  </cols>
  <sheetData>
    <row r="1" ht="24" customHeight="1" spans="1:59" x14ac:dyDescent="0.25">
      <c r="A1" s="1" t="s">
        <v>647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row>
    <row r="2" ht="30" customHeight="1" spans="1:59" x14ac:dyDescent="0.25">
      <c r="A2" s="2" t="s">
        <v>648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row>
    <row r="4" spans="1:59" x14ac:dyDescent="0.25">
      <c r="A4" s="34" t="s">
        <v>649</v>
      </c>
      <c r="B4" s="34"/>
      <c r="C4" s="34"/>
      <c r="D4" s="34"/>
      <c r="E4" s="34"/>
      <c r="F4" s="34"/>
      <c r="G4" s="34"/>
      <c r="H4" s="34"/>
      <c r="I4" s="34"/>
      <c r="J4" s="34"/>
      <c r="K4" s="34" t="s">
        <v>650</v>
      </c>
      <c r="L4" s="34"/>
      <c r="M4" s="34"/>
      <c r="N4" s="34"/>
      <c r="O4" s="34" t="s">
        <v>651</v>
      </c>
      <c r="P4" s="34"/>
      <c r="Q4" s="34"/>
      <c r="R4" s="34"/>
      <c r="S4" s="34"/>
      <c r="T4" s="34" t="s">
        <v>652</v>
      </c>
      <c r="U4" s="34"/>
      <c r="V4" s="34"/>
      <c r="W4" s="34"/>
      <c r="X4" s="34"/>
      <c r="Y4" s="34" t="s">
        <v>653</v>
      </c>
      <c r="Z4" s="34"/>
      <c r="AA4" s="34"/>
      <c r="AB4" s="34"/>
      <c r="AC4" s="34"/>
      <c r="AD4" s="34" t="s">
        <v>654</v>
      </c>
      <c r="AE4" s="34"/>
      <c r="AF4" s="34"/>
      <c r="AG4" s="34"/>
      <c r="AH4" s="34"/>
      <c r="AI4" s="34"/>
      <c r="AJ4" s="34"/>
      <c r="AK4" s="34" t="s">
        <v>655</v>
      </c>
      <c r="AL4" s="34"/>
      <c r="AM4" s="34"/>
      <c r="AN4" s="34"/>
      <c r="AO4" s="34"/>
      <c r="AP4" s="34" t="s">
        <v>656</v>
      </c>
      <c r="AQ4" s="34"/>
      <c r="AR4" s="34"/>
      <c r="AS4" s="34"/>
      <c r="AT4" s="34"/>
      <c r="AU4" s="34"/>
      <c r="AV4" s="34"/>
      <c r="AW4" s="34"/>
      <c r="AX4" s="34"/>
      <c r="AY4" s="34"/>
      <c r="AZ4" s="34"/>
      <c r="BA4" s="34" t="s">
        <v>657</v>
      </c>
      <c r="BB4" s="34"/>
      <c r="BC4" s="34"/>
      <c r="BD4" s="34"/>
      <c r="BE4" s="34"/>
      <c r="BF4" s="34"/>
      <c r="BG4" s="34"/>
    </row>
    <row r="5" ht="46" customHeight="1" spans="1:59" x14ac:dyDescent="0.25">
      <c r="A5" s="12" t="s">
        <v>82</v>
      </c>
      <c r="B5" s="12" t="s">
        <v>658</v>
      </c>
      <c r="C5" s="12" t="s">
        <v>342</v>
      </c>
      <c r="D5" s="12" t="s">
        <v>659</v>
      </c>
      <c r="E5" s="12" t="s">
        <v>344</v>
      </c>
      <c r="F5" s="12" t="s">
        <v>345</v>
      </c>
      <c r="G5" s="12" t="s">
        <v>346</v>
      </c>
      <c r="H5" s="12" t="s">
        <v>348</v>
      </c>
      <c r="I5" s="12" t="s">
        <v>351</v>
      </c>
      <c r="J5" s="12" t="s">
        <v>352</v>
      </c>
      <c r="K5" s="12" t="s">
        <v>660</v>
      </c>
      <c r="L5" s="12" t="s">
        <v>661</v>
      </c>
      <c r="M5" s="12" t="s">
        <v>662</v>
      </c>
      <c r="N5" s="12" t="s">
        <v>13</v>
      </c>
      <c r="O5" s="12" t="s">
        <v>663</v>
      </c>
      <c r="P5" s="12" t="s">
        <v>664</v>
      </c>
      <c r="Q5" s="12" t="s">
        <v>665</v>
      </c>
      <c r="R5" s="12" t="s">
        <v>666</v>
      </c>
      <c r="S5" s="12" t="s">
        <v>15</v>
      </c>
      <c r="T5" s="12" t="s">
        <v>667</v>
      </c>
      <c r="U5" s="12" t="s">
        <v>668</v>
      </c>
      <c r="V5" s="12" t="s">
        <v>669</v>
      </c>
      <c r="W5" s="12" t="s">
        <v>670</v>
      </c>
      <c r="X5" s="12" t="s">
        <v>17</v>
      </c>
      <c r="Y5" s="12" t="s">
        <v>671</v>
      </c>
      <c r="Z5" s="12" t="s">
        <v>672</v>
      </c>
      <c r="AA5" s="12" t="s">
        <v>673</v>
      </c>
      <c r="AB5" s="12" t="s">
        <v>674</v>
      </c>
      <c r="AC5" s="12" t="s">
        <v>19</v>
      </c>
      <c r="AD5" s="12" t="s">
        <v>675</v>
      </c>
      <c r="AE5" s="12" t="s">
        <v>676</v>
      </c>
      <c r="AF5" s="12" t="s">
        <v>357</v>
      </c>
      <c r="AG5" s="12" t="s">
        <v>358</v>
      </c>
      <c r="AH5" s="12" t="s">
        <v>677</v>
      </c>
      <c r="AI5" s="12" t="s">
        <v>678</v>
      </c>
      <c r="AJ5" s="12" t="s">
        <v>21</v>
      </c>
      <c r="AK5" s="12" t="s">
        <v>679</v>
      </c>
      <c r="AL5" s="12" t="s">
        <v>387</v>
      </c>
      <c r="AM5" s="12" t="s">
        <v>388</v>
      </c>
      <c r="AN5" s="12" t="s">
        <v>680</v>
      </c>
      <c r="AO5" s="12" t="s">
        <v>23</v>
      </c>
      <c r="AP5" s="12" t="s">
        <v>681</v>
      </c>
      <c r="AQ5" s="12" t="s">
        <v>682</v>
      </c>
      <c r="AR5" s="12" t="s">
        <v>397</v>
      </c>
      <c r="AS5" s="12" t="s">
        <v>683</v>
      </c>
      <c r="AT5" s="12" t="s">
        <v>684</v>
      </c>
      <c r="AU5" s="12" t="s">
        <v>685</v>
      </c>
      <c r="AV5" s="12" t="s">
        <v>686</v>
      </c>
      <c r="AW5" s="12" t="s">
        <v>687</v>
      </c>
      <c r="AX5" s="12" t="s">
        <v>688</v>
      </c>
      <c r="AY5" s="12" t="s">
        <v>689</v>
      </c>
      <c r="AZ5" s="12" t="s">
        <v>690</v>
      </c>
      <c r="BA5" s="12" t="s">
        <v>691</v>
      </c>
      <c r="BB5" s="12" t="s">
        <v>692</v>
      </c>
      <c r="BC5" s="12" t="s">
        <v>693</v>
      </c>
      <c r="BD5" s="12" t="s">
        <v>694</v>
      </c>
      <c r="BE5" s="12" t="s">
        <v>695</v>
      </c>
      <c r="BF5" s="12" t="s">
        <v>696</v>
      </c>
      <c r="BG5" s="12" t="s">
        <v>697</v>
      </c>
    </row>
    <row r="6" spans="1:59" x14ac:dyDescent="0.25">
      <c r="A6" s="43" t="s">
        <v>71</v>
      </c>
      <c r="B6" s="44">
        <f>Brand_Profile!$D$9</f>
      </c>
      <c r="C6" s="44">
        <f>KOL_Database!$A$5</f>
      </c>
      <c r="D6" s="44">
        <f>KOL_Database!$B$5</f>
      </c>
      <c r="E6" s="44">
        <f>KOL_Database!$C$5</f>
      </c>
      <c r="F6" s="44">
        <f>KOL_Database!$D$5</f>
      </c>
      <c r="G6" s="44">
        <f>KOL_Database!$E$5</f>
      </c>
      <c r="H6" s="44">
        <f>KOL_Database!$G$5</f>
      </c>
      <c r="I6" s="45">
        <f>KOL_Database!$J$5</f>
      </c>
      <c r="J6" s="46">
        <f>KOL_Database!$K$5</f>
      </c>
      <c r="K6" s="47">
        <f>IFERROR(INDEX(Lookup_Lists!$B$170:$O$181,MATCH(Brand_Profile!$D$10,Lookup_Lists!$A$170:$A$181,0),MATCH(KOL_Database!$E$5,Lookup_Lists!$B$169:$O$169,0)),Lookup_Lists!$D$151)</f>
      </c>
      <c r="L6" s="47">
        <f>IF(KOL_Database!$F$5="",Matching_Engine!$BC$6,IF(Brand_Profile!$D$12=KOL_Database!$F$5,100,IF(Matching_Engine!$BA$6=KOL_Database!$E$5,80,IF(Matching_Engine!$BC$6&gt;=80,60,IF(Matching_Engine!$BC$6&gt;=60,40,Lookup_Lists!$D$151)))))</f>
      </c>
      <c r="M6" s="47">
        <f>ROUND((IF(Brand_Profile!$D$62=0,Lookup_Lists!$D$150,ROUND((IF(Brand_Profile!$D$57="",0,IF(ISNUMBER(SEARCH(Brand_Profile!$D$57,Matching_Engine!$BF$6)),1,0))+IF(Brand_Profile!$D$58="",0,IF(ISNUMBER(SEARCH(Brand_Profile!$D$58,Matching_Engine!$BF$6)),1,0))+IF(Brand_Profile!$D$59="",0,IF(ISNUMBER(SEARCH(Brand_Profile!$D$59,Matching_Engine!$BF$6)),1,0))+IF(Brand_Profile!$D$60="",0,IF(ISNUMBER(SEARCH(Brand_Profile!$D$60,Matching_Engine!$BF$6)),1,0))+IF(Brand_Profile!$D$61="",0,IF(ISNUMBER(SEARCH(Brand_Profile!$D$61,Matching_Engine!$BF$6)),1,0)))/Brand_Profile!$D$62*100,0))+IF(Brand_Profile!$D$74=0,Lookup_Lists!$D$150,ROUND((IF(Brand_Profile!$D$69="",0,IF(ISNUMBER(SEARCH(Brand_Profile!$D$69,Matching_Engine!$BF$6)),1,0))+IF(Brand_Profile!$D$70="",0,IF(ISNUMBER(SEARCH(Brand_Profile!$D$70,Matching_Engine!$BF$6)),1,0))+IF(Brand_Profile!$D$71="",0,IF(ISNUMBER(SEARCH(Brand_Profile!$D$71,Matching_Engine!$BF$6)),1,0))+IF(Brand_Profile!$D$72="",0,IF(ISNUMBER(SEARCH(Brand_Profile!$D$72,Matching_Engine!$BF$6)),1,0))+IF(Brand_Profile!$D$73="",0,IF(ISNUMBER(SEARCH(Brand_Profile!$D$73,Matching_Engine!$BF$6)),1,0)))/Brand_Profile!$D$74*100,0)))/2,0)</f>
      </c>
      <c r="N6" s="47">
        <f>ROUND((Matching_Engine!$K$6*Lookup_Lists!$D$110+Matching_Engine!$L$6*Lookup_Lists!$D$111+Matching_Engine!$M$6*Lookup_Lists!$D$112)/(Lookup_Lists!$D$110+Lookup_Lists!$D$111+Lookup_Lists!$D$112),0)</f>
      </c>
      <c r="O6" s="47">
        <f>IF(Brand_Profile!$D$16="",Lookup_Lists!$D$150,MIN(100,ROUND((IFERROR(INDEX(KOL_Database!$W$5:KOL_Database!$AA$5,1,MATCH(Brand_Profile!$D$16,Lookup_Lists!$F$6:$F$10,0)),0)+0.5*IFERROR(INDEX(KOL_Database!$W$5:KOL_Database!$AA$5,1,MATCH(Brand_Profile!$D$17,Lookup_Lists!$F$6:$F$10,0)),0))/Lookup_Lists!$D$142*100,0)))</f>
      </c>
      <c r="P6" s="47">
        <f>IF(OR(Brand_Profile!$D$18="",Brand_Profile!$D$18="Any"),100,IF(Brand_Profile!$D$18="Female",MIN(100,ROUND(KOL_Database!$AB$5/Lookup_Lists!$D$143*100,0)),IF(Brand_Profile!$D$18="Male",MIN(100,ROUND(KOL_Database!$AC$5/Lookup_Lists!$D$143*100,0)),MAX(0,ROUND(100-ABS(KOL_Database!$AB$5-50)*2,0)))))</f>
      </c>
      <c r="Q6" s="47">
        <f>ROUND((IF(Brand_Profile!$D$19="",100,IF(KOL_Database!$AD$5=Brand_Profile!$D$19,100,Lookup_Lists!$D$151))*Lookup_Lists!$D$118+IF(OR(Brand_Profile!$D$20="",Brand_Profile!$D$20="Nasional"),100,IF(KOL_Database!$AE$5="",Lookup_Lists!$D$150,IF(KOL_Database!$AE$5=Brand_Profile!$D$20,100,IF(KOL_Database!$AD$5=Brand_Profile!$D$19,40,Lookup_Lists!$D$151))))*Lookup_Lists!$D$119+IF(OR(Brand_Profile!$D$21="",Brand_Profile!$D$21="Nasional"),100,IF(KOL_Database!$AF$5="",Lookup_Lists!$D$150,IF(KOL_Database!$AF$5=Brand_Profile!$D$21,100,IF(KOL_Database!$AE$5=Brand_Profile!$D$20,60,Lookup_Lists!$D$151))))*Lookup_Lists!$D$120)/(Lookup_Lists!$D$118+Lookup_Lists!$D$119+Lookup_Lists!$D$120),0)</f>
      </c>
      <c r="R6" s="47">
        <f>IF(Brand_Profile!$D$68=0,Lookup_Lists!$D$150,ROUND((IF(Brand_Profile!$D$63="",0,IF(ISNUMBER(SEARCH(Brand_Profile!$D$63,KOL_Database!$AG$5)),1,0))+IF(Brand_Profile!$D$64="",0,IF(ISNUMBER(SEARCH(Brand_Profile!$D$64,KOL_Database!$AG$5)),1,0))+IF(Brand_Profile!$D$65="",0,IF(ISNUMBER(SEARCH(Brand_Profile!$D$65,KOL_Database!$AG$5)),1,0))+IF(Brand_Profile!$D$66="",0,IF(ISNUMBER(SEARCH(Brand_Profile!$D$66,KOL_Database!$AG$5)),1,0))+IF(Brand_Profile!$D$67="",0,IF(ISNUMBER(SEARCH(Brand_Profile!$D$67,KOL_Database!$AG$5)),1,0)))/Brand_Profile!$D$68*100,0))</f>
      </c>
      <c r="S6" s="47">
        <f>ROUND((Matching_Engine!$O$6*Brand_Profile!$D$96+Matching_Engine!$P$6*Brand_Profile!$D$97+Matching_Engine!$Q$6*Brand_Profile!$D$98+Matching_Engine!$R$6*Brand_Profile!$D$99)/MAX(1,Brand_Profile!$D$96+Brand_Profile!$D$97+Brand_Profile!$D$98+Brand_Profile!$D$99),0)</f>
      </c>
      <c r="T6" s="47">
        <f>IF(Brand_Profile!$D$33="",Lookup_Lists!$D$150,Matching_Engine!$BD$6)</f>
      </c>
      <c r="U6" s="47">
        <f>IF(Brand_Profile!$D$34="",Lookup_Lists!$D$150,IF(Brand_Profile!$D$34=KOL_Database!$F$5,100,IF(Matching_Engine!$BE$6=KOL_Database!$E$5,75,IF(Matching_Engine!$BD$6&gt;=80,Lookup_Lists!$D$150,IF(Matching_Engine!$BD$6&gt;=60,35,Lookup_Lists!$D$151)))))</f>
      </c>
      <c r="V6" s="47">
        <f>IF(Brand_Profile!$D$86=0,Lookup_Lists!$D$150,ROUND((IF(Brand_Profile!$D$81="",0,IF(ISNUMBER(SEARCH(Brand_Profile!$D$81,Matching_Engine!$BG$6)),1,0))+IF(Brand_Profile!$D$82="",0,IF(ISNUMBER(SEARCH(Brand_Profile!$D$82,Matching_Engine!$BG$6)),1,0))+IF(Brand_Profile!$D$83="",0,IF(ISNUMBER(SEARCH(Brand_Profile!$D$83,Matching_Engine!$BG$6)),1,0))+IF(Brand_Profile!$D$84="",0,IF(ISNUMBER(SEARCH(Brand_Profile!$D$84,Matching_Engine!$BG$6)),1,0))+IF(Brand_Profile!$D$85="",0,IF(ISNUMBER(SEARCH(Brand_Profile!$D$85,Matching_Engine!$BG$6)),1,0)))/Brand_Profile!$D$86*100,0))</f>
      </c>
      <c r="W6" s="47">
        <f>IF(Brand_Profile!$D$39="",Lookup_Lists!$D$150,IFERROR(INDEX(Lookup_Lists!$B$237:$K$246,MATCH(Brand_Profile!$D$39,Lookup_Lists!$A$237:$A$246,0),MATCH(KOL_Database!$AJ$5,Lookup_Lists!$B$236:$K$236,0)),45))</f>
      </c>
      <c r="X6" s="47">
        <f>ROUND((Matching_Engine!$T$6*Lookup_Lists!$D$121+Matching_Engine!$U$6*Lookup_Lists!$D$122+Matching_Engine!$V$6*Lookup_Lists!$D$123+Matching_Engine!$W$6*Lookup_Lists!$D$124)/(Lookup_Lists!$D$121+Lookup_Lists!$D$122+Lookup_Lists!$D$123+Lookup_Lists!$D$124),0)</f>
      </c>
      <c r="Y6" s="47">
        <f>MIN(100,MAX(IFERROR(INDEX(Lookup_Lists!$B$202:$M$211,MATCH(Brand_Profile!$D$25,Lookup_Lists!$A$202:$A$211,0),MATCH(KOL_Database!$AK$5,Lookup_Lists!$B$201:$M$201,0)),40),IF(KOL_Database!$AK$5=Brand_Profile!$D$41,95,0)))</f>
      </c>
      <c r="Z6" s="47">
        <f>IFERROR(INDEX(Lookup_Lists!$B$215:$K$222,MATCH(Brand_Profile!$D$27,Lookup_Lists!$A$215:$A$222,0),MATCH(KOL_Database!$AJ$5,Lookup_Lists!$B$214:$K$214,0)),45)</f>
      </c>
      <c r="AA6" s="47">
        <f>ROUND((IF(Brand_Profile!$D$80=0,Lookup_Lists!$D$150,ROUND((IF(Brand_Profile!$D$75="",0,IF(ISNUMBER(SEARCH(Brand_Profile!$D$75,KOL_Database!$AL$5)),1,0))+IF(Brand_Profile!$D$76="",0,IF(ISNUMBER(SEARCH(Brand_Profile!$D$76,KOL_Database!$AL$5)),1,0))+IF(Brand_Profile!$D$77="",0,IF(ISNUMBER(SEARCH(Brand_Profile!$D$77,KOL_Database!$AL$5)),1,0))+IF(Brand_Profile!$D$78="",0,IF(ISNUMBER(SEARCH(Brand_Profile!$D$78,KOL_Database!$AL$5)),1,0))+IF(Brand_Profile!$D$79="",0,IF(ISNUMBER(SEARCH(Brand_Profile!$D$79,KOL_Database!$AL$5)),1,0)))/Brand_Profile!$D$80*100,0))+IF(Brand_Profile!$D$92=0,Lookup_Lists!$D$150,ROUND((IF(Brand_Profile!$D$87="",0,IF(ISNUMBER(SEARCH(Brand_Profile!$D$87,KOL_Database!$AL$5)),1,0))+IF(Brand_Profile!$D$88="",0,IF(ISNUMBER(SEARCH(Brand_Profile!$D$88,KOL_Database!$AL$5)),1,0))+IF(Brand_Profile!$D$89="",0,IF(ISNUMBER(SEARCH(Brand_Profile!$D$89,KOL_Database!$AL$5)),1,0))+IF(Brand_Profile!$D$90="",0,IF(ISNUMBER(SEARCH(Brand_Profile!$D$90,KOL_Database!$AL$5)),1,0))+IF(Brand_Profile!$D$91="",0,IF(ISNUMBER(SEARCH(Brand_Profile!$D$91,KOL_Database!$AL$5)),1,0)))/Brand_Profile!$D$92*100,0)))/2,0)</f>
      </c>
      <c r="AB6" s="47">
        <f>IFERROR(INDEX(Lookup_Lists!$B$226:$K$233,MATCH(Brand_Profile!$D$30,Lookup_Lists!$A$226:$A$233,0),MATCH(KOL_Database!$AJ$5,Lookup_Lists!$B$225:$K$225,0)),45)</f>
      </c>
      <c r="AC6" s="47">
        <f>ROUND((Matching_Engine!$Y$6*Lookup_Lists!$D$125+Matching_Engine!$Z$6*Lookup_Lists!$D$126+Matching_Engine!$AA$6*Lookup_Lists!$D$127+Matching_Engine!$AB$6*Lookup_Lists!$D$128)/(Lookup_Lists!$D$125+Lookup_Lists!$D$126+Lookup_Lists!$D$127+Lookup_Lists!$D$128),0)</f>
      </c>
      <c r="AD6" s="47">
        <f>IF(KOL_Database!$K$5="",0,MIN(100,ROUND(KOL_Database!$K$5/Lookup_Lists!$D$141*100,0)))</f>
      </c>
      <c r="AE6" s="47">
        <f>IF(KOL_Database!$R$5="",0,MIN(100,MAX(0,KOL_Database!$R$5)))</f>
      </c>
      <c r="AF6" s="47">
        <f>IF(KOL_Database!$P$5="",0,MIN(100,MAX(0,KOL_Database!$P$5)))</f>
      </c>
      <c r="AG6" s="47">
        <f>IF(KOL_Database!$Q$5="",0,MIN(100,MAX(0,KOL_Database!$Q$5)))</f>
      </c>
      <c r="AH6" s="47">
        <f>IF(OR(KOL_Database!$J$5="",KOL_Database!$J$5=0,KOL_Database!$L$5=""),0,MIN(100,ROUND(KOL_Database!$L$5/KOL_Database!$J$5/Lookup_Lists!$D$144*100,0)))</f>
      </c>
      <c r="AI6" s="47">
        <f>IF(KOL_Database!$N$5="",0,MIN(100,MAX(0,ROUND((KOL_Database!$N$5+2)/(Lookup_Lists!$D$145+2)*100,0))))</f>
      </c>
      <c r="AJ6" s="47">
        <f>ROUND((Matching_Engine!$AD$6*Lookup_Lists!$D$129+Matching_Engine!$AE$6*Lookup_Lists!$D$130+Matching_Engine!$AF$6*Lookup_Lists!$D$131+Matching_Engine!$AG$6*Lookup_Lists!$D$132+Matching_Engine!$AH$6*Lookup_Lists!$D$133+Matching_Engine!$AI$6*Lookup_Lists!$D$134)/(Lookup_Lists!$D$129+Lookup_Lists!$D$130+Lookup_Lists!$D$131+Lookup_Lists!$D$132+Lookup_Lists!$D$133+Lookup_Lists!$D$134),0)</f>
      </c>
      <c r="AK6" s="47">
        <f>IF(KOL_Database!$AT$5="",0,MIN(100,MAX(0,KOL_Database!$AT$5)))</f>
      </c>
      <c r="AL6" s="47">
        <f>IF(KOL_Database!$AU$5="",0,KOL_Database!$AU$5)</f>
      </c>
      <c r="AM6" s="44">
        <f>IF(KOL_Database!$AV$5="","None",KOL_Database!$AV$5)</f>
      </c>
      <c r="AN6" s="48">
        <f>IF(Matching_Engine!$AM$6="High",Lookup_Lists!$D$137,IF(Matching_Engine!$AM$6="Medium",Lookup_Lists!$D$138,IF(Matching_Engine!$AM$6="Low",Lookup_Lists!$D$139,Lookup_Lists!$D$140)))</f>
      </c>
      <c r="AO6" s="47">
        <f>ROUND(MIN(100,MAX(0,(Matching_Engine!$AK$6*Lookup_Lists!$D$135+(100-Matching_Engine!$AL$6)*Lookup_Lists!$D$136)/(Lookup_Lists!$D$135+Lookup_Lists!$D$136)*Matching_Engine!$AN$6)),0)</f>
      </c>
      <c r="AP6" s="49">
        <f>ROUND((Matching_Engine!$N$6*Lookup_Lists!$D$104+Matching_Engine!$S$6*Lookup_Lists!$D$105+Matching_Engine!$X$6*Lookup_Lists!$D$106+Matching_Engine!$AC$6*Lookup_Lists!$D$107+Matching_Engine!$AJ$6*Lookup_Lists!$D$108+Matching_Engine!$AO$6*Lookup_Lists!$D$109)/MAX(1,(Lookup_Lists!$D$104+Lookup_Lists!$D$105+Lookup_Lists!$D$106+Lookup_Lists!$D$107+Lookup_Lists!$D$108+Lookup_Lists!$D$109)),0)</f>
      </c>
      <c r="AQ6" s="44">
        <f>IF(Matching_Engine!$AP$6&gt;=Lookup_Lists!$D$152,"Excellent Match",IF(Matching_Engine!$AP$6&gt;=Lookup_Lists!$D$153,"Strong Match",IF(Matching_Engine!$AP$6&gt;=Lookup_Lists!$D$154,"Good Match",IF(Matching_Engine!$AP$6&gt;=Lookup_Lists!$D$155,"Moderate Match","Low Match"))))</f>
      </c>
      <c r="AR6" s="47">
        <f>KOL_Database!$BE$5</f>
      </c>
      <c r="AS6" s="44">
        <f>IF(Matching_Engine!$AR$6&gt;=Lookup_Lists!$D$159,"High",IF(Matching_Engine!$AR$6&gt;=Lookup_Lists!$D$160,"Medium","Limited Data"))</f>
      </c>
      <c r="AT6" s="47">
        <f>ROUND((Matching_Engine!$N$6+Matching_Engine!$X$6+Matching_Engine!$AC$6)/3,0)</f>
      </c>
      <c r="AU6" s="47">
        <f>ROUND(((100-Matching_Engine!$AL$6)*Lookup_Lists!$D$162+IF(KOL_Database!$BD$5="",Lookup_Lists!$D$150,KOL_Database!$BD$5)*Lookup_Lists!$D$163+Matching_Engine!$AI$6*Lookup_Lists!$D$164+Matching_Engine!$AD$6*Lookup_Lists!$D$165)/(Lookup_Lists!$D$162+Lookup_Lists!$D$163+Lookup_Lists!$D$164+Lookup_Lists!$D$165),0)</f>
      </c>
      <c r="AV6" s="44">
        <f>IF(Matching_Engine!$AW$6="","PASS","EXCLUDED")</f>
      </c>
      <c r="AW6" s="44">
        <f>IF(ISERROR(SEARCH(KOL_Database!$D$5,Brand_Profile!$D$32)),"Platform not in Preferred Platform",IF(AND(Brand_Profile!$D$36&gt;0,KOL_Database!$J$5&lt;Brand_Profile!$D$36),"Followers below Preferred Follower Range",IF(AND(Brand_Profile!$D$37&gt;0,KOL_Database!$J$5&gt;Brand_Profile!$D$37),"Followers above Preferred Follower Range",IF(AND(Brand_Profile!$D$38&gt;0,IF(KOL_Database!$K$5="",0,KOL_Database!$K$5)&lt;Brand_Profile!$D$38),"Engagement Rate below Minimum Engagement Rate",IF(ISERROR(SEARCH(KOL_Database!$G$5,Brand_Profile!$D$35)),"Tier not in Preferred Tier",IF(AND(Brand_Profile!$D$43&gt;0,Matching_Engine!$AE$6&lt;Brand_Profile!$D$43),"Audience Quality below Minimum Audience Quality",IF(AND(Brand_Profile!$D$44&gt;0,Matching_Engine!$AK$6&lt;Brand_Profile!$D$44),"Brand Safety below Minimum Brand Safety",IF(AND(Brand_Profile!$D$47="Yes",KOL_Database!$AD$5&lt;&gt;Brand_Profile!$D$19),"Audience Country does not match Target Country",IF(AND(Brand_Profile!$D$46="Yes",KOL_Database!$E$5&lt;&gt;Brand_Profile!$D$33),"Category is not the Preferred Category",IF(AND(Brand_Profile!$D$48&gt;0,Matching_Engine!$AL$6&gt;Brand_Profile!$D$48),"Competitor Saturation above Max Competitor Saturation",IF(AND(Brand_Profile!$D$50="Yes",KOL_Database!$AW$5="Yes"),"Already Selected",IF(AND(Brand_Profile!$D$51="Yes",KOL_Database!$AX$5="Yes"),"Already in Cart",IF(AND(Brand_Profile!$D$52="Yes",KOL_Database!$AY$5="Yes"),"Existing Partner",IF(AND(Brand_Profile!$D$53="Yes",KOL_Database!$AZ$5="Yes"),"Excluded Creator",IF(AND(Brand_Profile!$D$49&gt;0,Matching_Engine!$AP$6&lt;Brand_Profile!$D$49),"Brand Match below Minimum Brand Match","")))))))))))))))</f>
      </c>
      <c r="AX6" s="44">
        <f>IF(Matching_Engine!$AV$6="EXCLUDED","Excluded",IF(Matching_Engine!$AP$6&gt;=Lookup_Lists!$D$156,"Highly Recommended",IF(Matching_Engine!$AP$6&gt;=Lookup_Lists!$D$157,"Recommended",IF(Matching_Engine!$AP$6&gt;=Lookup_Lists!$D$158,"Consider","Low Priority"))))</f>
      </c>
      <c r="AY6" s="47">
        <f>IF(Matching_Engine!$AV$6="PASS",Matching_Engine!$AP$6,"")</f>
      </c>
      <c r="AZ6" s="44">
        <f>Matching_Engine!$A$6&amp;"|"&amp;Matching_Engine!$C$6</f>
      </c>
      <c r="BA6" s="44">
        <f>IFERROR(INDEX(Lookup_Lists!$B$51:$B$92,MATCH(Brand_Profile!$D$12,Lookup_Lists!$A$51:$A$92,0)),"")</f>
      </c>
      <c r="BB6" s="44">
        <f>IFERROR(INDEX(Lookup_Lists!$B$51:$B$92,MATCH(KOL_Database!$F$5,Lookup_Lists!$A$51:$A$92,0)),"")</f>
      </c>
      <c r="BC6" s="47">
        <f>IFERROR(INDEX(Lookup_Lists!$B$185:$O$198,MATCH(Matching_Engine!$BA$6,Lookup_Lists!$A$185:$A$198,0),MATCH(KOL_Database!$E$5,Lookup_Lists!$B$184:$O$184,0)),Lookup_Lists!$D$151)</f>
      </c>
      <c r="BD6" s="47">
        <f>IFERROR(INDEX(Lookup_Lists!$B$185:$O$198,MATCH(Brand_Profile!$D$33,Lookup_Lists!$A$185:$A$198,0),MATCH(KOL_Database!$E$5,Lookup_Lists!$B$184:$O$184,0)),Lookup_Lists!$D$151)</f>
      </c>
      <c r="BE6" s="44">
        <f>IFERROR(INDEX(Lookup_Lists!$B$51:$B$92,MATCH(Brand_Profile!$D$34,Lookup_Lists!$A$51:$A$92,0)),"")</f>
      </c>
      <c r="BF6" s="44">
        <f>KOL_Database!$AI$5&amp;", "&amp;KOL_Database!$AG$5&amp;", "&amp;KOL_Database!$F$5&amp;", "&amp;KOL_Database!$E$5</f>
      </c>
      <c r="BG6" s="44">
        <f>KOL_Database!$AI$5&amp;", "&amp;KOL_Database!$AG$5</f>
      </c>
    </row>
    <row r="7" spans="1:59" x14ac:dyDescent="0.25">
      <c r="A7" s="43" t="s">
        <v>71</v>
      </c>
      <c r="B7" s="44">
        <f>Brand_Profile!$D$9</f>
      </c>
      <c r="C7" s="44">
        <f>KOL_Database!$A$6</f>
      </c>
      <c r="D7" s="44">
        <f>KOL_Database!$B$6</f>
      </c>
      <c r="E7" s="44">
        <f>KOL_Database!$C$6</f>
      </c>
      <c r="F7" s="44">
        <f>KOL_Database!$D$6</f>
      </c>
      <c r="G7" s="44">
        <f>KOL_Database!$E$6</f>
      </c>
      <c r="H7" s="44">
        <f>KOL_Database!$G$6</f>
      </c>
      <c r="I7" s="45">
        <f>KOL_Database!$J$6</f>
      </c>
      <c r="J7" s="46">
        <f>KOL_Database!$K$6</f>
      </c>
      <c r="K7" s="47">
        <f>IFERROR(INDEX(Lookup_Lists!$B$170:$O$181,MATCH(Brand_Profile!$D$10,Lookup_Lists!$A$170:$A$181,0),MATCH(KOL_Database!$E$6,Lookup_Lists!$B$169:$O$169,0)),Lookup_Lists!$D$151)</f>
      </c>
      <c r="L7" s="47">
        <f>IF(KOL_Database!$F$6="",Matching_Engine!$BC$7,IF(Brand_Profile!$D$12=KOL_Database!$F$6,100,IF(Matching_Engine!$BA$7=KOL_Database!$E$6,80,IF(Matching_Engine!$BC$7&gt;=80,60,IF(Matching_Engine!$BC$7&gt;=60,40,Lookup_Lists!$D$151)))))</f>
      </c>
      <c r="M7" s="47">
        <f>ROUND((IF(Brand_Profile!$D$62=0,Lookup_Lists!$D$150,ROUND((IF(Brand_Profile!$D$57="",0,IF(ISNUMBER(SEARCH(Brand_Profile!$D$57,Matching_Engine!$BF$7)),1,0))+IF(Brand_Profile!$D$58="",0,IF(ISNUMBER(SEARCH(Brand_Profile!$D$58,Matching_Engine!$BF$7)),1,0))+IF(Brand_Profile!$D$59="",0,IF(ISNUMBER(SEARCH(Brand_Profile!$D$59,Matching_Engine!$BF$7)),1,0))+IF(Brand_Profile!$D$60="",0,IF(ISNUMBER(SEARCH(Brand_Profile!$D$60,Matching_Engine!$BF$7)),1,0))+IF(Brand_Profile!$D$61="",0,IF(ISNUMBER(SEARCH(Brand_Profile!$D$61,Matching_Engine!$BF$7)),1,0)))/Brand_Profile!$D$62*100,0))+IF(Brand_Profile!$D$74=0,Lookup_Lists!$D$150,ROUND((IF(Brand_Profile!$D$69="",0,IF(ISNUMBER(SEARCH(Brand_Profile!$D$69,Matching_Engine!$BF$7)),1,0))+IF(Brand_Profile!$D$70="",0,IF(ISNUMBER(SEARCH(Brand_Profile!$D$70,Matching_Engine!$BF$7)),1,0))+IF(Brand_Profile!$D$71="",0,IF(ISNUMBER(SEARCH(Brand_Profile!$D$71,Matching_Engine!$BF$7)),1,0))+IF(Brand_Profile!$D$72="",0,IF(ISNUMBER(SEARCH(Brand_Profile!$D$72,Matching_Engine!$BF$7)),1,0))+IF(Brand_Profile!$D$73="",0,IF(ISNUMBER(SEARCH(Brand_Profile!$D$73,Matching_Engine!$BF$7)),1,0)))/Brand_Profile!$D$74*100,0)))/2,0)</f>
      </c>
      <c r="N7" s="47">
        <f>ROUND((Matching_Engine!$K$7*Lookup_Lists!$D$110+Matching_Engine!$L$7*Lookup_Lists!$D$111+Matching_Engine!$M$7*Lookup_Lists!$D$112)/(Lookup_Lists!$D$110+Lookup_Lists!$D$111+Lookup_Lists!$D$112),0)</f>
      </c>
      <c r="O7" s="47">
        <f>IF(Brand_Profile!$D$16="",Lookup_Lists!$D$150,MIN(100,ROUND((IFERROR(INDEX(KOL_Database!$W$6:KOL_Database!$AA$6,1,MATCH(Brand_Profile!$D$16,Lookup_Lists!$F$6:$F$10,0)),0)+0.5*IFERROR(INDEX(KOL_Database!$W$6:KOL_Database!$AA$6,1,MATCH(Brand_Profile!$D$17,Lookup_Lists!$F$6:$F$10,0)),0))/Lookup_Lists!$D$142*100,0)))</f>
      </c>
      <c r="P7" s="47">
        <f>IF(OR(Brand_Profile!$D$18="",Brand_Profile!$D$18="Any"),100,IF(Brand_Profile!$D$18="Female",MIN(100,ROUND(KOL_Database!$AB$6/Lookup_Lists!$D$143*100,0)),IF(Brand_Profile!$D$18="Male",MIN(100,ROUND(KOL_Database!$AC$6/Lookup_Lists!$D$143*100,0)),MAX(0,ROUND(100-ABS(KOL_Database!$AB$6-50)*2,0)))))</f>
      </c>
      <c r="Q7" s="47">
        <f>ROUND((IF(Brand_Profile!$D$19="",100,IF(KOL_Database!$AD$6=Brand_Profile!$D$19,100,Lookup_Lists!$D$151))*Lookup_Lists!$D$118+IF(OR(Brand_Profile!$D$20="",Brand_Profile!$D$20="Nasional"),100,IF(KOL_Database!$AE$6="",Lookup_Lists!$D$150,IF(KOL_Database!$AE$6=Brand_Profile!$D$20,100,IF(KOL_Database!$AD$6=Brand_Profile!$D$19,40,Lookup_Lists!$D$151))))*Lookup_Lists!$D$119+IF(OR(Brand_Profile!$D$21="",Brand_Profile!$D$21="Nasional"),100,IF(KOL_Database!$AF$6="",Lookup_Lists!$D$150,IF(KOL_Database!$AF$6=Brand_Profile!$D$21,100,IF(KOL_Database!$AE$6=Brand_Profile!$D$20,60,Lookup_Lists!$D$151))))*Lookup_Lists!$D$120)/(Lookup_Lists!$D$118+Lookup_Lists!$D$119+Lookup_Lists!$D$120),0)</f>
      </c>
      <c r="R7" s="47">
        <f>IF(Brand_Profile!$D$68=0,Lookup_Lists!$D$150,ROUND((IF(Brand_Profile!$D$63="",0,IF(ISNUMBER(SEARCH(Brand_Profile!$D$63,KOL_Database!$AG$6)),1,0))+IF(Brand_Profile!$D$64="",0,IF(ISNUMBER(SEARCH(Brand_Profile!$D$64,KOL_Database!$AG$6)),1,0))+IF(Brand_Profile!$D$65="",0,IF(ISNUMBER(SEARCH(Brand_Profile!$D$65,KOL_Database!$AG$6)),1,0))+IF(Brand_Profile!$D$66="",0,IF(ISNUMBER(SEARCH(Brand_Profile!$D$66,KOL_Database!$AG$6)),1,0))+IF(Brand_Profile!$D$67="",0,IF(ISNUMBER(SEARCH(Brand_Profile!$D$67,KOL_Database!$AG$6)),1,0)))/Brand_Profile!$D$68*100,0))</f>
      </c>
      <c r="S7" s="47">
        <f>ROUND((Matching_Engine!$O$7*Brand_Profile!$D$96+Matching_Engine!$P$7*Brand_Profile!$D$97+Matching_Engine!$Q$7*Brand_Profile!$D$98+Matching_Engine!$R$7*Brand_Profile!$D$99)/MAX(1,Brand_Profile!$D$96+Brand_Profile!$D$97+Brand_Profile!$D$98+Brand_Profile!$D$99),0)</f>
      </c>
      <c r="T7" s="47">
        <f>IF(Brand_Profile!$D$33="",Lookup_Lists!$D$150,Matching_Engine!$BD$7)</f>
      </c>
      <c r="U7" s="47">
        <f>IF(Brand_Profile!$D$34="",Lookup_Lists!$D$150,IF(Brand_Profile!$D$34=KOL_Database!$F$6,100,IF(Matching_Engine!$BE$7=KOL_Database!$E$6,75,IF(Matching_Engine!$BD$7&gt;=80,Lookup_Lists!$D$150,IF(Matching_Engine!$BD$7&gt;=60,35,Lookup_Lists!$D$151)))))</f>
      </c>
      <c r="V7" s="47">
        <f>IF(Brand_Profile!$D$86=0,Lookup_Lists!$D$150,ROUND((IF(Brand_Profile!$D$81="",0,IF(ISNUMBER(SEARCH(Brand_Profile!$D$81,Matching_Engine!$BG$7)),1,0))+IF(Brand_Profile!$D$82="",0,IF(ISNUMBER(SEARCH(Brand_Profile!$D$82,Matching_Engine!$BG$7)),1,0))+IF(Brand_Profile!$D$83="",0,IF(ISNUMBER(SEARCH(Brand_Profile!$D$83,Matching_Engine!$BG$7)),1,0))+IF(Brand_Profile!$D$84="",0,IF(ISNUMBER(SEARCH(Brand_Profile!$D$84,Matching_Engine!$BG$7)),1,0))+IF(Brand_Profile!$D$85="",0,IF(ISNUMBER(SEARCH(Brand_Profile!$D$85,Matching_Engine!$BG$7)),1,0)))/Brand_Profile!$D$86*100,0))</f>
      </c>
      <c r="W7" s="47">
        <f>IF(Brand_Profile!$D$39="",Lookup_Lists!$D$150,IFERROR(INDEX(Lookup_Lists!$B$237:$K$246,MATCH(Brand_Profile!$D$39,Lookup_Lists!$A$237:$A$246,0),MATCH(KOL_Database!$AJ$6,Lookup_Lists!$B$236:$K$236,0)),45))</f>
      </c>
      <c r="X7" s="47">
        <f>ROUND((Matching_Engine!$T$7*Lookup_Lists!$D$121+Matching_Engine!$U$7*Lookup_Lists!$D$122+Matching_Engine!$V$7*Lookup_Lists!$D$123+Matching_Engine!$W$7*Lookup_Lists!$D$124)/(Lookup_Lists!$D$121+Lookup_Lists!$D$122+Lookup_Lists!$D$123+Lookup_Lists!$D$124),0)</f>
      </c>
      <c r="Y7" s="47">
        <f>MIN(100,MAX(IFERROR(INDEX(Lookup_Lists!$B$202:$M$211,MATCH(Brand_Profile!$D$25,Lookup_Lists!$A$202:$A$211,0),MATCH(KOL_Database!$AK$6,Lookup_Lists!$B$201:$M$201,0)),40),IF(KOL_Database!$AK$6=Brand_Profile!$D$41,95,0)))</f>
      </c>
      <c r="Z7" s="47">
        <f>IFERROR(INDEX(Lookup_Lists!$B$215:$K$222,MATCH(Brand_Profile!$D$27,Lookup_Lists!$A$215:$A$222,0),MATCH(KOL_Database!$AJ$6,Lookup_Lists!$B$214:$K$214,0)),45)</f>
      </c>
      <c r="AA7" s="47">
        <f>ROUND((IF(Brand_Profile!$D$80=0,Lookup_Lists!$D$150,ROUND((IF(Brand_Profile!$D$75="",0,IF(ISNUMBER(SEARCH(Brand_Profile!$D$75,KOL_Database!$AL$6)),1,0))+IF(Brand_Profile!$D$76="",0,IF(ISNUMBER(SEARCH(Brand_Profile!$D$76,KOL_Database!$AL$6)),1,0))+IF(Brand_Profile!$D$77="",0,IF(ISNUMBER(SEARCH(Brand_Profile!$D$77,KOL_Database!$AL$6)),1,0))+IF(Brand_Profile!$D$78="",0,IF(ISNUMBER(SEARCH(Brand_Profile!$D$78,KOL_Database!$AL$6)),1,0))+IF(Brand_Profile!$D$79="",0,IF(ISNUMBER(SEARCH(Brand_Profile!$D$79,KOL_Database!$AL$6)),1,0)))/Brand_Profile!$D$80*100,0))+IF(Brand_Profile!$D$92=0,Lookup_Lists!$D$150,ROUND((IF(Brand_Profile!$D$87="",0,IF(ISNUMBER(SEARCH(Brand_Profile!$D$87,KOL_Database!$AL$6)),1,0))+IF(Brand_Profile!$D$88="",0,IF(ISNUMBER(SEARCH(Brand_Profile!$D$88,KOL_Database!$AL$6)),1,0))+IF(Brand_Profile!$D$89="",0,IF(ISNUMBER(SEARCH(Brand_Profile!$D$89,KOL_Database!$AL$6)),1,0))+IF(Brand_Profile!$D$90="",0,IF(ISNUMBER(SEARCH(Brand_Profile!$D$90,KOL_Database!$AL$6)),1,0))+IF(Brand_Profile!$D$91="",0,IF(ISNUMBER(SEARCH(Brand_Profile!$D$91,KOL_Database!$AL$6)),1,0)))/Brand_Profile!$D$92*100,0)))/2,0)</f>
      </c>
      <c r="AB7" s="47">
        <f>IFERROR(INDEX(Lookup_Lists!$B$226:$K$233,MATCH(Brand_Profile!$D$30,Lookup_Lists!$A$226:$A$233,0),MATCH(KOL_Database!$AJ$6,Lookup_Lists!$B$225:$K$225,0)),45)</f>
      </c>
      <c r="AC7" s="47">
        <f>ROUND((Matching_Engine!$Y$7*Lookup_Lists!$D$125+Matching_Engine!$Z$7*Lookup_Lists!$D$126+Matching_Engine!$AA$7*Lookup_Lists!$D$127+Matching_Engine!$AB$7*Lookup_Lists!$D$128)/(Lookup_Lists!$D$125+Lookup_Lists!$D$126+Lookup_Lists!$D$127+Lookup_Lists!$D$128),0)</f>
      </c>
      <c r="AD7" s="47">
        <f>IF(KOL_Database!$K$6="",0,MIN(100,ROUND(KOL_Database!$K$6/Lookup_Lists!$D$141*100,0)))</f>
      </c>
      <c r="AE7" s="47">
        <f>IF(KOL_Database!$R$6="",0,MIN(100,MAX(0,KOL_Database!$R$6)))</f>
      </c>
      <c r="AF7" s="47">
        <f>IF(KOL_Database!$P$6="",0,MIN(100,MAX(0,KOL_Database!$P$6)))</f>
      </c>
      <c r="AG7" s="47">
        <f>IF(KOL_Database!$Q$6="",0,MIN(100,MAX(0,KOL_Database!$Q$6)))</f>
      </c>
      <c r="AH7" s="47">
        <f>IF(OR(KOL_Database!$J$6="",KOL_Database!$J$6=0,KOL_Database!$L$6=""),0,MIN(100,ROUND(KOL_Database!$L$6/KOL_Database!$J$6/Lookup_Lists!$D$144*100,0)))</f>
      </c>
      <c r="AI7" s="47">
        <f>IF(KOL_Database!$N$6="",0,MIN(100,MAX(0,ROUND((KOL_Database!$N$6+2)/(Lookup_Lists!$D$145+2)*100,0))))</f>
      </c>
      <c r="AJ7" s="47">
        <f>ROUND((Matching_Engine!$AD$7*Lookup_Lists!$D$129+Matching_Engine!$AE$7*Lookup_Lists!$D$130+Matching_Engine!$AF$7*Lookup_Lists!$D$131+Matching_Engine!$AG$7*Lookup_Lists!$D$132+Matching_Engine!$AH$7*Lookup_Lists!$D$133+Matching_Engine!$AI$7*Lookup_Lists!$D$134)/(Lookup_Lists!$D$129+Lookup_Lists!$D$130+Lookup_Lists!$D$131+Lookup_Lists!$D$132+Lookup_Lists!$D$133+Lookup_Lists!$D$134),0)</f>
      </c>
      <c r="AK7" s="47">
        <f>IF(KOL_Database!$AT$6="",0,MIN(100,MAX(0,KOL_Database!$AT$6)))</f>
      </c>
      <c r="AL7" s="47">
        <f>IF(KOL_Database!$AU$6="",0,KOL_Database!$AU$6)</f>
      </c>
      <c r="AM7" s="44">
        <f>IF(KOL_Database!$AV$6="","None",KOL_Database!$AV$6)</f>
      </c>
      <c r="AN7" s="48">
        <f>IF(Matching_Engine!$AM$7="High",Lookup_Lists!$D$137,IF(Matching_Engine!$AM$7="Medium",Lookup_Lists!$D$138,IF(Matching_Engine!$AM$7="Low",Lookup_Lists!$D$139,Lookup_Lists!$D$140)))</f>
      </c>
      <c r="AO7" s="47">
        <f>ROUND(MIN(100,MAX(0,(Matching_Engine!$AK$7*Lookup_Lists!$D$135+(100-Matching_Engine!$AL$7)*Lookup_Lists!$D$136)/(Lookup_Lists!$D$135+Lookup_Lists!$D$136)*Matching_Engine!$AN$7)),0)</f>
      </c>
      <c r="AP7" s="49">
        <f>ROUND((Matching_Engine!$N$7*Lookup_Lists!$D$104+Matching_Engine!$S$7*Lookup_Lists!$D$105+Matching_Engine!$X$7*Lookup_Lists!$D$106+Matching_Engine!$AC$7*Lookup_Lists!$D$107+Matching_Engine!$AJ$7*Lookup_Lists!$D$108+Matching_Engine!$AO$7*Lookup_Lists!$D$109)/MAX(1,(Lookup_Lists!$D$104+Lookup_Lists!$D$105+Lookup_Lists!$D$106+Lookup_Lists!$D$107+Lookup_Lists!$D$108+Lookup_Lists!$D$109)),0)</f>
      </c>
      <c r="AQ7" s="44">
        <f>IF(Matching_Engine!$AP$7&gt;=Lookup_Lists!$D$152,"Excellent Match",IF(Matching_Engine!$AP$7&gt;=Lookup_Lists!$D$153,"Strong Match",IF(Matching_Engine!$AP$7&gt;=Lookup_Lists!$D$154,"Good Match",IF(Matching_Engine!$AP$7&gt;=Lookup_Lists!$D$155,"Moderate Match","Low Match"))))</f>
      </c>
      <c r="AR7" s="47">
        <f>KOL_Database!$BE$6</f>
      </c>
      <c r="AS7" s="44">
        <f>IF(Matching_Engine!$AR$7&gt;=Lookup_Lists!$D$159,"High",IF(Matching_Engine!$AR$7&gt;=Lookup_Lists!$D$160,"Medium","Limited Data"))</f>
      </c>
      <c r="AT7" s="47">
        <f>ROUND((Matching_Engine!$N$7+Matching_Engine!$X$7+Matching_Engine!$AC$7)/3,0)</f>
      </c>
      <c r="AU7" s="47">
        <f>ROUND(((100-Matching_Engine!$AL$7)*Lookup_Lists!$D$162+IF(KOL_Database!$BD$6="",Lookup_Lists!$D$150,KOL_Database!$BD$6)*Lookup_Lists!$D$163+Matching_Engine!$AI$7*Lookup_Lists!$D$164+Matching_Engine!$AD$7*Lookup_Lists!$D$165)/(Lookup_Lists!$D$162+Lookup_Lists!$D$163+Lookup_Lists!$D$164+Lookup_Lists!$D$165),0)</f>
      </c>
      <c r="AV7" s="44">
        <f>IF(Matching_Engine!$AW$7="","PASS","EXCLUDED")</f>
      </c>
      <c r="AW7" s="44">
        <f>IF(ISERROR(SEARCH(KOL_Database!$D$6,Brand_Profile!$D$32)),"Platform not in Preferred Platform",IF(AND(Brand_Profile!$D$36&gt;0,KOL_Database!$J$6&lt;Brand_Profile!$D$36),"Followers below Preferred Follower Range",IF(AND(Brand_Profile!$D$37&gt;0,KOL_Database!$J$6&gt;Brand_Profile!$D$37),"Followers above Preferred Follower Range",IF(AND(Brand_Profile!$D$38&gt;0,IF(KOL_Database!$K$6="",0,KOL_Database!$K$6)&lt;Brand_Profile!$D$38),"Engagement Rate below Minimum Engagement Rate",IF(ISERROR(SEARCH(KOL_Database!$G$6,Brand_Profile!$D$35)),"Tier not in Preferred Tier",IF(AND(Brand_Profile!$D$43&gt;0,Matching_Engine!$AE$7&lt;Brand_Profile!$D$43),"Audience Quality below Minimum Audience Quality",IF(AND(Brand_Profile!$D$44&gt;0,Matching_Engine!$AK$7&lt;Brand_Profile!$D$44),"Brand Safety below Minimum Brand Safety",IF(AND(Brand_Profile!$D$47="Yes",KOL_Database!$AD$6&lt;&gt;Brand_Profile!$D$19),"Audience Country does not match Target Country",IF(AND(Brand_Profile!$D$46="Yes",KOL_Database!$E$6&lt;&gt;Brand_Profile!$D$33),"Category is not the Preferred Category",IF(AND(Brand_Profile!$D$48&gt;0,Matching_Engine!$AL$7&gt;Brand_Profile!$D$48),"Competitor Saturation above Max Competitor Saturation",IF(AND(Brand_Profile!$D$50="Yes",KOL_Database!$AW$6="Yes"),"Already Selected",IF(AND(Brand_Profile!$D$51="Yes",KOL_Database!$AX$6="Yes"),"Already in Cart",IF(AND(Brand_Profile!$D$52="Yes",KOL_Database!$AY$6="Yes"),"Existing Partner",IF(AND(Brand_Profile!$D$53="Yes",KOL_Database!$AZ$6="Yes"),"Excluded Creator",IF(AND(Brand_Profile!$D$49&gt;0,Matching_Engine!$AP$7&lt;Brand_Profile!$D$49),"Brand Match below Minimum Brand Match","")))))))))))))))</f>
      </c>
      <c r="AX7" s="44">
        <f>IF(Matching_Engine!$AV$7="EXCLUDED","Excluded",IF(Matching_Engine!$AP$7&gt;=Lookup_Lists!$D$156,"Highly Recommended",IF(Matching_Engine!$AP$7&gt;=Lookup_Lists!$D$157,"Recommended",IF(Matching_Engine!$AP$7&gt;=Lookup_Lists!$D$158,"Consider","Low Priority"))))</f>
      </c>
      <c r="AY7" s="47">
        <f>IF(Matching_Engine!$AV$7="PASS",Matching_Engine!$AP$7,"")</f>
      </c>
      <c r="AZ7" s="44">
        <f>Matching_Engine!$A$7&amp;"|"&amp;Matching_Engine!$C$7</f>
      </c>
      <c r="BA7" s="44">
        <f>IFERROR(INDEX(Lookup_Lists!$B$51:$B$92,MATCH(Brand_Profile!$D$12,Lookup_Lists!$A$51:$A$92,0)),"")</f>
      </c>
      <c r="BB7" s="44">
        <f>IFERROR(INDEX(Lookup_Lists!$B$51:$B$92,MATCH(KOL_Database!$F$6,Lookup_Lists!$A$51:$A$92,0)),"")</f>
      </c>
      <c r="BC7" s="47">
        <f>IFERROR(INDEX(Lookup_Lists!$B$185:$O$198,MATCH(Matching_Engine!$BA$7,Lookup_Lists!$A$185:$A$198,0),MATCH(KOL_Database!$E$6,Lookup_Lists!$B$184:$O$184,0)),Lookup_Lists!$D$151)</f>
      </c>
      <c r="BD7" s="47">
        <f>IFERROR(INDEX(Lookup_Lists!$B$185:$O$198,MATCH(Brand_Profile!$D$33,Lookup_Lists!$A$185:$A$198,0),MATCH(KOL_Database!$E$6,Lookup_Lists!$B$184:$O$184,0)),Lookup_Lists!$D$151)</f>
      </c>
      <c r="BE7" s="44">
        <f>IFERROR(INDEX(Lookup_Lists!$B$51:$B$92,MATCH(Brand_Profile!$D$34,Lookup_Lists!$A$51:$A$92,0)),"")</f>
      </c>
      <c r="BF7" s="44">
        <f>KOL_Database!$AI$6&amp;", "&amp;KOL_Database!$AG$6&amp;", "&amp;KOL_Database!$F$6&amp;", "&amp;KOL_Database!$E$6</f>
      </c>
      <c r="BG7" s="44">
        <f>KOL_Database!$AI$6&amp;", "&amp;KOL_Database!$AG$6</f>
      </c>
    </row>
    <row r="8" spans="1:59" x14ac:dyDescent="0.25">
      <c r="A8" s="43" t="s">
        <v>71</v>
      </c>
      <c r="B8" s="44">
        <f>Brand_Profile!$D$9</f>
      </c>
      <c r="C8" s="44">
        <f>KOL_Database!$A$7</f>
      </c>
      <c r="D8" s="44">
        <f>KOL_Database!$B$7</f>
      </c>
      <c r="E8" s="44">
        <f>KOL_Database!$C$7</f>
      </c>
      <c r="F8" s="44">
        <f>KOL_Database!$D$7</f>
      </c>
      <c r="G8" s="44">
        <f>KOL_Database!$E$7</f>
      </c>
      <c r="H8" s="44">
        <f>KOL_Database!$G$7</f>
      </c>
      <c r="I8" s="45">
        <f>KOL_Database!$J$7</f>
      </c>
      <c r="J8" s="46">
        <f>KOL_Database!$K$7</f>
      </c>
      <c r="K8" s="47">
        <f>IFERROR(INDEX(Lookup_Lists!$B$170:$O$181,MATCH(Brand_Profile!$D$10,Lookup_Lists!$A$170:$A$181,0),MATCH(KOL_Database!$E$7,Lookup_Lists!$B$169:$O$169,0)),Lookup_Lists!$D$151)</f>
      </c>
      <c r="L8" s="47">
        <f>IF(KOL_Database!$F$7="",Matching_Engine!$BC$8,IF(Brand_Profile!$D$12=KOL_Database!$F$7,100,IF(Matching_Engine!$BA$8=KOL_Database!$E$7,80,IF(Matching_Engine!$BC$8&gt;=80,60,IF(Matching_Engine!$BC$8&gt;=60,40,Lookup_Lists!$D$151)))))</f>
      </c>
      <c r="M8" s="47">
        <f>ROUND((IF(Brand_Profile!$D$62=0,Lookup_Lists!$D$150,ROUND((IF(Brand_Profile!$D$57="",0,IF(ISNUMBER(SEARCH(Brand_Profile!$D$57,Matching_Engine!$BF$8)),1,0))+IF(Brand_Profile!$D$58="",0,IF(ISNUMBER(SEARCH(Brand_Profile!$D$58,Matching_Engine!$BF$8)),1,0))+IF(Brand_Profile!$D$59="",0,IF(ISNUMBER(SEARCH(Brand_Profile!$D$59,Matching_Engine!$BF$8)),1,0))+IF(Brand_Profile!$D$60="",0,IF(ISNUMBER(SEARCH(Brand_Profile!$D$60,Matching_Engine!$BF$8)),1,0))+IF(Brand_Profile!$D$61="",0,IF(ISNUMBER(SEARCH(Brand_Profile!$D$61,Matching_Engine!$BF$8)),1,0)))/Brand_Profile!$D$62*100,0))+IF(Brand_Profile!$D$74=0,Lookup_Lists!$D$150,ROUND((IF(Brand_Profile!$D$69="",0,IF(ISNUMBER(SEARCH(Brand_Profile!$D$69,Matching_Engine!$BF$8)),1,0))+IF(Brand_Profile!$D$70="",0,IF(ISNUMBER(SEARCH(Brand_Profile!$D$70,Matching_Engine!$BF$8)),1,0))+IF(Brand_Profile!$D$71="",0,IF(ISNUMBER(SEARCH(Brand_Profile!$D$71,Matching_Engine!$BF$8)),1,0))+IF(Brand_Profile!$D$72="",0,IF(ISNUMBER(SEARCH(Brand_Profile!$D$72,Matching_Engine!$BF$8)),1,0))+IF(Brand_Profile!$D$73="",0,IF(ISNUMBER(SEARCH(Brand_Profile!$D$73,Matching_Engine!$BF$8)),1,0)))/Brand_Profile!$D$74*100,0)))/2,0)</f>
      </c>
      <c r="N8" s="47">
        <f>ROUND((Matching_Engine!$K$8*Lookup_Lists!$D$110+Matching_Engine!$L$8*Lookup_Lists!$D$111+Matching_Engine!$M$8*Lookup_Lists!$D$112)/(Lookup_Lists!$D$110+Lookup_Lists!$D$111+Lookup_Lists!$D$112),0)</f>
      </c>
      <c r="O8" s="47">
        <f>IF(Brand_Profile!$D$16="",Lookup_Lists!$D$150,MIN(100,ROUND((IFERROR(INDEX(KOL_Database!$W$7:KOL_Database!$AA$7,1,MATCH(Brand_Profile!$D$16,Lookup_Lists!$F$6:$F$10,0)),0)+0.5*IFERROR(INDEX(KOL_Database!$W$7:KOL_Database!$AA$7,1,MATCH(Brand_Profile!$D$17,Lookup_Lists!$F$6:$F$10,0)),0))/Lookup_Lists!$D$142*100,0)))</f>
      </c>
      <c r="P8" s="47">
        <f>IF(OR(Brand_Profile!$D$18="",Brand_Profile!$D$18="Any"),100,IF(Brand_Profile!$D$18="Female",MIN(100,ROUND(KOL_Database!$AB$7/Lookup_Lists!$D$143*100,0)),IF(Brand_Profile!$D$18="Male",MIN(100,ROUND(KOL_Database!$AC$7/Lookup_Lists!$D$143*100,0)),MAX(0,ROUND(100-ABS(KOL_Database!$AB$7-50)*2,0)))))</f>
      </c>
      <c r="Q8" s="47">
        <f>ROUND((IF(Brand_Profile!$D$19="",100,IF(KOL_Database!$AD$7=Brand_Profile!$D$19,100,Lookup_Lists!$D$151))*Lookup_Lists!$D$118+IF(OR(Brand_Profile!$D$20="",Brand_Profile!$D$20="Nasional"),100,IF(KOL_Database!$AE$7="",Lookup_Lists!$D$150,IF(KOL_Database!$AE$7=Brand_Profile!$D$20,100,IF(KOL_Database!$AD$7=Brand_Profile!$D$19,40,Lookup_Lists!$D$151))))*Lookup_Lists!$D$119+IF(OR(Brand_Profile!$D$21="",Brand_Profile!$D$21="Nasional"),100,IF(KOL_Database!$AF$7="",Lookup_Lists!$D$150,IF(KOL_Database!$AF$7=Brand_Profile!$D$21,100,IF(KOL_Database!$AE$7=Brand_Profile!$D$20,60,Lookup_Lists!$D$151))))*Lookup_Lists!$D$120)/(Lookup_Lists!$D$118+Lookup_Lists!$D$119+Lookup_Lists!$D$120),0)</f>
      </c>
      <c r="R8" s="47">
        <f>IF(Brand_Profile!$D$68=0,Lookup_Lists!$D$150,ROUND((IF(Brand_Profile!$D$63="",0,IF(ISNUMBER(SEARCH(Brand_Profile!$D$63,KOL_Database!$AG$7)),1,0))+IF(Brand_Profile!$D$64="",0,IF(ISNUMBER(SEARCH(Brand_Profile!$D$64,KOL_Database!$AG$7)),1,0))+IF(Brand_Profile!$D$65="",0,IF(ISNUMBER(SEARCH(Brand_Profile!$D$65,KOL_Database!$AG$7)),1,0))+IF(Brand_Profile!$D$66="",0,IF(ISNUMBER(SEARCH(Brand_Profile!$D$66,KOL_Database!$AG$7)),1,0))+IF(Brand_Profile!$D$67="",0,IF(ISNUMBER(SEARCH(Brand_Profile!$D$67,KOL_Database!$AG$7)),1,0)))/Brand_Profile!$D$68*100,0))</f>
      </c>
      <c r="S8" s="47">
        <f>ROUND((Matching_Engine!$O$8*Brand_Profile!$D$96+Matching_Engine!$P$8*Brand_Profile!$D$97+Matching_Engine!$Q$8*Brand_Profile!$D$98+Matching_Engine!$R$8*Brand_Profile!$D$99)/MAX(1,Brand_Profile!$D$96+Brand_Profile!$D$97+Brand_Profile!$D$98+Brand_Profile!$D$99),0)</f>
      </c>
      <c r="T8" s="47">
        <f>IF(Brand_Profile!$D$33="",Lookup_Lists!$D$150,Matching_Engine!$BD$8)</f>
      </c>
      <c r="U8" s="47">
        <f>IF(Brand_Profile!$D$34="",Lookup_Lists!$D$150,IF(Brand_Profile!$D$34=KOL_Database!$F$7,100,IF(Matching_Engine!$BE$8=KOL_Database!$E$7,75,IF(Matching_Engine!$BD$8&gt;=80,Lookup_Lists!$D$150,IF(Matching_Engine!$BD$8&gt;=60,35,Lookup_Lists!$D$151)))))</f>
      </c>
      <c r="V8" s="47">
        <f>IF(Brand_Profile!$D$86=0,Lookup_Lists!$D$150,ROUND((IF(Brand_Profile!$D$81="",0,IF(ISNUMBER(SEARCH(Brand_Profile!$D$81,Matching_Engine!$BG$8)),1,0))+IF(Brand_Profile!$D$82="",0,IF(ISNUMBER(SEARCH(Brand_Profile!$D$82,Matching_Engine!$BG$8)),1,0))+IF(Brand_Profile!$D$83="",0,IF(ISNUMBER(SEARCH(Brand_Profile!$D$83,Matching_Engine!$BG$8)),1,0))+IF(Brand_Profile!$D$84="",0,IF(ISNUMBER(SEARCH(Brand_Profile!$D$84,Matching_Engine!$BG$8)),1,0))+IF(Brand_Profile!$D$85="",0,IF(ISNUMBER(SEARCH(Brand_Profile!$D$85,Matching_Engine!$BG$8)),1,0)))/Brand_Profile!$D$86*100,0))</f>
      </c>
      <c r="W8" s="47">
        <f>IF(Brand_Profile!$D$39="",Lookup_Lists!$D$150,IFERROR(INDEX(Lookup_Lists!$B$237:$K$246,MATCH(Brand_Profile!$D$39,Lookup_Lists!$A$237:$A$246,0),MATCH(KOL_Database!$AJ$7,Lookup_Lists!$B$236:$K$236,0)),45))</f>
      </c>
      <c r="X8" s="47">
        <f>ROUND((Matching_Engine!$T$8*Lookup_Lists!$D$121+Matching_Engine!$U$8*Lookup_Lists!$D$122+Matching_Engine!$V$8*Lookup_Lists!$D$123+Matching_Engine!$W$8*Lookup_Lists!$D$124)/(Lookup_Lists!$D$121+Lookup_Lists!$D$122+Lookup_Lists!$D$123+Lookup_Lists!$D$124),0)</f>
      </c>
      <c r="Y8" s="47">
        <f>MIN(100,MAX(IFERROR(INDEX(Lookup_Lists!$B$202:$M$211,MATCH(Brand_Profile!$D$25,Lookup_Lists!$A$202:$A$211,0),MATCH(KOL_Database!$AK$7,Lookup_Lists!$B$201:$M$201,0)),40),IF(KOL_Database!$AK$7=Brand_Profile!$D$41,95,0)))</f>
      </c>
      <c r="Z8" s="47">
        <f>IFERROR(INDEX(Lookup_Lists!$B$215:$K$222,MATCH(Brand_Profile!$D$27,Lookup_Lists!$A$215:$A$222,0),MATCH(KOL_Database!$AJ$7,Lookup_Lists!$B$214:$K$214,0)),45)</f>
      </c>
      <c r="AA8" s="47">
        <f>ROUND((IF(Brand_Profile!$D$80=0,Lookup_Lists!$D$150,ROUND((IF(Brand_Profile!$D$75="",0,IF(ISNUMBER(SEARCH(Brand_Profile!$D$75,KOL_Database!$AL$7)),1,0))+IF(Brand_Profile!$D$76="",0,IF(ISNUMBER(SEARCH(Brand_Profile!$D$76,KOL_Database!$AL$7)),1,0))+IF(Brand_Profile!$D$77="",0,IF(ISNUMBER(SEARCH(Brand_Profile!$D$77,KOL_Database!$AL$7)),1,0))+IF(Brand_Profile!$D$78="",0,IF(ISNUMBER(SEARCH(Brand_Profile!$D$78,KOL_Database!$AL$7)),1,0))+IF(Brand_Profile!$D$79="",0,IF(ISNUMBER(SEARCH(Brand_Profile!$D$79,KOL_Database!$AL$7)),1,0)))/Brand_Profile!$D$80*100,0))+IF(Brand_Profile!$D$92=0,Lookup_Lists!$D$150,ROUND((IF(Brand_Profile!$D$87="",0,IF(ISNUMBER(SEARCH(Brand_Profile!$D$87,KOL_Database!$AL$7)),1,0))+IF(Brand_Profile!$D$88="",0,IF(ISNUMBER(SEARCH(Brand_Profile!$D$88,KOL_Database!$AL$7)),1,0))+IF(Brand_Profile!$D$89="",0,IF(ISNUMBER(SEARCH(Brand_Profile!$D$89,KOL_Database!$AL$7)),1,0))+IF(Brand_Profile!$D$90="",0,IF(ISNUMBER(SEARCH(Brand_Profile!$D$90,KOL_Database!$AL$7)),1,0))+IF(Brand_Profile!$D$91="",0,IF(ISNUMBER(SEARCH(Brand_Profile!$D$91,KOL_Database!$AL$7)),1,0)))/Brand_Profile!$D$92*100,0)))/2,0)</f>
      </c>
      <c r="AB8" s="47">
        <f>IFERROR(INDEX(Lookup_Lists!$B$226:$K$233,MATCH(Brand_Profile!$D$30,Lookup_Lists!$A$226:$A$233,0),MATCH(KOL_Database!$AJ$7,Lookup_Lists!$B$225:$K$225,0)),45)</f>
      </c>
      <c r="AC8" s="47">
        <f>ROUND((Matching_Engine!$Y$8*Lookup_Lists!$D$125+Matching_Engine!$Z$8*Lookup_Lists!$D$126+Matching_Engine!$AA$8*Lookup_Lists!$D$127+Matching_Engine!$AB$8*Lookup_Lists!$D$128)/(Lookup_Lists!$D$125+Lookup_Lists!$D$126+Lookup_Lists!$D$127+Lookup_Lists!$D$128),0)</f>
      </c>
      <c r="AD8" s="47">
        <f>IF(KOL_Database!$K$7="",0,MIN(100,ROUND(KOL_Database!$K$7/Lookup_Lists!$D$141*100,0)))</f>
      </c>
      <c r="AE8" s="47">
        <f>IF(KOL_Database!$R$7="",0,MIN(100,MAX(0,KOL_Database!$R$7)))</f>
      </c>
      <c r="AF8" s="47">
        <f>IF(KOL_Database!$P$7="",0,MIN(100,MAX(0,KOL_Database!$P$7)))</f>
      </c>
      <c r="AG8" s="47">
        <f>IF(KOL_Database!$Q$7="",0,MIN(100,MAX(0,KOL_Database!$Q$7)))</f>
      </c>
      <c r="AH8" s="47">
        <f>IF(OR(KOL_Database!$J$7="",KOL_Database!$J$7=0,KOL_Database!$L$7=""),0,MIN(100,ROUND(KOL_Database!$L$7/KOL_Database!$J$7/Lookup_Lists!$D$144*100,0)))</f>
      </c>
      <c r="AI8" s="47">
        <f>IF(KOL_Database!$N$7="",0,MIN(100,MAX(0,ROUND((KOL_Database!$N$7+2)/(Lookup_Lists!$D$145+2)*100,0))))</f>
      </c>
      <c r="AJ8" s="47">
        <f>ROUND((Matching_Engine!$AD$8*Lookup_Lists!$D$129+Matching_Engine!$AE$8*Lookup_Lists!$D$130+Matching_Engine!$AF$8*Lookup_Lists!$D$131+Matching_Engine!$AG$8*Lookup_Lists!$D$132+Matching_Engine!$AH$8*Lookup_Lists!$D$133+Matching_Engine!$AI$8*Lookup_Lists!$D$134)/(Lookup_Lists!$D$129+Lookup_Lists!$D$130+Lookup_Lists!$D$131+Lookup_Lists!$D$132+Lookup_Lists!$D$133+Lookup_Lists!$D$134),0)</f>
      </c>
      <c r="AK8" s="47">
        <f>IF(KOL_Database!$AT$7="",0,MIN(100,MAX(0,KOL_Database!$AT$7)))</f>
      </c>
      <c r="AL8" s="47">
        <f>IF(KOL_Database!$AU$7="",0,KOL_Database!$AU$7)</f>
      </c>
      <c r="AM8" s="44">
        <f>IF(KOL_Database!$AV$7="","None",KOL_Database!$AV$7)</f>
      </c>
      <c r="AN8" s="48">
        <f>IF(Matching_Engine!$AM$8="High",Lookup_Lists!$D$137,IF(Matching_Engine!$AM$8="Medium",Lookup_Lists!$D$138,IF(Matching_Engine!$AM$8="Low",Lookup_Lists!$D$139,Lookup_Lists!$D$140)))</f>
      </c>
      <c r="AO8" s="47">
        <f>ROUND(MIN(100,MAX(0,(Matching_Engine!$AK$8*Lookup_Lists!$D$135+(100-Matching_Engine!$AL$8)*Lookup_Lists!$D$136)/(Lookup_Lists!$D$135+Lookup_Lists!$D$136)*Matching_Engine!$AN$8)),0)</f>
      </c>
      <c r="AP8" s="49">
        <f>ROUND((Matching_Engine!$N$8*Lookup_Lists!$D$104+Matching_Engine!$S$8*Lookup_Lists!$D$105+Matching_Engine!$X$8*Lookup_Lists!$D$106+Matching_Engine!$AC$8*Lookup_Lists!$D$107+Matching_Engine!$AJ$8*Lookup_Lists!$D$108+Matching_Engine!$AO$8*Lookup_Lists!$D$109)/MAX(1,(Lookup_Lists!$D$104+Lookup_Lists!$D$105+Lookup_Lists!$D$106+Lookup_Lists!$D$107+Lookup_Lists!$D$108+Lookup_Lists!$D$109)),0)</f>
      </c>
      <c r="AQ8" s="44">
        <f>IF(Matching_Engine!$AP$8&gt;=Lookup_Lists!$D$152,"Excellent Match",IF(Matching_Engine!$AP$8&gt;=Lookup_Lists!$D$153,"Strong Match",IF(Matching_Engine!$AP$8&gt;=Lookup_Lists!$D$154,"Good Match",IF(Matching_Engine!$AP$8&gt;=Lookup_Lists!$D$155,"Moderate Match","Low Match"))))</f>
      </c>
      <c r="AR8" s="47">
        <f>KOL_Database!$BE$7</f>
      </c>
      <c r="AS8" s="44">
        <f>IF(Matching_Engine!$AR$8&gt;=Lookup_Lists!$D$159,"High",IF(Matching_Engine!$AR$8&gt;=Lookup_Lists!$D$160,"Medium","Limited Data"))</f>
      </c>
      <c r="AT8" s="47">
        <f>ROUND((Matching_Engine!$N$8+Matching_Engine!$X$8+Matching_Engine!$AC$8)/3,0)</f>
      </c>
      <c r="AU8" s="47">
        <f>ROUND(((100-Matching_Engine!$AL$8)*Lookup_Lists!$D$162+IF(KOL_Database!$BD$7="",Lookup_Lists!$D$150,KOL_Database!$BD$7)*Lookup_Lists!$D$163+Matching_Engine!$AI$8*Lookup_Lists!$D$164+Matching_Engine!$AD$8*Lookup_Lists!$D$165)/(Lookup_Lists!$D$162+Lookup_Lists!$D$163+Lookup_Lists!$D$164+Lookup_Lists!$D$165),0)</f>
      </c>
      <c r="AV8" s="44">
        <f>IF(Matching_Engine!$AW$8="","PASS","EXCLUDED")</f>
      </c>
      <c r="AW8" s="44">
        <f>IF(ISERROR(SEARCH(KOL_Database!$D$7,Brand_Profile!$D$32)),"Platform not in Preferred Platform",IF(AND(Brand_Profile!$D$36&gt;0,KOL_Database!$J$7&lt;Brand_Profile!$D$36),"Followers below Preferred Follower Range",IF(AND(Brand_Profile!$D$37&gt;0,KOL_Database!$J$7&gt;Brand_Profile!$D$37),"Followers above Preferred Follower Range",IF(AND(Brand_Profile!$D$38&gt;0,IF(KOL_Database!$K$7="",0,KOL_Database!$K$7)&lt;Brand_Profile!$D$38),"Engagement Rate below Minimum Engagement Rate",IF(ISERROR(SEARCH(KOL_Database!$G$7,Brand_Profile!$D$35)),"Tier not in Preferred Tier",IF(AND(Brand_Profile!$D$43&gt;0,Matching_Engine!$AE$8&lt;Brand_Profile!$D$43),"Audience Quality below Minimum Audience Quality",IF(AND(Brand_Profile!$D$44&gt;0,Matching_Engine!$AK$8&lt;Brand_Profile!$D$44),"Brand Safety below Minimum Brand Safety",IF(AND(Brand_Profile!$D$47="Yes",KOL_Database!$AD$7&lt;&gt;Brand_Profile!$D$19),"Audience Country does not match Target Country",IF(AND(Brand_Profile!$D$46="Yes",KOL_Database!$E$7&lt;&gt;Brand_Profile!$D$33),"Category is not the Preferred Category",IF(AND(Brand_Profile!$D$48&gt;0,Matching_Engine!$AL$8&gt;Brand_Profile!$D$48),"Competitor Saturation above Max Competitor Saturation",IF(AND(Brand_Profile!$D$50="Yes",KOL_Database!$AW$7="Yes"),"Already Selected",IF(AND(Brand_Profile!$D$51="Yes",KOL_Database!$AX$7="Yes"),"Already in Cart",IF(AND(Brand_Profile!$D$52="Yes",KOL_Database!$AY$7="Yes"),"Existing Partner",IF(AND(Brand_Profile!$D$53="Yes",KOL_Database!$AZ$7="Yes"),"Excluded Creator",IF(AND(Brand_Profile!$D$49&gt;0,Matching_Engine!$AP$8&lt;Brand_Profile!$D$49),"Brand Match below Minimum Brand Match","")))))))))))))))</f>
      </c>
      <c r="AX8" s="44">
        <f>IF(Matching_Engine!$AV$8="EXCLUDED","Excluded",IF(Matching_Engine!$AP$8&gt;=Lookup_Lists!$D$156,"Highly Recommended",IF(Matching_Engine!$AP$8&gt;=Lookup_Lists!$D$157,"Recommended",IF(Matching_Engine!$AP$8&gt;=Lookup_Lists!$D$158,"Consider","Low Priority"))))</f>
      </c>
      <c r="AY8" s="47">
        <f>IF(Matching_Engine!$AV$8="PASS",Matching_Engine!$AP$8,"")</f>
      </c>
      <c r="AZ8" s="44">
        <f>Matching_Engine!$A$8&amp;"|"&amp;Matching_Engine!$C$8</f>
      </c>
      <c r="BA8" s="44">
        <f>IFERROR(INDEX(Lookup_Lists!$B$51:$B$92,MATCH(Brand_Profile!$D$12,Lookup_Lists!$A$51:$A$92,0)),"")</f>
      </c>
      <c r="BB8" s="44">
        <f>IFERROR(INDEX(Lookup_Lists!$B$51:$B$92,MATCH(KOL_Database!$F$7,Lookup_Lists!$A$51:$A$92,0)),"")</f>
      </c>
      <c r="BC8" s="47">
        <f>IFERROR(INDEX(Lookup_Lists!$B$185:$O$198,MATCH(Matching_Engine!$BA$8,Lookup_Lists!$A$185:$A$198,0),MATCH(KOL_Database!$E$7,Lookup_Lists!$B$184:$O$184,0)),Lookup_Lists!$D$151)</f>
      </c>
      <c r="BD8" s="47">
        <f>IFERROR(INDEX(Lookup_Lists!$B$185:$O$198,MATCH(Brand_Profile!$D$33,Lookup_Lists!$A$185:$A$198,0),MATCH(KOL_Database!$E$7,Lookup_Lists!$B$184:$O$184,0)),Lookup_Lists!$D$151)</f>
      </c>
      <c r="BE8" s="44">
        <f>IFERROR(INDEX(Lookup_Lists!$B$51:$B$92,MATCH(Brand_Profile!$D$34,Lookup_Lists!$A$51:$A$92,0)),"")</f>
      </c>
      <c r="BF8" s="44">
        <f>KOL_Database!$AI$7&amp;", "&amp;KOL_Database!$AG$7&amp;", "&amp;KOL_Database!$F$7&amp;", "&amp;KOL_Database!$E$7</f>
      </c>
      <c r="BG8" s="44">
        <f>KOL_Database!$AI$7&amp;", "&amp;KOL_Database!$AG$7</f>
      </c>
    </row>
    <row r="9" spans="1:59" x14ac:dyDescent="0.25">
      <c r="A9" s="43" t="s">
        <v>71</v>
      </c>
      <c r="B9" s="44">
        <f>Brand_Profile!$D$9</f>
      </c>
      <c r="C9" s="44">
        <f>KOL_Database!$A$8</f>
      </c>
      <c r="D9" s="44">
        <f>KOL_Database!$B$8</f>
      </c>
      <c r="E9" s="44">
        <f>KOL_Database!$C$8</f>
      </c>
      <c r="F9" s="44">
        <f>KOL_Database!$D$8</f>
      </c>
      <c r="G9" s="44">
        <f>KOL_Database!$E$8</f>
      </c>
      <c r="H9" s="44">
        <f>KOL_Database!$G$8</f>
      </c>
      <c r="I9" s="45">
        <f>KOL_Database!$J$8</f>
      </c>
      <c r="J9" s="46">
        <f>KOL_Database!$K$8</f>
      </c>
      <c r="K9" s="47">
        <f>IFERROR(INDEX(Lookup_Lists!$B$170:$O$181,MATCH(Brand_Profile!$D$10,Lookup_Lists!$A$170:$A$181,0),MATCH(KOL_Database!$E$8,Lookup_Lists!$B$169:$O$169,0)),Lookup_Lists!$D$151)</f>
      </c>
      <c r="L9" s="47">
        <f>IF(KOL_Database!$F$8="",Matching_Engine!$BC$9,IF(Brand_Profile!$D$12=KOL_Database!$F$8,100,IF(Matching_Engine!$BA$9=KOL_Database!$E$8,80,IF(Matching_Engine!$BC$9&gt;=80,60,IF(Matching_Engine!$BC$9&gt;=60,40,Lookup_Lists!$D$151)))))</f>
      </c>
      <c r="M9" s="47">
        <f>ROUND((IF(Brand_Profile!$D$62=0,Lookup_Lists!$D$150,ROUND((IF(Brand_Profile!$D$57="",0,IF(ISNUMBER(SEARCH(Brand_Profile!$D$57,Matching_Engine!$BF$9)),1,0))+IF(Brand_Profile!$D$58="",0,IF(ISNUMBER(SEARCH(Brand_Profile!$D$58,Matching_Engine!$BF$9)),1,0))+IF(Brand_Profile!$D$59="",0,IF(ISNUMBER(SEARCH(Brand_Profile!$D$59,Matching_Engine!$BF$9)),1,0))+IF(Brand_Profile!$D$60="",0,IF(ISNUMBER(SEARCH(Brand_Profile!$D$60,Matching_Engine!$BF$9)),1,0))+IF(Brand_Profile!$D$61="",0,IF(ISNUMBER(SEARCH(Brand_Profile!$D$61,Matching_Engine!$BF$9)),1,0)))/Brand_Profile!$D$62*100,0))+IF(Brand_Profile!$D$74=0,Lookup_Lists!$D$150,ROUND((IF(Brand_Profile!$D$69="",0,IF(ISNUMBER(SEARCH(Brand_Profile!$D$69,Matching_Engine!$BF$9)),1,0))+IF(Brand_Profile!$D$70="",0,IF(ISNUMBER(SEARCH(Brand_Profile!$D$70,Matching_Engine!$BF$9)),1,0))+IF(Brand_Profile!$D$71="",0,IF(ISNUMBER(SEARCH(Brand_Profile!$D$71,Matching_Engine!$BF$9)),1,0))+IF(Brand_Profile!$D$72="",0,IF(ISNUMBER(SEARCH(Brand_Profile!$D$72,Matching_Engine!$BF$9)),1,0))+IF(Brand_Profile!$D$73="",0,IF(ISNUMBER(SEARCH(Brand_Profile!$D$73,Matching_Engine!$BF$9)),1,0)))/Brand_Profile!$D$74*100,0)))/2,0)</f>
      </c>
      <c r="N9" s="47">
        <f>ROUND((Matching_Engine!$K$9*Lookup_Lists!$D$110+Matching_Engine!$L$9*Lookup_Lists!$D$111+Matching_Engine!$M$9*Lookup_Lists!$D$112)/(Lookup_Lists!$D$110+Lookup_Lists!$D$111+Lookup_Lists!$D$112),0)</f>
      </c>
      <c r="O9" s="47">
        <f>IF(Brand_Profile!$D$16="",Lookup_Lists!$D$150,MIN(100,ROUND((IFERROR(INDEX(KOL_Database!$W$8:KOL_Database!$AA$8,1,MATCH(Brand_Profile!$D$16,Lookup_Lists!$F$6:$F$10,0)),0)+0.5*IFERROR(INDEX(KOL_Database!$W$8:KOL_Database!$AA$8,1,MATCH(Brand_Profile!$D$17,Lookup_Lists!$F$6:$F$10,0)),0))/Lookup_Lists!$D$142*100,0)))</f>
      </c>
      <c r="P9" s="47">
        <f>IF(OR(Brand_Profile!$D$18="",Brand_Profile!$D$18="Any"),100,IF(Brand_Profile!$D$18="Female",MIN(100,ROUND(KOL_Database!$AB$8/Lookup_Lists!$D$143*100,0)),IF(Brand_Profile!$D$18="Male",MIN(100,ROUND(KOL_Database!$AC$8/Lookup_Lists!$D$143*100,0)),MAX(0,ROUND(100-ABS(KOL_Database!$AB$8-50)*2,0)))))</f>
      </c>
      <c r="Q9" s="47">
        <f>ROUND((IF(Brand_Profile!$D$19="",100,IF(KOL_Database!$AD$8=Brand_Profile!$D$19,100,Lookup_Lists!$D$151))*Lookup_Lists!$D$118+IF(OR(Brand_Profile!$D$20="",Brand_Profile!$D$20="Nasional"),100,IF(KOL_Database!$AE$8="",Lookup_Lists!$D$150,IF(KOL_Database!$AE$8=Brand_Profile!$D$20,100,IF(KOL_Database!$AD$8=Brand_Profile!$D$19,40,Lookup_Lists!$D$151))))*Lookup_Lists!$D$119+IF(OR(Brand_Profile!$D$21="",Brand_Profile!$D$21="Nasional"),100,IF(KOL_Database!$AF$8="",Lookup_Lists!$D$150,IF(KOL_Database!$AF$8=Brand_Profile!$D$21,100,IF(KOL_Database!$AE$8=Brand_Profile!$D$20,60,Lookup_Lists!$D$151))))*Lookup_Lists!$D$120)/(Lookup_Lists!$D$118+Lookup_Lists!$D$119+Lookup_Lists!$D$120),0)</f>
      </c>
      <c r="R9" s="47">
        <f>IF(Brand_Profile!$D$68=0,Lookup_Lists!$D$150,ROUND((IF(Brand_Profile!$D$63="",0,IF(ISNUMBER(SEARCH(Brand_Profile!$D$63,KOL_Database!$AG$8)),1,0))+IF(Brand_Profile!$D$64="",0,IF(ISNUMBER(SEARCH(Brand_Profile!$D$64,KOL_Database!$AG$8)),1,0))+IF(Brand_Profile!$D$65="",0,IF(ISNUMBER(SEARCH(Brand_Profile!$D$65,KOL_Database!$AG$8)),1,0))+IF(Brand_Profile!$D$66="",0,IF(ISNUMBER(SEARCH(Brand_Profile!$D$66,KOL_Database!$AG$8)),1,0))+IF(Brand_Profile!$D$67="",0,IF(ISNUMBER(SEARCH(Brand_Profile!$D$67,KOL_Database!$AG$8)),1,0)))/Brand_Profile!$D$68*100,0))</f>
      </c>
      <c r="S9" s="47">
        <f>ROUND((Matching_Engine!$O$9*Brand_Profile!$D$96+Matching_Engine!$P$9*Brand_Profile!$D$97+Matching_Engine!$Q$9*Brand_Profile!$D$98+Matching_Engine!$R$9*Brand_Profile!$D$99)/MAX(1,Brand_Profile!$D$96+Brand_Profile!$D$97+Brand_Profile!$D$98+Brand_Profile!$D$99),0)</f>
      </c>
      <c r="T9" s="47">
        <f>IF(Brand_Profile!$D$33="",Lookup_Lists!$D$150,Matching_Engine!$BD$9)</f>
      </c>
      <c r="U9" s="47">
        <f>IF(Brand_Profile!$D$34="",Lookup_Lists!$D$150,IF(Brand_Profile!$D$34=KOL_Database!$F$8,100,IF(Matching_Engine!$BE$9=KOL_Database!$E$8,75,IF(Matching_Engine!$BD$9&gt;=80,Lookup_Lists!$D$150,IF(Matching_Engine!$BD$9&gt;=60,35,Lookup_Lists!$D$151)))))</f>
      </c>
      <c r="V9" s="47">
        <f>IF(Brand_Profile!$D$86=0,Lookup_Lists!$D$150,ROUND((IF(Brand_Profile!$D$81="",0,IF(ISNUMBER(SEARCH(Brand_Profile!$D$81,Matching_Engine!$BG$9)),1,0))+IF(Brand_Profile!$D$82="",0,IF(ISNUMBER(SEARCH(Brand_Profile!$D$82,Matching_Engine!$BG$9)),1,0))+IF(Brand_Profile!$D$83="",0,IF(ISNUMBER(SEARCH(Brand_Profile!$D$83,Matching_Engine!$BG$9)),1,0))+IF(Brand_Profile!$D$84="",0,IF(ISNUMBER(SEARCH(Brand_Profile!$D$84,Matching_Engine!$BG$9)),1,0))+IF(Brand_Profile!$D$85="",0,IF(ISNUMBER(SEARCH(Brand_Profile!$D$85,Matching_Engine!$BG$9)),1,0)))/Brand_Profile!$D$86*100,0))</f>
      </c>
      <c r="W9" s="47">
        <f>IF(Brand_Profile!$D$39="",Lookup_Lists!$D$150,IFERROR(INDEX(Lookup_Lists!$B$237:$K$246,MATCH(Brand_Profile!$D$39,Lookup_Lists!$A$237:$A$246,0),MATCH(KOL_Database!$AJ$8,Lookup_Lists!$B$236:$K$236,0)),45))</f>
      </c>
      <c r="X9" s="47">
        <f>ROUND((Matching_Engine!$T$9*Lookup_Lists!$D$121+Matching_Engine!$U$9*Lookup_Lists!$D$122+Matching_Engine!$V$9*Lookup_Lists!$D$123+Matching_Engine!$W$9*Lookup_Lists!$D$124)/(Lookup_Lists!$D$121+Lookup_Lists!$D$122+Lookup_Lists!$D$123+Lookup_Lists!$D$124),0)</f>
      </c>
      <c r="Y9" s="47">
        <f>MIN(100,MAX(IFERROR(INDEX(Lookup_Lists!$B$202:$M$211,MATCH(Brand_Profile!$D$25,Lookup_Lists!$A$202:$A$211,0),MATCH(KOL_Database!$AK$8,Lookup_Lists!$B$201:$M$201,0)),40),IF(KOL_Database!$AK$8=Brand_Profile!$D$41,95,0)))</f>
      </c>
      <c r="Z9" s="47">
        <f>IFERROR(INDEX(Lookup_Lists!$B$215:$K$222,MATCH(Brand_Profile!$D$27,Lookup_Lists!$A$215:$A$222,0),MATCH(KOL_Database!$AJ$8,Lookup_Lists!$B$214:$K$214,0)),45)</f>
      </c>
      <c r="AA9" s="47">
        <f>ROUND((IF(Brand_Profile!$D$80=0,Lookup_Lists!$D$150,ROUND((IF(Brand_Profile!$D$75="",0,IF(ISNUMBER(SEARCH(Brand_Profile!$D$75,KOL_Database!$AL$8)),1,0))+IF(Brand_Profile!$D$76="",0,IF(ISNUMBER(SEARCH(Brand_Profile!$D$76,KOL_Database!$AL$8)),1,0))+IF(Brand_Profile!$D$77="",0,IF(ISNUMBER(SEARCH(Brand_Profile!$D$77,KOL_Database!$AL$8)),1,0))+IF(Brand_Profile!$D$78="",0,IF(ISNUMBER(SEARCH(Brand_Profile!$D$78,KOL_Database!$AL$8)),1,0))+IF(Brand_Profile!$D$79="",0,IF(ISNUMBER(SEARCH(Brand_Profile!$D$79,KOL_Database!$AL$8)),1,0)))/Brand_Profile!$D$80*100,0))+IF(Brand_Profile!$D$92=0,Lookup_Lists!$D$150,ROUND((IF(Brand_Profile!$D$87="",0,IF(ISNUMBER(SEARCH(Brand_Profile!$D$87,KOL_Database!$AL$8)),1,0))+IF(Brand_Profile!$D$88="",0,IF(ISNUMBER(SEARCH(Brand_Profile!$D$88,KOL_Database!$AL$8)),1,0))+IF(Brand_Profile!$D$89="",0,IF(ISNUMBER(SEARCH(Brand_Profile!$D$89,KOL_Database!$AL$8)),1,0))+IF(Brand_Profile!$D$90="",0,IF(ISNUMBER(SEARCH(Brand_Profile!$D$90,KOL_Database!$AL$8)),1,0))+IF(Brand_Profile!$D$91="",0,IF(ISNUMBER(SEARCH(Brand_Profile!$D$91,KOL_Database!$AL$8)),1,0)))/Brand_Profile!$D$92*100,0)))/2,0)</f>
      </c>
      <c r="AB9" s="47">
        <f>IFERROR(INDEX(Lookup_Lists!$B$226:$K$233,MATCH(Brand_Profile!$D$30,Lookup_Lists!$A$226:$A$233,0),MATCH(KOL_Database!$AJ$8,Lookup_Lists!$B$225:$K$225,0)),45)</f>
      </c>
      <c r="AC9" s="47">
        <f>ROUND((Matching_Engine!$Y$9*Lookup_Lists!$D$125+Matching_Engine!$Z$9*Lookup_Lists!$D$126+Matching_Engine!$AA$9*Lookup_Lists!$D$127+Matching_Engine!$AB$9*Lookup_Lists!$D$128)/(Lookup_Lists!$D$125+Lookup_Lists!$D$126+Lookup_Lists!$D$127+Lookup_Lists!$D$128),0)</f>
      </c>
      <c r="AD9" s="47">
        <f>IF(KOL_Database!$K$8="",0,MIN(100,ROUND(KOL_Database!$K$8/Lookup_Lists!$D$141*100,0)))</f>
      </c>
      <c r="AE9" s="47">
        <f>IF(KOL_Database!$R$8="",0,MIN(100,MAX(0,KOL_Database!$R$8)))</f>
      </c>
      <c r="AF9" s="47">
        <f>IF(KOL_Database!$P$8="",0,MIN(100,MAX(0,KOL_Database!$P$8)))</f>
      </c>
      <c r="AG9" s="47">
        <f>IF(KOL_Database!$Q$8="",0,MIN(100,MAX(0,KOL_Database!$Q$8)))</f>
      </c>
      <c r="AH9" s="47">
        <f>IF(OR(KOL_Database!$J$8="",KOL_Database!$J$8=0,KOL_Database!$L$8=""),0,MIN(100,ROUND(KOL_Database!$L$8/KOL_Database!$J$8/Lookup_Lists!$D$144*100,0)))</f>
      </c>
      <c r="AI9" s="47">
        <f>IF(KOL_Database!$N$8="",0,MIN(100,MAX(0,ROUND((KOL_Database!$N$8+2)/(Lookup_Lists!$D$145+2)*100,0))))</f>
      </c>
      <c r="AJ9" s="47">
        <f>ROUND((Matching_Engine!$AD$9*Lookup_Lists!$D$129+Matching_Engine!$AE$9*Lookup_Lists!$D$130+Matching_Engine!$AF$9*Lookup_Lists!$D$131+Matching_Engine!$AG$9*Lookup_Lists!$D$132+Matching_Engine!$AH$9*Lookup_Lists!$D$133+Matching_Engine!$AI$9*Lookup_Lists!$D$134)/(Lookup_Lists!$D$129+Lookup_Lists!$D$130+Lookup_Lists!$D$131+Lookup_Lists!$D$132+Lookup_Lists!$D$133+Lookup_Lists!$D$134),0)</f>
      </c>
      <c r="AK9" s="47">
        <f>IF(KOL_Database!$AT$8="",0,MIN(100,MAX(0,KOL_Database!$AT$8)))</f>
      </c>
      <c r="AL9" s="47">
        <f>IF(KOL_Database!$AU$8="",0,KOL_Database!$AU$8)</f>
      </c>
      <c r="AM9" s="44">
        <f>IF(KOL_Database!$AV$8="","None",KOL_Database!$AV$8)</f>
      </c>
      <c r="AN9" s="48">
        <f>IF(Matching_Engine!$AM$9="High",Lookup_Lists!$D$137,IF(Matching_Engine!$AM$9="Medium",Lookup_Lists!$D$138,IF(Matching_Engine!$AM$9="Low",Lookup_Lists!$D$139,Lookup_Lists!$D$140)))</f>
      </c>
      <c r="AO9" s="47">
        <f>ROUND(MIN(100,MAX(0,(Matching_Engine!$AK$9*Lookup_Lists!$D$135+(100-Matching_Engine!$AL$9)*Lookup_Lists!$D$136)/(Lookup_Lists!$D$135+Lookup_Lists!$D$136)*Matching_Engine!$AN$9)),0)</f>
      </c>
      <c r="AP9" s="49">
        <f>ROUND((Matching_Engine!$N$9*Lookup_Lists!$D$104+Matching_Engine!$S$9*Lookup_Lists!$D$105+Matching_Engine!$X$9*Lookup_Lists!$D$106+Matching_Engine!$AC$9*Lookup_Lists!$D$107+Matching_Engine!$AJ$9*Lookup_Lists!$D$108+Matching_Engine!$AO$9*Lookup_Lists!$D$109)/MAX(1,(Lookup_Lists!$D$104+Lookup_Lists!$D$105+Lookup_Lists!$D$106+Lookup_Lists!$D$107+Lookup_Lists!$D$108+Lookup_Lists!$D$109)),0)</f>
      </c>
      <c r="AQ9" s="44">
        <f>IF(Matching_Engine!$AP$9&gt;=Lookup_Lists!$D$152,"Excellent Match",IF(Matching_Engine!$AP$9&gt;=Lookup_Lists!$D$153,"Strong Match",IF(Matching_Engine!$AP$9&gt;=Lookup_Lists!$D$154,"Good Match",IF(Matching_Engine!$AP$9&gt;=Lookup_Lists!$D$155,"Moderate Match","Low Match"))))</f>
      </c>
      <c r="AR9" s="47">
        <f>KOL_Database!$BE$8</f>
      </c>
      <c r="AS9" s="44">
        <f>IF(Matching_Engine!$AR$9&gt;=Lookup_Lists!$D$159,"High",IF(Matching_Engine!$AR$9&gt;=Lookup_Lists!$D$160,"Medium","Limited Data"))</f>
      </c>
      <c r="AT9" s="47">
        <f>ROUND((Matching_Engine!$N$9+Matching_Engine!$X$9+Matching_Engine!$AC$9)/3,0)</f>
      </c>
      <c r="AU9" s="47">
        <f>ROUND(((100-Matching_Engine!$AL$9)*Lookup_Lists!$D$162+IF(KOL_Database!$BD$8="",Lookup_Lists!$D$150,KOL_Database!$BD$8)*Lookup_Lists!$D$163+Matching_Engine!$AI$9*Lookup_Lists!$D$164+Matching_Engine!$AD$9*Lookup_Lists!$D$165)/(Lookup_Lists!$D$162+Lookup_Lists!$D$163+Lookup_Lists!$D$164+Lookup_Lists!$D$165),0)</f>
      </c>
      <c r="AV9" s="44">
        <f>IF(Matching_Engine!$AW$9="","PASS","EXCLUDED")</f>
      </c>
      <c r="AW9" s="44">
        <f>IF(ISERROR(SEARCH(KOL_Database!$D$8,Brand_Profile!$D$32)),"Platform not in Preferred Platform",IF(AND(Brand_Profile!$D$36&gt;0,KOL_Database!$J$8&lt;Brand_Profile!$D$36),"Followers below Preferred Follower Range",IF(AND(Brand_Profile!$D$37&gt;0,KOL_Database!$J$8&gt;Brand_Profile!$D$37),"Followers above Preferred Follower Range",IF(AND(Brand_Profile!$D$38&gt;0,IF(KOL_Database!$K$8="",0,KOL_Database!$K$8)&lt;Brand_Profile!$D$38),"Engagement Rate below Minimum Engagement Rate",IF(ISERROR(SEARCH(KOL_Database!$G$8,Brand_Profile!$D$35)),"Tier not in Preferred Tier",IF(AND(Brand_Profile!$D$43&gt;0,Matching_Engine!$AE$9&lt;Brand_Profile!$D$43),"Audience Quality below Minimum Audience Quality",IF(AND(Brand_Profile!$D$44&gt;0,Matching_Engine!$AK$9&lt;Brand_Profile!$D$44),"Brand Safety below Minimum Brand Safety",IF(AND(Brand_Profile!$D$47="Yes",KOL_Database!$AD$8&lt;&gt;Brand_Profile!$D$19),"Audience Country does not match Target Country",IF(AND(Brand_Profile!$D$46="Yes",KOL_Database!$E$8&lt;&gt;Brand_Profile!$D$33),"Category is not the Preferred Category",IF(AND(Brand_Profile!$D$48&gt;0,Matching_Engine!$AL$9&gt;Brand_Profile!$D$48),"Competitor Saturation above Max Competitor Saturation",IF(AND(Brand_Profile!$D$50="Yes",KOL_Database!$AW$8="Yes"),"Already Selected",IF(AND(Brand_Profile!$D$51="Yes",KOL_Database!$AX$8="Yes"),"Already in Cart",IF(AND(Brand_Profile!$D$52="Yes",KOL_Database!$AY$8="Yes"),"Existing Partner",IF(AND(Brand_Profile!$D$53="Yes",KOL_Database!$AZ$8="Yes"),"Excluded Creator",IF(AND(Brand_Profile!$D$49&gt;0,Matching_Engine!$AP$9&lt;Brand_Profile!$D$49),"Brand Match below Minimum Brand Match","")))))))))))))))</f>
      </c>
      <c r="AX9" s="44">
        <f>IF(Matching_Engine!$AV$9="EXCLUDED","Excluded",IF(Matching_Engine!$AP$9&gt;=Lookup_Lists!$D$156,"Highly Recommended",IF(Matching_Engine!$AP$9&gt;=Lookup_Lists!$D$157,"Recommended",IF(Matching_Engine!$AP$9&gt;=Lookup_Lists!$D$158,"Consider","Low Priority"))))</f>
      </c>
      <c r="AY9" s="47">
        <f>IF(Matching_Engine!$AV$9="PASS",Matching_Engine!$AP$9,"")</f>
      </c>
      <c r="AZ9" s="44">
        <f>Matching_Engine!$A$9&amp;"|"&amp;Matching_Engine!$C$9</f>
      </c>
      <c r="BA9" s="44">
        <f>IFERROR(INDEX(Lookup_Lists!$B$51:$B$92,MATCH(Brand_Profile!$D$12,Lookup_Lists!$A$51:$A$92,0)),"")</f>
      </c>
      <c r="BB9" s="44">
        <f>IFERROR(INDEX(Lookup_Lists!$B$51:$B$92,MATCH(KOL_Database!$F$8,Lookup_Lists!$A$51:$A$92,0)),"")</f>
      </c>
      <c r="BC9" s="47">
        <f>IFERROR(INDEX(Lookup_Lists!$B$185:$O$198,MATCH(Matching_Engine!$BA$9,Lookup_Lists!$A$185:$A$198,0),MATCH(KOL_Database!$E$8,Lookup_Lists!$B$184:$O$184,0)),Lookup_Lists!$D$151)</f>
      </c>
      <c r="BD9" s="47">
        <f>IFERROR(INDEX(Lookup_Lists!$B$185:$O$198,MATCH(Brand_Profile!$D$33,Lookup_Lists!$A$185:$A$198,0),MATCH(KOL_Database!$E$8,Lookup_Lists!$B$184:$O$184,0)),Lookup_Lists!$D$151)</f>
      </c>
      <c r="BE9" s="44">
        <f>IFERROR(INDEX(Lookup_Lists!$B$51:$B$92,MATCH(Brand_Profile!$D$34,Lookup_Lists!$A$51:$A$92,0)),"")</f>
      </c>
      <c r="BF9" s="44">
        <f>KOL_Database!$AI$8&amp;", "&amp;KOL_Database!$AG$8&amp;", "&amp;KOL_Database!$F$8&amp;", "&amp;KOL_Database!$E$8</f>
      </c>
      <c r="BG9" s="44">
        <f>KOL_Database!$AI$8&amp;", "&amp;KOL_Database!$AG$8</f>
      </c>
    </row>
    <row r="10" spans="1:59" x14ac:dyDescent="0.25">
      <c r="A10" s="43" t="s">
        <v>71</v>
      </c>
      <c r="B10" s="44">
        <f>Brand_Profile!$D$9</f>
      </c>
      <c r="C10" s="44">
        <f>KOL_Database!$A$9</f>
      </c>
      <c r="D10" s="44">
        <f>KOL_Database!$B$9</f>
      </c>
      <c r="E10" s="44">
        <f>KOL_Database!$C$9</f>
      </c>
      <c r="F10" s="44">
        <f>KOL_Database!$D$9</f>
      </c>
      <c r="G10" s="44">
        <f>KOL_Database!$E$9</f>
      </c>
      <c r="H10" s="44">
        <f>KOL_Database!$G$9</f>
      </c>
      <c r="I10" s="45">
        <f>KOL_Database!$J$9</f>
      </c>
      <c r="J10" s="46">
        <f>KOL_Database!$K$9</f>
      </c>
      <c r="K10" s="47">
        <f>IFERROR(INDEX(Lookup_Lists!$B$170:$O$181,MATCH(Brand_Profile!$D$10,Lookup_Lists!$A$170:$A$181,0),MATCH(KOL_Database!$E$9,Lookup_Lists!$B$169:$O$169,0)),Lookup_Lists!$D$151)</f>
      </c>
      <c r="L10" s="47">
        <f>IF(KOL_Database!$F$9="",Matching_Engine!$BC$10,IF(Brand_Profile!$D$12=KOL_Database!$F$9,100,IF(Matching_Engine!$BA$10=KOL_Database!$E$9,80,IF(Matching_Engine!$BC$10&gt;=80,60,IF(Matching_Engine!$BC$10&gt;=60,40,Lookup_Lists!$D$151)))))</f>
      </c>
      <c r="M10" s="47">
        <f>ROUND((IF(Brand_Profile!$D$62=0,Lookup_Lists!$D$150,ROUND((IF(Brand_Profile!$D$57="",0,IF(ISNUMBER(SEARCH(Brand_Profile!$D$57,Matching_Engine!$BF$10)),1,0))+IF(Brand_Profile!$D$58="",0,IF(ISNUMBER(SEARCH(Brand_Profile!$D$58,Matching_Engine!$BF$10)),1,0))+IF(Brand_Profile!$D$59="",0,IF(ISNUMBER(SEARCH(Brand_Profile!$D$59,Matching_Engine!$BF$10)),1,0))+IF(Brand_Profile!$D$60="",0,IF(ISNUMBER(SEARCH(Brand_Profile!$D$60,Matching_Engine!$BF$10)),1,0))+IF(Brand_Profile!$D$61="",0,IF(ISNUMBER(SEARCH(Brand_Profile!$D$61,Matching_Engine!$BF$10)),1,0)))/Brand_Profile!$D$62*100,0))+IF(Brand_Profile!$D$74=0,Lookup_Lists!$D$150,ROUND((IF(Brand_Profile!$D$69="",0,IF(ISNUMBER(SEARCH(Brand_Profile!$D$69,Matching_Engine!$BF$10)),1,0))+IF(Brand_Profile!$D$70="",0,IF(ISNUMBER(SEARCH(Brand_Profile!$D$70,Matching_Engine!$BF$10)),1,0))+IF(Brand_Profile!$D$71="",0,IF(ISNUMBER(SEARCH(Brand_Profile!$D$71,Matching_Engine!$BF$10)),1,0))+IF(Brand_Profile!$D$72="",0,IF(ISNUMBER(SEARCH(Brand_Profile!$D$72,Matching_Engine!$BF$10)),1,0))+IF(Brand_Profile!$D$73="",0,IF(ISNUMBER(SEARCH(Brand_Profile!$D$73,Matching_Engine!$BF$10)),1,0)))/Brand_Profile!$D$74*100,0)))/2,0)</f>
      </c>
      <c r="N10" s="47">
        <f>ROUND((Matching_Engine!$K$10*Lookup_Lists!$D$110+Matching_Engine!$L$10*Lookup_Lists!$D$111+Matching_Engine!$M$10*Lookup_Lists!$D$112)/(Lookup_Lists!$D$110+Lookup_Lists!$D$111+Lookup_Lists!$D$112),0)</f>
      </c>
      <c r="O10" s="47">
        <f>IF(Brand_Profile!$D$16="",Lookup_Lists!$D$150,MIN(100,ROUND((IFERROR(INDEX(KOL_Database!$W$9:KOL_Database!$AA$9,1,MATCH(Brand_Profile!$D$16,Lookup_Lists!$F$6:$F$10,0)),0)+0.5*IFERROR(INDEX(KOL_Database!$W$9:KOL_Database!$AA$9,1,MATCH(Brand_Profile!$D$17,Lookup_Lists!$F$6:$F$10,0)),0))/Lookup_Lists!$D$142*100,0)))</f>
      </c>
      <c r="P10" s="47">
        <f>IF(OR(Brand_Profile!$D$18="",Brand_Profile!$D$18="Any"),100,IF(Brand_Profile!$D$18="Female",MIN(100,ROUND(KOL_Database!$AB$9/Lookup_Lists!$D$143*100,0)),IF(Brand_Profile!$D$18="Male",MIN(100,ROUND(KOL_Database!$AC$9/Lookup_Lists!$D$143*100,0)),MAX(0,ROUND(100-ABS(KOL_Database!$AB$9-50)*2,0)))))</f>
      </c>
      <c r="Q10" s="47">
        <f>ROUND((IF(Brand_Profile!$D$19="",100,IF(KOL_Database!$AD$9=Brand_Profile!$D$19,100,Lookup_Lists!$D$151))*Lookup_Lists!$D$118+IF(OR(Brand_Profile!$D$20="",Brand_Profile!$D$20="Nasional"),100,IF(KOL_Database!$AE$9="",Lookup_Lists!$D$150,IF(KOL_Database!$AE$9=Brand_Profile!$D$20,100,IF(KOL_Database!$AD$9=Brand_Profile!$D$19,40,Lookup_Lists!$D$151))))*Lookup_Lists!$D$119+IF(OR(Brand_Profile!$D$21="",Brand_Profile!$D$21="Nasional"),100,IF(KOL_Database!$AF$9="",Lookup_Lists!$D$150,IF(KOL_Database!$AF$9=Brand_Profile!$D$21,100,IF(KOL_Database!$AE$9=Brand_Profile!$D$20,60,Lookup_Lists!$D$151))))*Lookup_Lists!$D$120)/(Lookup_Lists!$D$118+Lookup_Lists!$D$119+Lookup_Lists!$D$120),0)</f>
      </c>
      <c r="R10" s="47">
        <f>IF(Brand_Profile!$D$68=0,Lookup_Lists!$D$150,ROUND((IF(Brand_Profile!$D$63="",0,IF(ISNUMBER(SEARCH(Brand_Profile!$D$63,KOL_Database!$AG$9)),1,0))+IF(Brand_Profile!$D$64="",0,IF(ISNUMBER(SEARCH(Brand_Profile!$D$64,KOL_Database!$AG$9)),1,0))+IF(Brand_Profile!$D$65="",0,IF(ISNUMBER(SEARCH(Brand_Profile!$D$65,KOL_Database!$AG$9)),1,0))+IF(Brand_Profile!$D$66="",0,IF(ISNUMBER(SEARCH(Brand_Profile!$D$66,KOL_Database!$AG$9)),1,0))+IF(Brand_Profile!$D$67="",0,IF(ISNUMBER(SEARCH(Brand_Profile!$D$67,KOL_Database!$AG$9)),1,0)))/Brand_Profile!$D$68*100,0))</f>
      </c>
      <c r="S10" s="47">
        <f>ROUND((Matching_Engine!$O$10*Brand_Profile!$D$96+Matching_Engine!$P$10*Brand_Profile!$D$97+Matching_Engine!$Q$10*Brand_Profile!$D$98+Matching_Engine!$R$10*Brand_Profile!$D$99)/MAX(1,Brand_Profile!$D$96+Brand_Profile!$D$97+Brand_Profile!$D$98+Brand_Profile!$D$99),0)</f>
      </c>
      <c r="T10" s="47">
        <f>IF(Brand_Profile!$D$33="",Lookup_Lists!$D$150,Matching_Engine!$BD$10)</f>
      </c>
      <c r="U10" s="47">
        <f>IF(Brand_Profile!$D$34="",Lookup_Lists!$D$150,IF(Brand_Profile!$D$34=KOL_Database!$F$9,100,IF(Matching_Engine!$BE$10=KOL_Database!$E$9,75,IF(Matching_Engine!$BD$10&gt;=80,Lookup_Lists!$D$150,IF(Matching_Engine!$BD$10&gt;=60,35,Lookup_Lists!$D$151)))))</f>
      </c>
      <c r="V10" s="47">
        <f>IF(Brand_Profile!$D$86=0,Lookup_Lists!$D$150,ROUND((IF(Brand_Profile!$D$81="",0,IF(ISNUMBER(SEARCH(Brand_Profile!$D$81,Matching_Engine!$BG$10)),1,0))+IF(Brand_Profile!$D$82="",0,IF(ISNUMBER(SEARCH(Brand_Profile!$D$82,Matching_Engine!$BG$10)),1,0))+IF(Brand_Profile!$D$83="",0,IF(ISNUMBER(SEARCH(Brand_Profile!$D$83,Matching_Engine!$BG$10)),1,0))+IF(Brand_Profile!$D$84="",0,IF(ISNUMBER(SEARCH(Brand_Profile!$D$84,Matching_Engine!$BG$10)),1,0))+IF(Brand_Profile!$D$85="",0,IF(ISNUMBER(SEARCH(Brand_Profile!$D$85,Matching_Engine!$BG$10)),1,0)))/Brand_Profile!$D$86*100,0))</f>
      </c>
      <c r="W10" s="47">
        <f>IF(Brand_Profile!$D$39="",Lookup_Lists!$D$150,IFERROR(INDEX(Lookup_Lists!$B$237:$K$246,MATCH(Brand_Profile!$D$39,Lookup_Lists!$A$237:$A$246,0),MATCH(KOL_Database!$AJ$9,Lookup_Lists!$B$236:$K$236,0)),45))</f>
      </c>
      <c r="X10" s="47">
        <f>ROUND((Matching_Engine!$T$10*Lookup_Lists!$D$121+Matching_Engine!$U$10*Lookup_Lists!$D$122+Matching_Engine!$V$10*Lookup_Lists!$D$123+Matching_Engine!$W$10*Lookup_Lists!$D$124)/(Lookup_Lists!$D$121+Lookup_Lists!$D$122+Lookup_Lists!$D$123+Lookup_Lists!$D$124),0)</f>
      </c>
      <c r="Y10" s="47">
        <f>MIN(100,MAX(IFERROR(INDEX(Lookup_Lists!$B$202:$M$211,MATCH(Brand_Profile!$D$25,Lookup_Lists!$A$202:$A$211,0),MATCH(KOL_Database!$AK$9,Lookup_Lists!$B$201:$M$201,0)),40),IF(KOL_Database!$AK$9=Brand_Profile!$D$41,95,0)))</f>
      </c>
      <c r="Z10" s="47">
        <f>IFERROR(INDEX(Lookup_Lists!$B$215:$K$222,MATCH(Brand_Profile!$D$27,Lookup_Lists!$A$215:$A$222,0),MATCH(KOL_Database!$AJ$9,Lookup_Lists!$B$214:$K$214,0)),45)</f>
      </c>
      <c r="AA10" s="47">
        <f>ROUND((IF(Brand_Profile!$D$80=0,Lookup_Lists!$D$150,ROUND((IF(Brand_Profile!$D$75="",0,IF(ISNUMBER(SEARCH(Brand_Profile!$D$75,KOL_Database!$AL$9)),1,0))+IF(Brand_Profile!$D$76="",0,IF(ISNUMBER(SEARCH(Brand_Profile!$D$76,KOL_Database!$AL$9)),1,0))+IF(Brand_Profile!$D$77="",0,IF(ISNUMBER(SEARCH(Brand_Profile!$D$77,KOL_Database!$AL$9)),1,0))+IF(Brand_Profile!$D$78="",0,IF(ISNUMBER(SEARCH(Brand_Profile!$D$78,KOL_Database!$AL$9)),1,0))+IF(Brand_Profile!$D$79="",0,IF(ISNUMBER(SEARCH(Brand_Profile!$D$79,KOL_Database!$AL$9)),1,0)))/Brand_Profile!$D$80*100,0))+IF(Brand_Profile!$D$92=0,Lookup_Lists!$D$150,ROUND((IF(Brand_Profile!$D$87="",0,IF(ISNUMBER(SEARCH(Brand_Profile!$D$87,KOL_Database!$AL$9)),1,0))+IF(Brand_Profile!$D$88="",0,IF(ISNUMBER(SEARCH(Brand_Profile!$D$88,KOL_Database!$AL$9)),1,0))+IF(Brand_Profile!$D$89="",0,IF(ISNUMBER(SEARCH(Brand_Profile!$D$89,KOL_Database!$AL$9)),1,0))+IF(Brand_Profile!$D$90="",0,IF(ISNUMBER(SEARCH(Brand_Profile!$D$90,KOL_Database!$AL$9)),1,0))+IF(Brand_Profile!$D$91="",0,IF(ISNUMBER(SEARCH(Brand_Profile!$D$91,KOL_Database!$AL$9)),1,0)))/Brand_Profile!$D$92*100,0)))/2,0)</f>
      </c>
      <c r="AB10" s="47">
        <f>IFERROR(INDEX(Lookup_Lists!$B$226:$K$233,MATCH(Brand_Profile!$D$30,Lookup_Lists!$A$226:$A$233,0),MATCH(KOL_Database!$AJ$9,Lookup_Lists!$B$225:$K$225,0)),45)</f>
      </c>
      <c r="AC10" s="47">
        <f>ROUND((Matching_Engine!$Y$10*Lookup_Lists!$D$125+Matching_Engine!$Z$10*Lookup_Lists!$D$126+Matching_Engine!$AA$10*Lookup_Lists!$D$127+Matching_Engine!$AB$10*Lookup_Lists!$D$128)/(Lookup_Lists!$D$125+Lookup_Lists!$D$126+Lookup_Lists!$D$127+Lookup_Lists!$D$128),0)</f>
      </c>
      <c r="AD10" s="47">
        <f>IF(KOL_Database!$K$9="",0,MIN(100,ROUND(KOL_Database!$K$9/Lookup_Lists!$D$141*100,0)))</f>
      </c>
      <c r="AE10" s="47">
        <f>IF(KOL_Database!$R$9="",0,MIN(100,MAX(0,KOL_Database!$R$9)))</f>
      </c>
      <c r="AF10" s="47">
        <f>IF(KOL_Database!$P$9="",0,MIN(100,MAX(0,KOL_Database!$P$9)))</f>
      </c>
      <c r="AG10" s="47">
        <f>IF(KOL_Database!$Q$9="",0,MIN(100,MAX(0,KOL_Database!$Q$9)))</f>
      </c>
      <c r="AH10" s="47">
        <f>IF(OR(KOL_Database!$J$9="",KOL_Database!$J$9=0,KOL_Database!$L$9=""),0,MIN(100,ROUND(KOL_Database!$L$9/KOL_Database!$J$9/Lookup_Lists!$D$144*100,0)))</f>
      </c>
      <c r="AI10" s="47">
        <f>IF(KOL_Database!$N$9="",0,MIN(100,MAX(0,ROUND((KOL_Database!$N$9+2)/(Lookup_Lists!$D$145+2)*100,0))))</f>
      </c>
      <c r="AJ10" s="47">
        <f>ROUND((Matching_Engine!$AD$10*Lookup_Lists!$D$129+Matching_Engine!$AE$10*Lookup_Lists!$D$130+Matching_Engine!$AF$10*Lookup_Lists!$D$131+Matching_Engine!$AG$10*Lookup_Lists!$D$132+Matching_Engine!$AH$10*Lookup_Lists!$D$133+Matching_Engine!$AI$10*Lookup_Lists!$D$134)/(Lookup_Lists!$D$129+Lookup_Lists!$D$130+Lookup_Lists!$D$131+Lookup_Lists!$D$132+Lookup_Lists!$D$133+Lookup_Lists!$D$134),0)</f>
      </c>
      <c r="AK10" s="47">
        <f>IF(KOL_Database!$AT$9="",0,MIN(100,MAX(0,KOL_Database!$AT$9)))</f>
      </c>
      <c r="AL10" s="47">
        <f>IF(KOL_Database!$AU$9="",0,KOL_Database!$AU$9)</f>
      </c>
      <c r="AM10" s="44">
        <f>IF(KOL_Database!$AV$9="","None",KOL_Database!$AV$9)</f>
      </c>
      <c r="AN10" s="48">
        <f>IF(Matching_Engine!$AM$10="High",Lookup_Lists!$D$137,IF(Matching_Engine!$AM$10="Medium",Lookup_Lists!$D$138,IF(Matching_Engine!$AM$10="Low",Lookup_Lists!$D$139,Lookup_Lists!$D$140)))</f>
      </c>
      <c r="AO10" s="47">
        <f>ROUND(MIN(100,MAX(0,(Matching_Engine!$AK$10*Lookup_Lists!$D$135+(100-Matching_Engine!$AL$10)*Lookup_Lists!$D$136)/(Lookup_Lists!$D$135+Lookup_Lists!$D$136)*Matching_Engine!$AN$10)),0)</f>
      </c>
      <c r="AP10" s="49">
        <f>ROUND((Matching_Engine!$N$10*Lookup_Lists!$D$104+Matching_Engine!$S$10*Lookup_Lists!$D$105+Matching_Engine!$X$10*Lookup_Lists!$D$106+Matching_Engine!$AC$10*Lookup_Lists!$D$107+Matching_Engine!$AJ$10*Lookup_Lists!$D$108+Matching_Engine!$AO$10*Lookup_Lists!$D$109)/MAX(1,(Lookup_Lists!$D$104+Lookup_Lists!$D$105+Lookup_Lists!$D$106+Lookup_Lists!$D$107+Lookup_Lists!$D$108+Lookup_Lists!$D$109)),0)</f>
      </c>
      <c r="AQ10" s="44">
        <f>IF(Matching_Engine!$AP$10&gt;=Lookup_Lists!$D$152,"Excellent Match",IF(Matching_Engine!$AP$10&gt;=Lookup_Lists!$D$153,"Strong Match",IF(Matching_Engine!$AP$10&gt;=Lookup_Lists!$D$154,"Good Match",IF(Matching_Engine!$AP$10&gt;=Lookup_Lists!$D$155,"Moderate Match","Low Match"))))</f>
      </c>
      <c r="AR10" s="47">
        <f>KOL_Database!$BE$9</f>
      </c>
      <c r="AS10" s="44">
        <f>IF(Matching_Engine!$AR$10&gt;=Lookup_Lists!$D$159,"High",IF(Matching_Engine!$AR$10&gt;=Lookup_Lists!$D$160,"Medium","Limited Data"))</f>
      </c>
      <c r="AT10" s="47">
        <f>ROUND((Matching_Engine!$N$10+Matching_Engine!$X$10+Matching_Engine!$AC$10)/3,0)</f>
      </c>
      <c r="AU10" s="47">
        <f>ROUND(((100-Matching_Engine!$AL$10)*Lookup_Lists!$D$162+IF(KOL_Database!$BD$9="",Lookup_Lists!$D$150,KOL_Database!$BD$9)*Lookup_Lists!$D$163+Matching_Engine!$AI$10*Lookup_Lists!$D$164+Matching_Engine!$AD$10*Lookup_Lists!$D$165)/(Lookup_Lists!$D$162+Lookup_Lists!$D$163+Lookup_Lists!$D$164+Lookup_Lists!$D$165),0)</f>
      </c>
      <c r="AV10" s="44">
        <f>IF(Matching_Engine!$AW$10="","PASS","EXCLUDED")</f>
      </c>
      <c r="AW10" s="44">
        <f>IF(ISERROR(SEARCH(KOL_Database!$D$9,Brand_Profile!$D$32)),"Platform not in Preferred Platform",IF(AND(Brand_Profile!$D$36&gt;0,KOL_Database!$J$9&lt;Brand_Profile!$D$36),"Followers below Preferred Follower Range",IF(AND(Brand_Profile!$D$37&gt;0,KOL_Database!$J$9&gt;Brand_Profile!$D$37),"Followers above Preferred Follower Range",IF(AND(Brand_Profile!$D$38&gt;0,IF(KOL_Database!$K$9="",0,KOL_Database!$K$9)&lt;Brand_Profile!$D$38),"Engagement Rate below Minimum Engagement Rate",IF(ISERROR(SEARCH(KOL_Database!$G$9,Brand_Profile!$D$35)),"Tier not in Preferred Tier",IF(AND(Brand_Profile!$D$43&gt;0,Matching_Engine!$AE$10&lt;Brand_Profile!$D$43),"Audience Quality below Minimum Audience Quality",IF(AND(Brand_Profile!$D$44&gt;0,Matching_Engine!$AK$10&lt;Brand_Profile!$D$44),"Brand Safety below Minimum Brand Safety",IF(AND(Brand_Profile!$D$47="Yes",KOL_Database!$AD$9&lt;&gt;Brand_Profile!$D$19),"Audience Country does not match Target Country",IF(AND(Brand_Profile!$D$46="Yes",KOL_Database!$E$9&lt;&gt;Brand_Profile!$D$33),"Category is not the Preferred Category",IF(AND(Brand_Profile!$D$48&gt;0,Matching_Engine!$AL$10&gt;Brand_Profile!$D$48),"Competitor Saturation above Max Competitor Saturation",IF(AND(Brand_Profile!$D$50="Yes",KOL_Database!$AW$9="Yes"),"Already Selected",IF(AND(Brand_Profile!$D$51="Yes",KOL_Database!$AX$9="Yes"),"Already in Cart",IF(AND(Brand_Profile!$D$52="Yes",KOL_Database!$AY$9="Yes"),"Existing Partner",IF(AND(Brand_Profile!$D$53="Yes",KOL_Database!$AZ$9="Yes"),"Excluded Creator",IF(AND(Brand_Profile!$D$49&gt;0,Matching_Engine!$AP$10&lt;Brand_Profile!$D$49),"Brand Match below Minimum Brand Match","")))))))))))))))</f>
      </c>
      <c r="AX10" s="44">
        <f>IF(Matching_Engine!$AV$10="EXCLUDED","Excluded",IF(Matching_Engine!$AP$10&gt;=Lookup_Lists!$D$156,"Highly Recommended",IF(Matching_Engine!$AP$10&gt;=Lookup_Lists!$D$157,"Recommended",IF(Matching_Engine!$AP$10&gt;=Lookup_Lists!$D$158,"Consider","Low Priority"))))</f>
      </c>
      <c r="AY10" s="47">
        <f>IF(Matching_Engine!$AV$10="PASS",Matching_Engine!$AP$10,"")</f>
      </c>
      <c r="AZ10" s="44">
        <f>Matching_Engine!$A$10&amp;"|"&amp;Matching_Engine!$C$10</f>
      </c>
      <c r="BA10" s="44">
        <f>IFERROR(INDEX(Lookup_Lists!$B$51:$B$92,MATCH(Brand_Profile!$D$12,Lookup_Lists!$A$51:$A$92,0)),"")</f>
      </c>
      <c r="BB10" s="44">
        <f>IFERROR(INDEX(Lookup_Lists!$B$51:$B$92,MATCH(KOL_Database!$F$9,Lookup_Lists!$A$51:$A$92,0)),"")</f>
      </c>
      <c r="BC10" s="47">
        <f>IFERROR(INDEX(Lookup_Lists!$B$185:$O$198,MATCH(Matching_Engine!$BA$10,Lookup_Lists!$A$185:$A$198,0),MATCH(KOL_Database!$E$9,Lookup_Lists!$B$184:$O$184,0)),Lookup_Lists!$D$151)</f>
      </c>
      <c r="BD10" s="47">
        <f>IFERROR(INDEX(Lookup_Lists!$B$185:$O$198,MATCH(Brand_Profile!$D$33,Lookup_Lists!$A$185:$A$198,0),MATCH(KOL_Database!$E$9,Lookup_Lists!$B$184:$O$184,0)),Lookup_Lists!$D$151)</f>
      </c>
      <c r="BE10" s="44">
        <f>IFERROR(INDEX(Lookup_Lists!$B$51:$B$92,MATCH(Brand_Profile!$D$34,Lookup_Lists!$A$51:$A$92,0)),"")</f>
      </c>
      <c r="BF10" s="44">
        <f>KOL_Database!$AI$9&amp;", "&amp;KOL_Database!$AG$9&amp;", "&amp;KOL_Database!$F$9&amp;", "&amp;KOL_Database!$E$9</f>
      </c>
      <c r="BG10" s="44">
        <f>KOL_Database!$AI$9&amp;", "&amp;KOL_Database!$AG$9</f>
      </c>
    </row>
    <row r="11" spans="1:59" x14ac:dyDescent="0.25">
      <c r="A11" s="43" t="s">
        <v>71</v>
      </c>
      <c r="B11" s="44">
        <f>Brand_Profile!$D$9</f>
      </c>
      <c r="C11" s="44">
        <f>KOL_Database!$A$10</f>
      </c>
      <c r="D11" s="44">
        <f>KOL_Database!$B$10</f>
      </c>
      <c r="E11" s="44">
        <f>KOL_Database!$C$10</f>
      </c>
      <c r="F11" s="44">
        <f>KOL_Database!$D$10</f>
      </c>
      <c r="G11" s="44">
        <f>KOL_Database!$E$10</f>
      </c>
      <c r="H11" s="44">
        <f>KOL_Database!$G$10</f>
      </c>
      <c r="I11" s="45">
        <f>KOL_Database!$J$10</f>
      </c>
      <c r="J11" s="46">
        <f>KOL_Database!$K$10</f>
      </c>
      <c r="K11" s="47">
        <f>IFERROR(INDEX(Lookup_Lists!$B$170:$O$181,MATCH(Brand_Profile!$D$10,Lookup_Lists!$A$170:$A$181,0),MATCH(KOL_Database!$E$10,Lookup_Lists!$B$169:$O$169,0)),Lookup_Lists!$D$151)</f>
      </c>
      <c r="L11" s="47">
        <f>IF(KOL_Database!$F$10="",Matching_Engine!$BC$11,IF(Brand_Profile!$D$12=KOL_Database!$F$10,100,IF(Matching_Engine!$BA$11=KOL_Database!$E$10,80,IF(Matching_Engine!$BC$11&gt;=80,60,IF(Matching_Engine!$BC$11&gt;=60,40,Lookup_Lists!$D$151)))))</f>
      </c>
      <c r="M11" s="47">
        <f>ROUND((IF(Brand_Profile!$D$62=0,Lookup_Lists!$D$150,ROUND((IF(Brand_Profile!$D$57="",0,IF(ISNUMBER(SEARCH(Brand_Profile!$D$57,Matching_Engine!$BF$11)),1,0))+IF(Brand_Profile!$D$58="",0,IF(ISNUMBER(SEARCH(Brand_Profile!$D$58,Matching_Engine!$BF$11)),1,0))+IF(Brand_Profile!$D$59="",0,IF(ISNUMBER(SEARCH(Brand_Profile!$D$59,Matching_Engine!$BF$11)),1,0))+IF(Brand_Profile!$D$60="",0,IF(ISNUMBER(SEARCH(Brand_Profile!$D$60,Matching_Engine!$BF$11)),1,0))+IF(Brand_Profile!$D$61="",0,IF(ISNUMBER(SEARCH(Brand_Profile!$D$61,Matching_Engine!$BF$11)),1,0)))/Brand_Profile!$D$62*100,0))+IF(Brand_Profile!$D$74=0,Lookup_Lists!$D$150,ROUND((IF(Brand_Profile!$D$69="",0,IF(ISNUMBER(SEARCH(Brand_Profile!$D$69,Matching_Engine!$BF$11)),1,0))+IF(Brand_Profile!$D$70="",0,IF(ISNUMBER(SEARCH(Brand_Profile!$D$70,Matching_Engine!$BF$11)),1,0))+IF(Brand_Profile!$D$71="",0,IF(ISNUMBER(SEARCH(Brand_Profile!$D$71,Matching_Engine!$BF$11)),1,0))+IF(Brand_Profile!$D$72="",0,IF(ISNUMBER(SEARCH(Brand_Profile!$D$72,Matching_Engine!$BF$11)),1,0))+IF(Brand_Profile!$D$73="",0,IF(ISNUMBER(SEARCH(Brand_Profile!$D$73,Matching_Engine!$BF$11)),1,0)))/Brand_Profile!$D$74*100,0)))/2,0)</f>
      </c>
      <c r="N11" s="47">
        <f>ROUND((Matching_Engine!$K$11*Lookup_Lists!$D$110+Matching_Engine!$L$11*Lookup_Lists!$D$111+Matching_Engine!$M$11*Lookup_Lists!$D$112)/(Lookup_Lists!$D$110+Lookup_Lists!$D$111+Lookup_Lists!$D$112),0)</f>
      </c>
      <c r="O11" s="47">
        <f>IF(Brand_Profile!$D$16="",Lookup_Lists!$D$150,MIN(100,ROUND((IFERROR(INDEX(KOL_Database!$W$10:KOL_Database!$AA$10,1,MATCH(Brand_Profile!$D$16,Lookup_Lists!$F$6:$F$10,0)),0)+0.5*IFERROR(INDEX(KOL_Database!$W$10:KOL_Database!$AA$10,1,MATCH(Brand_Profile!$D$17,Lookup_Lists!$F$6:$F$10,0)),0))/Lookup_Lists!$D$142*100,0)))</f>
      </c>
      <c r="P11" s="47">
        <f>IF(OR(Brand_Profile!$D$18="",Brand_Profile!$D$18="Any"),100,IF(Brand_Profile!$D$18="Female",MIN(100,ROUND(KOL_Database!$AB$10/Lookup_Lists!$D$143*100,0)),IF(Brand_Profile!$D$18="Male",MIN(100,ROUND(KOL_Database!$AC$10/Lookup_Lists!$D$143*100,0)),MAX(0,ROUND(100-ABS(KOL_Database!$AB$10-50)*2,0)))))</f>
      </c>
      <c r="Q11" s="47">
        <f>ROUND((IF(Brand_Profile!$D$19="",100,IF(KOL_Database!$AD$10=Brand_Profile!$D$19,100,Lookup_Lists!$D$151))*Lookup_Lists!$D$118+IF(OR(Brand_Profile!$D$20="",Brand_Profile!$D$20="Nasional"),100,IF(KOL_Database!$AE$10="",Lookup_Lists!$D$150,IF(KOL_Database!$AE$10=Brand_Profile!$D$20,100,IF(KOL_Database!$AD$10=Brand_Profile!$D$19,40,Lookup_Lists!$D$151))))*Lookup_Lists!$D$119+IF(OR(Brand_Profile!$D$21="",Brand_Profile!$D$21="Nasional"),100,IF(KOL_Database!$AF$10="",Lookup_Lists!$D$150,IF(KOL_Database!$AF$10=Brand_Profile!$D$21,100,IF(KOL_Database!$AE$10=Brand_Profile!$D$20,60,Lookup_Lists!$D$151))))*Lookup_Lists!$D$120)/(Lookup_Lists!$D$118+Lookup_Lists!$D$119+Lookup_Lists!$D$120),0)</f>
      </c>
      <c r="R11" s="47">
        <f>IF(Brand_Profile!$D$68=0,Lookup_Lists!$D$150,ROUND((IF(Brand_Profile!$D$63="",0,IF(ISNUMBER(SEARCH(Brand_Profile!$D$63,KOL_Database!$AG$10)),1,0))+IF(Brand_Profile!$D$64="",0,IF(ISNUMBER(SEARCH(Brand_Profile!$D$64,KOL_Database!$AG$10)),1,0))+IF(Brand_Profile!$D$65="",0,IF(ISNUMBER(SEARCH(Brand_Profile!$D$65,KOL_Database!$AG$10)),1,0))+IF(Brand_Profile!$D$66="",0,IF(ISNUMBER(SEARCH(Brand_Profile!$D$66,KOL_Database!$AG$10)),1,0))+IF(Brand_Profile!$D$67="",0,IF(ISNUMBER(SEARCH(Brand_Profile!$D$67,KOL_Database!$AG$10)),1,0)))/Brand_Profile!$D$68*100,0))</f>
      </c>
      <c r="S11" s="47">
        <f>ROUND((Matching_Engine!$O$11*Brand_Profile!$D$96+Matching_Engine!$P$11*Brand_Profile!$D$97+Matching_Engine!$Q$11*Brand_Profile!$D$98+Matching_Engine!$R$11*Brand_Profile!$D$99)/MAX(1,Brand_Profile!$D$96+Brand_Profile!$D$97+Brand_Profile!$D$98+Brand_Profile!$D$99),0)</f>
      </c>
      <c r="T11" s="47">
        <f>IF(Brand_Profile!$D$33="",Lookup_Lists!$D$150,Matching_Engine!$BD$11)</f>
      </c>
      <c r="U11" s="47">
        <f>IF(Brand_Profile!$D$34="",Lookup_Lists!$D$150,IF(Brand_Profile!$D$34=KOL_Database!$F$10,100,IF(Matching_Engine!$BE$11=KOL_Database!$E$10,75,IF(Matching_Engine!$BD$11&gt;=80,Lookup_Lists!$D$150,IF(Matching_Engine!$BD$11&gt;=60,35,Lookup_Lists!$D$151)))))</f>
      </c>
      <c r="V11" s="47">
        <f>IF(Brand_Profile!$D$86=0,Lookup_Lists!$D$150,ROUND((IF(Brand_Profile!$D$81="",0,IF(ISNUMBER(SEARCH(Brand_Profile!$D$81,Matching_Engine!$BG$11)),1,0))+IF(Brand_Profile!$D$82="",0,IF(ISNUMBER(SEARCH(Brand_Profile!$D$82,Matching_Engine!$BG$11)),1,0))+IF(Brand_Profile!$D$83="",0,IF(ISNUMBER(SEARCH(Brand_Profile!$D$83,Matching_Engine!$BG$11)),1,0))+IF(Brand_Profile!$D$84="",0,IF(ISNUMBER(SEARCH(Brand_Profile!$D$84,Matching_Engine!$BG$11)),1,0))+IF(Brand_Profile!$D$85="",0,IF(ISNUMBER(SEARCH(Brand_Profile!$D$85,Matching_Engine!$BG$11)),1,0)))/Brand_Profile!$D$86*100,0))</f>
      </c>
      <c r="W11" s="47">
        <f>IF(Brand_Profile!$D$39="",Lookup_Lists!$D$150,IFERROR(INDEX(Lookup_Lists!$B$237:$K$246,MATCH(Brand_Profile!$D$39,Lookup_Lists!$A$237:$A$246,0),MATCH(KOL_Database!$AJ$10,Lookup_Lists!$B$236:$K$236,0)),45))</f>
      </c>
      <c r="X11" s="47">
        <f>ROUND((Matching_Engine!$T$11*Lookup_Lists!$D$121+Matching_Engine!$U$11*Lookup_Lists!$D$122+Matching_Engine!$V$11*Lookup_Lists!$D$123+Matching_Engine!$W$11*Lookup_Lists!$D$124)/(Lookup_Lists!$D$121+Lookup_Lists!$D$122+Lookup_Lists!$D$123+Lookup_Lists!$D$124),0)</f>
      </c>
      <c r="Y11" s="47">
        <f>MIN(100,MAX(IFERROR(INDEX(Lookup_Lists!$B$202:$M$211,MATCH(Brand_Profile!$D$25,Lookup_Lists!$A$202:$A$211,0),MATCH(KOL_Database!$AK$10,Lookup_Lists!$B$201:$M$201,0)),40),IF(KOL_Database!$AK$10=Brand_Profile!$D$41,95,0)))</f>
      </c>
      <c r="Z11" s="47">
        <f>IFERROR(INDEX(Lookup_Lists!$B$215:$K$222,MATCH(Brand_Profile!$D$27,Lookup_Lists!$A$215:$A$222,0),MATCH(KOL_Database!$AJ$10,Lookup_Lists!$B$214:$K$214,0)),45)</f>
      </c>
      <c r="AA11" s="47">
        <f>ROUND((IF(Brand_Profile!$D$80=0,Lookup_Lists!$D$150,ROUND((IF(Brand_Profile!$D$75="",0,IF(ISNUMBER(SEARCH(Brand_Profile!$D$75,KOL_Database!$AL$10)),1,0))+IF(Brand_Profile!$D$76="",0,IF(ISNUMBER(SEARCH(Brand_Profile!$D$76,KOL_Database!$AL$10)),1,0))+IF(Brand_Profile!$D$77="",0,IF(ISNUMBER(SEARCH(Brand_Profile!$D$77,KOL_Database!$AL$10)),1,0))+IF(Brand_Profile!$D$78="",0,IF(ISNUMBER(SEARCH(Brand_Profile!$D$78,KOL_Database!$AL$10)),1,0))+IF(Brand_Profile!$D$79="",0,IF(ISNUMBER(SEARCH(Brand_Profile!$D$79,KOL_Database!$AL$10)),1,0)))/Brand_Profile!$D$80*100,0))+IF(Brand_Profile!$D$92=0,Lookup_Lists!$D$150,ROUND((IF(Brand_Profile!$D$87="",0,IF(ISNUMBER(SEARCH(Brand_Profile!$D$87,KOL_Database!$AL$10)),1,0))+IF(Brand_Profile!$D$88="",0,IF(ISNUMBER(SEARCH(Brand_Profile!$D$88,KOL_Database!$AL$10)),1,0))+IF(Brand_Profile!$D$89="",0,IF(ISNUMBER(SEARCH(Brand_Profile!$D$89,KOL_Database!$AL$10)),1,0))+IF(Brand_Profile!$D$90="",0,IF(ISNUMBER(SEARCH(Brand_Profile!$D$90,KOL_Database!$AL$10)),1,0))+IF(Brand_Profile!$D$91="",0,IF(ISNUMBER(SEARCH(Brand_Profile!$D$91,KOL_Database!$AL$10)),1,0)))/Brand_Profile!$D$92*100,0)))/2,0)</f>
      </c>
      <c r="AB11" s="47">
        <f>IFERROR(INDEX(Lookup_Lists!$B$226:$K$233,MATCH(Brand_Profile!$D$30,Lookup_Lists!$A$226:$A$233,0),MATCH(KOL_Database!$AJ$10,Lookup_Lists!$B$225:$K$225,0)),45)</f>
      </c>
      <c r="AC11" s="47">
        <f>ROUND((Matching_Engine!$Y$11*Lookup_Lists!$D$125+Matching_Engine!$Z$11*Lookup_Lists!$D$126+Matching_Engine!$AA$11*Lookup_Lists!$D$127+Matching_Engine!$AB$11*Lookup_Lists!$D$128)/(Lookup_Lists!$D$125+Lookup_Lists!$D$126+Lookup_Lists!$D$127+Lookup_Lists!$D$128),0)</f>
      </c>
      <c r="AD11" s="47">
        <f>IF(KOL_Database!$K$10="",0,MIN(100,ROUND(KOL_Database!$K$10/Lookup_Lists!$D$141*100,0)))</f>
      </c>
      <c r="AE11" s="47">
        <f>IF(KOL_Database!$R$10="",0,MIN(100,MAX(0,KOL_Database!$R$10)))</f>
      </c>
      <c r="AF11" s="47">
        <f>IF(KOL_Database!$P$10="",0,MIN(100,MAX(0,KOL_Database!$P$10)))</f>
      </c>
      <c r="AG11" s="47">
        <f>IF(KOL_Database!$Q$10="",0,MIN(100,MAX(0,KOL_Database!$Q$10)))</f>
      </c>
      <c r="AH11" s="47">
        <f>IF(OR(KOL_Database!$J$10="",KOL_Database!$J$10=0,KOL_Database!$L$10=""),0,MIN(100,ROUND(KOL_Database!$L$10/KOL_Database!$J$10/Lookup_Lists!$D$144*100,0)))</f>
      </c>
      <c r="AI11" s="47">
        <f>IF(KOL_Database!$N$10="",0,MIN(100,MAX(0,ROUND((KOL_Database!$N$10+2)/(Lookup_Lists!$D$145+2)*100,0))))</f>
      </c>
      <c r="AJ11" s="47">
        <f>ROUND((Matching_Engine!$AD$11*Lookup_Lists!$D$129+Matching_Engine!$AE$11*Lookup_Lists!$D$130+Matching_Engine!$AF$11*Lookup_Lists!$D$131+Matching_Engine!$AG$11*Lookup_Lists!$D$132+Matching_Engine!$AH$11*Lookup_Lists!$D$133+Matching_Engine!$AI$11*Lookup_Lists!$D$134)/(Lookup_Lists!$D$129+Lookup_Lists!$D$130+Lookup_Lists!$D$131+Lookup_Lists!$D$132+Lookup_Lists!$D$133+Lookup_Lists!$D$134),0)</f>
      </c>
      <c r="AK11" s="47">
        <f>IF(KOL_Database!$AT$10="",0,MIN(100,MAX(0,KOL_Database!$AT$10)))</f>
      </c>
      <c r="AL11" s="47">
        <f>IF(KOL_Database!$AU$10="",0,KOL_Database!$AU$10)</f>
      </c>
      <c r="AM11" s="44">
        <f>IF(KOL_Database!$AV$10="","None",KOL_Database!$AV$10)</f>
      </c>
      <c r="AN11" s="48">
        <f>IF(Matching_Engine!$AM$11="High",Lookup_Lists!$D$137,IF(Matching_Engine!$AM$11="Medium",Lookup_Lists!$D$138,IF(Matching_Engine!$AM$11="Low",Lookup_Lists!$D$139,Lookup_Lists!$D$140)))</f>
      </c>
      <c r="AO11" s="47">
        <f>ROUND(MIN(100,MAX(0,(Matching_Engine!$AK$11*Lookup_Lists!$D$135+(100-Matching_Engine!$AL$11)*Lookup_Lists!$D$136)/(Lookup_Lists!$D$135+Lookup_Lists!$D$136)*Matching_Engine!$AN$11)),0)</f>
      </c>
      <c r="AP11" s="49">
        <f>ROUND((Matching_Engine!$N$11*Lookup_Lists!$D$104+Matching_Engine!$S$11*Lookup_Lists!$D$105+Matching_Engine!$X$11*Lookup_Lists!$D$106+Matching_Engine!$AC$11*Lookup_Lists!$D$107+Matching_Engine!$AJ$11*Lookup_Lists!$D$108+Matching_Engine!$AO$11*Lookup_Lists!$D$109)/MAX(1,(Lookup_Lists!$D$104+Lookup_Lists!$D$105+Lookup_Lists!$D$106+Lookup_Lists!$D$107+Lookup_Lists!$D$108+Lookup_Lists!$D$109)),0)</f>
      </c>
      <c r="AQ11" s="44">
        <f>IF(Matching_Engine!$AP$11&gt;=Lookup_Lists!$D$152,"Excellent Match",IF(Matching_Engine!$AP$11&gt;=Lookup_Lists!$D$153,"Strong Match",IF(Matching_Engine!$AP$11&gt;=Lookup_Lists!$D$154,"Good Match",IF(Matching_Engine!$AP$11&gt;=Lookup_Lists!$D$155,"Moderate Match","Low Match"))))</f>
      </c>
      <c r="AR11" s="47">
        <f>KOL_Database!$BE$10</f>
      </c>
      <c r="AS11" s="44">
        <f>IF(Matching_Engine!$AR$11&gt;=Lookup_Lists!$D$159,"High",IF(Matching_Engine!$AR$11&gt;=Lookup_Lists!$D$160,"Medium","Limited Data"))</f>
      </c>
      <c r="AT11" s="47">
        <f>ROUND((Matching_Engine!$N$11+Matching_Engine!$X$11+Matching_Engine!$AC$11)/3,0)</f>
      </c>
      <c r="AU11" s="47">
        <f>ROUND(((100-Matching_Engine!$AL$11)*Lookup_Lists!$D$162+IF(KOL_Database!$BD$10="",Lookup_Lists!$D$150,KOL_Database!$BD$10)*Lookup_Lists!$D$163+Matching_Engine!$AI$11*Lookup_Lists!$D$164+Matching_Engine!$AD$11*Lookup_Lists!$D$165)/(Lookup_Lists!$D$162+Lookup_Lists!$D$163+Lookup_Lists!$D$164+Lookup_Lists!$D$165),0)</f>
      </c>
      <c r="AV11" s="44">
        <f>IF(Matching_Engine!$AW$11="","PASS","EXCLUDED")</f>
      </c>
      <c r="AW11" s="44">
        <f>IF(ISERROR(SEARCH(KOL_Database!$D$10,Brand_Profile!$D$32)),"Platform not in Preferred Platform",IF(AND(Brand_Profile!$D$36&gt;0,KOL_Database!$J$10&lt;Brand_Profile!$D$36),"Followers below Preferred Follower Range",IF(AND(Brand_Profile!$D$37&gt;0,KOL_Database!$J$10&gt;Brand_Profile!$D$37),"Followers above Preferred Follower Range",IF(AND(Brand_Profile!$D$38&gt;0,IF(KOL_Database!$K$10="",0,KOL_Database!$K$10)&lt;Brand_Profile!$D$38),"Engagement Rate below Minimum Engagement Rate",IF(ISERROR(SEARCH(KOL_Database!$G$10,Brand_Profile!$D$35)),"Tier not in Preferred Tier",IF(AND(Brand_Profile!$D$43&gt;0,Matching_Engine!$AE$11&lt;Brand_Profile!$D$43),"Audience Quality below Minimum Audience Quality",IF(AND(Brand_Profile!$D$44&gt;0,Matching_Engine!$AK$11&lt;Brand_Profile!$D$44),"Brand Safety below Minimum Brand Safety",IF(AND(Brand_Profile!$D$47="Yes",KOL_Database!$AD$10&lt;&gt;Brand_Profile!$D$19),"Audience Country does not match Target Country",IF(AND(Brand_Profile!$D$46="Yes",KOL_Database!$E$10&lt;&gt;Brand_Profile!$D$33),"Category is not the Preferred Category",IF(AND(Brand_Profile!$D$48&gt;0,Matching_Engine!$AL$11&gt;Brand_Profile!$D$48),"Competitor Saturation above Max Competitor Saturation",IF(AND(Brand_Profile!$D$50="Yes",KOL_Database!$AW$10="Yes"),"Already Selected",IF(AND(Brand_Profile!$D$51="Yes",KOL_Database!$AX$10="Yes"),"Already in Cart",IF(AND(Brand_Profile!$D$52="Yes",KOL_Database!$AY$10="Yes"),"Existing Partner",IF(AND(Brand_Profile!$D$53="Yes",KOL_Database!$AZ$10="Yes"),"Excluded Creator",IF(AND(Brand_Profile!$D$49&gt;0,Matching_Engine!$AP$11&lt;Brand_Profile!$D$49),"Brand Match below Minimum Brand Match","")))))))))))))))</f>
      </c>
      <c r="AX11" s="44">
        <f>IF(Matching_Engine!$AV$11="EXCLUDED","Excluded",IF(Matching_Engine!$AP$11&gt;=Lookup_Lists!$D$156,"Highly Recommended",IF(Matching_Engine!$AP$11&gt;=Lookup_Lists!$D$157,"Recommended",IF(Matching_Engine!$AP$11&gt;=Lookup_Lists!$D$158,"Consider","Low Priority"))))</f>
      </c>
      <c r="AY11" s="47">
        <f>IF(Matching_Engine!$AV$11="PASS",Matching_Engine!$AP$11,"")</f>
      </c>
      <c r="AZ11" s="44">
        <f>Matching_Engine!$A$11&amp;"|"&amp;Matching_Engine!$C$11</f>
      </c>
      <c r="BA11" s="44">
        <f>IFERROR(INDEX(Lookup_Lists!$B$51:$B$92,MATCH(Brand_Profile!$D$12,Lookup_Lists!$A$51:$A$92,0)),"")</f>
      </c>
      <c r="BB11" s="44">
        <f>IFERROR(INDEX(Lookup_Lists!$B$51:$B$92,MATCH(KOL_Database!$F$10,Lookup_Lists!$A$51:$A$92,0)),"")</f>
      </c>
      <c r="BC11" s="47">
        <f>IFERROR(INDEX(Lookup_Lists!$B$185:$O$198,MATCH(Matching_Engine!$BA$11,Lookup_Lists!$A$185:$A$198,0),MATCH(KOL_Database!$E$10,Lookup_Lists!$B$184:$O$184,0)),Lookup_Lists!$D$151)</f>
      </c>
      <c r="BD11" s="47">
        <f>IFERROR(INDEX(Lookup_Lists!$B$185:$O$198,MATCH(Brand_Profile!$D$33,Lookup_Lists!$A$185:$A$198,0),MATCH(KOL_Database!$E$10,Lookup_Lists!$B$184:$O$184,0)),Lookup_Lists!$D$151)</f>
      </c>
      <c r="BE11" s="44">
        <f>IFERROR(INDEX(Lookup_Lists!$B$51:$B$92,MATCH(Brand_Profile!$D$34,Lookup_Lists!$A$51:$A$92,0)),"")</f>
      </c>
      <c r="BF11" s="44">
        <f>KOL_Database!$AI$10&amp;", "&amp;KOL_Database!$AG$10&amp;", "&amp;KOL_Database!$F$10&amp;", "&amp;KOL_Database!$E$10</f>
      </c>
      <c r="BG11" s="44">
        <f>KOL_Database!$AI$10&amp;", "&amp;KOL_Database!$AG$10</f>
      </c>
    </row>
    <row r="12" spans="1:59" x14ac:dyDescent="0.25">
      <c r="A12" s="43" t="s">
        <v>71</v>
      </c>
      <c r="B12" s="44">
        <f>Brand_Profile!$D$9</f>
      </c>
      <c r="C12" s="44">
        <f>KOL_Database!$A$11</f>
      </c>
      <c r="D12" s="44">
        <f>KOL_Database!$B$11</f>
      </c>
      <c r="E12" s="44">
        <f>KOL_Database!$C$11</f>
      </c>
      <c r="F12" s="44">
        <f>KOL_Database!$D$11</f>
      </c>
      <c r="G12" s="44">
        <f>KOL_Database!$E$11</f>
      </c>
      <c r="H12" s="44">
        <f>KOL_Database!$G$11</f>
      </c>
      <c r="I12" s="45">
        <f>KOL_Database!$J$11</f>
      </c>
      <c r="J12" s="46">
        <f>KOL_Database!$K$11</f>
      </c>
      <c r="K12" s="47">
        <f>IFERROR(INDEX(Lookup_Lists!$B$170:$O$181,MATCH(Brand_Profile!$D$10,Lookup_Lists!$A$170:$A$181,0),MATCH(KOL_Database!$E$11,Lookup_Lists!$B$169:$O$169,0)),Lookup_Lists!$D$151)</f>
      </c>
      <c r="L12" s="47">
        <f>IF(KOL_Database!$F$11="",Matching_Engine!$BC$12,IF(Brand_Profile!$D$12=KOL_Database!$F$11,100,IF(Matching_Engine!$BA$12=KOL_Database!$E$11,80,IF(Matching_Engine!$BC$12&gt;=80,60,IF(Matching_Engine!$BC$12&gt;=60,40,Lookup_Lists!$D$151)))))</f>
      </c>
      <c r="M12" s="47">
        <f>ROUND((IF(Brand_Profile!$D$62=0,Lookup_Lists!$D$150,ROUND((IF(Brand_Profile!$D$57="",0,IF(ISNUMBER(SEARCH(Brand_Profile!$D$57,Matching_Engine!$BF$12)),1,0))+IF(Brand_Profile!$D$58="",0,IF(ISNUMBER(SEARCH(Brand_Profile!$D$58,Matching_Engine!$BF$12)),1,0))+IF(Brand_Profile!$D$59="",0,IF(ISNUMBER(SEARCH(Brand_Profile!$D$59,Matching_Engine!$BF$12)),1,0))+IF(Brand_Profile!$D$60="",0,IF(ISNUMBER(SEARCH(Brand_Profile!$D$60,Matching_Engine!$BF$12)),1,0))+IF(Brand_Profile!$D$61="",0,IF(ISNUMBER(SEARCH(Brand_Profile!$D$61,Matching_Engine!$BF$12)),1,0)))/Brand_Profile!$D$62*100,0))+IF(Brand_Profile!$D$74=0,Lookup_Lists!$D$150,ROUND((IF(Brand_Profile!$D$69="",0,IF(ISNUMBER(SEARCH(Brand_Profile!$D$69,Matching_Engine!$BF$12)),1,0))+IF(Brand_Profile!$D$70="",0,IF(ISNUMBER(SEARCH(Brand_Profile!$D$70,Matching_Engine!$BF$12)),1,0))+IF(Brand_Profile!$D$71="",0,IF(ISNUMBER(SEARCH(Brand_Profile!$D$71,Matching_Engine!$BF$12)),1,0))+IF(Brand_Profile!$D$72="",0,IF(ISNUMBER(SEARCH(Brand_Profile!$D$72,Matching_Engine!$BF$12)),1,0))+IF(Brand_Profile!$D$73="",0,IF(ISNUMBER(SEARCH(Brand_Profile!$D$73,Matching_Engine!$BF$12)),1,0)))/Brand_Profile!$D$74*100,0)))/2,0)</f>
      </c>
      <c r="N12" s="47">
        <f>ROUND((Matching_Engine!$K$12*Lookup_Lists!$D$110+Matching_Engine!$L$12*Lookup_Lists!$D$111+Matching_Engine!$M$12*Lookup_Lists!$D$112)/(Lookup_Lists!$D$110+Lookup_Lists!$D$111+Lookup_Lists!$D$112),0)</f>
      </c>
      <c r="O12" s="47">
        <f>IF(Brand_Profile!$D$16="",Lookup_Lists!$D$150,MIN(100,ROUND((IFERROR(INDEX(KOL_Database!$W$11:KOL_Database!$AA$11,1,MATCH(Brand_Profile!$D$16,Lookup_Lists!$F$6:$F$10,0)),0)+0.5*IFERROR(INDEX(KOL_Database!$W$11:KOL_Database!$AA$11,1,MATCH(Brand_Profile!$D$17,Lookup_Lists!$F$6:$F$10,0)),0))/Lookup_Lists!$D$142*100,0)))</f>
      </c>
      <c r="P12" s="47">
        <f>IF(OR(Brand_Profile!$D$18="",Brand_Profile!$D$18="Any"),100,IF(Brand_Profile!$D$18="Female",MIN(100,ROUND(KOL_Database!$AB$11/Lookup_Lists!$D$143*100,0)),IF(Brand_Profile!$D$18="Male",MIN(100,ROUND(KOL_Database!$AC$11/Lookup_Lists!$D$143*100,0)),MAX(0,ROUND(100-ABS(KOL_Database!$AB$11-50)*2,0)))))</f>
      </c>
      <c r="Q12" s="47">
        <f>ROUND((IF(Brand_Profile!$D$19="",100,IF(KOL_Database!$AD$11=Brand_Profile!$D$19,100,Lookup_Lists!$D$151))*Lookup_Lists!$D$118+IF(OR(Brand_Profile!$D$20="",Brand_Profile!$D$20="Nasional"),100,IF(KOL_Database!$AE$11="",Lookup_Lists!$D$150,IF(KOL_Database!$AE$11=Brand_Profile!$D$20,100,IF(KOL_Database!$AD$11=Brand_Profile!$D$19,40,Lookup_Lists!$D$151))))*Lookup_Lists!$D$119+IF(OR(Brand_Profile!$D$21="",Brand_Profile!$D$21="Nasional"),100,IF(KOL_Database!$AF$11="",Lookup_Lists!$D$150,IF(KOL_Database!$AF$11=Brand_Profile!$D$21,100,IF(KOL_Database!$AE$11=Brand_Profile!$D$20,60,Lookup_Lists!$D$151))))*Lookup_Lists!$D$120)/(Lookup_Lists!$D$118+Lookup_Lists!$D$119+Lookup_Lists!$D$120),0)</f>
      </c>
      <c r="R12" s="47">
        <f>IF(Brand_Profile!$D$68=0,Lookup_Lists!$D$150,ROUND((IF(Brand_Profile!$D$63="",0,IF(ISNUMBER(SEARCH(Brand_Profile!$D$63,KOL_Database!$AG$11)),1,0))+IF(Brand_Profile!$D$64="",0,IF(ISNUMBER(SEARCH(Brand_Profile!$D$64,KOL_Database!$AG$11)),1,0))+IF(Brand_Profile!$D$65="",0,IF(ISNUMBER(SEARCH(Brand_Profile!$D$65,KOL_Database!$AG$11)),1,0))+IF(Brand_Profile!$D$66="",0,IF(ISNUMBER(SEARCH(Brand_Profile!$D$66,KOL_Database!$AG$11)),1,0))+IF(Brand_Profile!$D$67="",0,IF(ISNUMBER(SEARCH(Brand_Profile!$D$67,KOL_Database!$AG$11)),1,0)))/Brand_Profile!$D$68*100,0))</f>
      </c>
      <c r="S12" s="47">
        <f>ROUND((Matching_Engine!$O$12*Brand_Profile!$D$96+Matching_Engine!$P$12*Brand_Profile!$D$97+Matching_Engine!$Q$12*Brand_Profile!$D$98+Matching_Engine!$R$12*Brand_Profile!$D$99)/MAX(1,Brand_Profile!$D$96+Brand_Profile!$D$97+Brand_Profile!$D$98+Brand_Profile!$D$99),0)</f>
      </c>
      <c r="T12" s="47">
        <f>IF(Brand_Profile!$D$33="",Lookup_Lists!$D$150,Matching_Engine!$BD$12)</f>
      </c>
      <c r="U12" s="47">
        <f>IF(Brand_Profile!$D$34="",Lookup_Lists!$D$150,IF(Brand_Profile!$D$34=KOL_Database!$F$11,100,IF(Matching_Engine!$BE$12=KOL_Database!$E$11,75,IF(Matching_Engine!$BD$12&gt;=80,Lookup_Lists!$D$150,IF(Matching_Engine!$BD$12&gt;=60,35,Lookup_Lists!$D$151)))))</f>
      </c>
      <c r="V12" s="47">
        <f>IF(Brand_Profile!$D$86=0,Lookup_Lists!$D$150,ROUND((IF(Brand_Profile!$D$81="",0,IF(ISNUMBER(SEARCH(Brand_Profile!$D$81,Matching_Engine!$BG$12)),1,0))+IF(Brand_Profile!$D$82="",0,IF(ISNUMBER(SEARCH(Brand_Profile!$D$82,Matching_Engine!$BG$12)),1,0))+IF(Brand_Profile!$D$83="",0,IF(ISNUMBER(SEARCH(Brand_Profile!$D$83,Matching_Engine!$BG$12)),1,0))+IF(Brand_Profile!$D$84="",0,IF(ISNUMBER(SEARCH(Brand_Profile!$D$84,Matching_Engine!$BG$12)),1,0))+IF(Brand_Profile!$D$85="",0,IF(ISNUMBER(SEARCH(Brand_Profile!$D$85,Matching_Engine!$BG$12)),1,0)))/Brand_Profile!$D$86*100,0))</f>
      </c>
      <c r="W12" s="47">
        <f>IF(Brand_Profile!$D$39="",Lookup_Lists!$D$150,IFERROR(INDEX(Lookup_Lists!$B$237:$K$246,MATCH(Brand_Profile!$D$39,Lookup_Lists!$A$237:$A$246,0),MATCH(KOL_Database!$AJ$11,Lookup_Lists!$B$236:$K$236,0)),45))</f>
      </c>
      <c r="X12" s="47">
        <f>ROUND((Matching_Engine!$T$12*Lookup_Lists!$D$121+Matching_Engine!$U$12*Lookup_Lists!$D$122+Matching_Engine!$V$12*Lookup_Lists!$D$123+Matching_Engine!$W$12*Lookup_Lists!$D$124)/(Lookup_Lists!$D$121+Lookup_Lists!$D$122+Lookup_Lists!$D$123+Lookup_Lists!$D$124),0)</f>
      </c>
      <c r="Y12" s="47">
        <f>MIN(100,MAX(IFERROR(INDEX(Lookup_Lists!$B$202:$M$211,MATCH(Brand_Profile!$D$25,Lookup_Lists!$A$202:$A$211,0),MATCH(KOL_Database!$AK$11,Lookup_Lists!$B$201:$M$201,0)),40),IF(KOL_Database!$AK$11=Brand_Profile!$D$41,95,0)))</f>
      </c>
      <c r="Z12" s="47">
        <f>IFERROR(INDEX(Lookup_Lists!$B$215:$K$222,MATCH(Brand_Profile!$D$27,Lookup_Lists!$A$215:$A$222,0),MATCH(KOL_Database!$AJ$11,Lookup_Lists!$B$214:$K$214,0)),45)</f>
      </c>
      <c r="AA12" s="47">
        <f>ROUND((IF(Brand_Profile!$D$80=0,Lookup_Lists!$D$150,ROUND((IF(Brand_Profile!$D$75="",0,IF(ISNUMBER(SEARCH(Brand_Profile!$D$75,KOL_Database!$AL$11)),1,0))+IF(Brand_Profile!$D$76="",0,IF(ISNUMBER(SEARCH(Brand_Profile!$D$76,KOL_Database!$AL$11)),1,0))+IF(Brand_Profile!$D$77="",0,IF(ISNUMBER(SEARCH(Brand_Profile!$D$77,KOL_Database!$AL$11)),1,0))+IF(Brand_Profile!$D$78="",0,IF(ISNUMBER(SEARCH(Brand_Profile!$D$78,KOL_Database!$AL$11)),1,0))+IF(Brand_Profile!$D$79="",0,IF(ISNUMBER(SEARCH(Brand_Profile!$D$79,KOL_Database!$AL$11)),1,0)))/Brand_Profile!$D$80*100,0))+IF(Brand_Profile!$D$92=0,Lookup_Lists!$D$150,ROUND((IF(Brand_Profile!$D$87="",0,IF(ISNUMBER(SEARCH(Brand_Profile!$D$87,KOL_Database!$AL$11)),1,0))+IF(Brand_Profile!$D$88="",0,IF(ISNUMBER(SEARCH(Brand_Profile!$D$88,KOL_Database!$AL$11)),1,0))+IF(Brand_Profile!$D$89="",0,IF(ISNUMBER(SEARCH(Brand_Profile!$D$89,KOL_Database!$AL$11)),1,0))+IF(Brand_Profile!$D$90="",0,IF(ISNUMBER(SEARCH(Brand_Profile!$D$90,KOL_Database!$AL$11)),1,0))+IF(Brand_Profile!$D$91="",0,IF(ISNUMBER(SEARCH(Brand_Profile!$D$91,KOL_Database!$AL$11)),1,0)))/Brand_Profile!$D$92*100,0)))/2,0)</f>
      </c>
      <c r="AB12" s="47">
        <f>IFERROR(INDEX(Lookup_Lists!$B$226:$K$233,MATCH(Brand_Profile!$D$30,Lookup_Lists!$A$226:$A$233,0),MATCH(KOL_Database!$AJ$11,Lookup_Lists!$B$225:$K$225,0)),45)</f>
      </c>
      <c r="AC12" s="47">
        <f>ROUND((Matching_Engine!$Y$12*Lookup_Lists!$D$125+Matching_Engine!$Z$12*Lookup_Lists!$D$126+Matching_Engine!$AA$12*Lookup_Lists!$D$127+Matching_Engine!$AB$12*Lookup_Lists!$D$128)/(Lookup_Lists!$D$125+Lookup_Lists!$D$126+Lookup_Lists!$D$127+Lookup_Lists!$D$128),0)</f>
      </c>
      <c r="AD12" s="47">
        <f>IF(KOL_Database!$K$11="",0,MIN(100,ROUND(KOL_Database!$K$11/Lookup_Lists!$D$141*100,0)))</f>
      </c>
      <c r="AE12" s="47">
        <f>IF(KOL_Database!$R$11="",0,MIN(100,MAX(0,KOL_Database!$R$11)))</f>
      </c>
      <c r="AF12" s="47">
        <f>IF(KOL_Database!$P$11="",0,MIN(100,MAX(0,KOL_Database!$P$11)))</f>
      </c>
      <c r="AG12" s="47">
        <f>IF(KOL_Database!$Q$11="",0,MIN(100,MAX(0,KOL_Database!$Q$11)))</f>
      </c>
      <c r="AH12" s="47">
        <f>IF(OR(KOL_Database!$J$11="",KOL_Database!$J$11=0,KOL_Database!$L$11=""),0,MIN(100,ROUND(KOL_Database!$L$11/KOL_Database!$J$11/Lookup_Lists!$D$144*100,0)))</f>
      </c>
      <c r="AI12" s="47">
        <f>IF(KOL_Database!$N$11="",0,MIN(100,MAX(0,ROUND((KOL_Database!$N$11+2)/(Lookup_Lists!$D$145+2)*100,0))))</f>
      </c>
      <c r="AJ12" s="47">
        <f>ROUND((Matching_Engine!$AD$12*Lookup_Lists!$D$129+Matching_Engine!$AE$12*Lookup_Lists!$D$130+Matching_Engine!$AF$12*Lookup_Lists!$D$131+Matching_Engine!$AG$12*Lookup_Lists!$D$132+Matching_Engine!$AH$12*Lookup_Lists!$D$133+Matching_Engine!$AI$12*Lookup_Lists!$D$134)/(Lookup_Lists!$D$129+Lookup_Lists!$D$130+Lookup_Lists!$D$131+Lookup_Lists!$D$132+Lookup_Lists!$D$133+Lookup_Lists!$D$134),0)</f>
      </c>
      <c r="AK12" s="47">
        <f>IF(KOL_Database!$AT$11="",0,MIN(100,MAX(0,KOL_Database!$AT$11)))</f>
      </c>
      <c r="AL12" s="47">
        <f>IF(KOL_Database!$AU$11="",0,KOL_Database!$AU$11)</f>
      </c>
      <c r="AM12" s="44">
        <f>IF(KOL_Database!$AV$11="","None",KOL_Database!$AV$11)</f>
      </c>
      <c r="AN12" s="48">
        <f>IF(Matching_Engine!$AM$12="High",Lookup_Lists!$D$137,IF(Matching_Engine!$AM$12="Medium",Lookup_Lists!$D$138,IF(Matching_Engine!$AM$12="Low",Lookup_Lists!$D$139,Lookup_Lists!$D$140)))</f>
      </c>
      <c r="AO12" s="47">
        <f>ROUND(MIN(100,MAX(0,(Matching_Engine!$AK$12*Lookup_Lists!$D$135+(100-Matching_Engine!$AL$12)*Lookup_Lists!$D$136)/(Lookup_Lists!$D$135+Lookup_Lists!$D$136)*Matching_Engine!$AN$12)),0)</f>
      </c>
      <c r="AP12" s="49">
        <f>ROUND((Matching_Engine!$N$12*Lookup_Lists!$D$104+Matching_Engine!$S$12*Lookup_Lists!$D$105+Matching_Engine!$X$12*Lookup_Lists!$D$106+Matching_Engine!$AC$12*Lookup_Lists!$D$107+Matching_Engine!$AJ$12*Lookup_Lists!$D$108+Matching_Engine!$AO$12*Lookup_Lists!$D$109)/MAX(1,(Lookup_Lists!$D$104+Lookup_Lists!$D$105+Lookup_Lists!$D$106+Lookup_Lists!$D$107+Lookup_Lists!$D$108+Lookup_Lists!$D$109)),0)</f>
      </c>
      <c r="AQ12" s="44">
        <f>IF(Matching_Engine!$AP$12&gt;=Lookup_Lists!$D$152,"Excellent Match",IF(Matching_Engine!$AP$12&gt;=Lookup_Lists!$D$153,"Strong Match",IF(Matching_Engine!$AP$12&gt;=Lookup_Lists!$D$154,"Good Match",IF(Matching_Engine!$AP$12&gt;=Lookup_Lists!$D$155,"Moderate Match","Low Match"))))</f>
      </c>
      <c r="AR12" s="47">
        <f>KOL_Database!$BE$11</f>
      </c>
      <c r="AS12" s="44">
        <f>IF(Matching_Engine!$AR$12&gt;=Lookup_Lists!$D$159,"High",IF(Matching_Engine!$AR$12&gt;=Lookup_Lists!$D$160,"Medium","Limited Data"))</f>
      </c>
      <c r="AT12" s="47">
        <f>ROUND((Matching_Engine!$N$12+Matching_Engine!$X$12+Matching_Engine!$AC$12)/3,0)</f>
      </c>
      <c r="AU12" s="47">
        <f>ROUND(((100-Matching_Engine!$AL$12)*Lookup_Lists!$D$162+IF(KOL_Database!$BD$11="",Lookup_Lists!$D$150,KOL_Database!$BD$11)*Lookup_Lists!$D$163+Matching_Engine!$AI$12*Lookup_Lists!$D$164+Matching_Engine!$AD$12*Lookup_Lists!$D$165)/(Lookup_Lists!$D$162+Lookup_Lists!$D$163+Lookup_Lists!$D$164+Lookup_Lists!$D$165),0)</f>
      </c>
      <c r="AV12" s="44">
        <f>IF(Matching_Engine!$AW$12="","PASS","EXCLUDED")</f>
      </c>
      <c r="AW12" s="44">
        <f>IF(ISERROR(SEARCH(KOL_Database!$D$11,Brand_Profile!$D$32)),"Platform not in Preferred Platform",IF(AND(Brand_Profile!$D$36&gt;0,KOL_Database!$J$11&lt;Brand_Profile!$D$36),"Followers below Preferred Follower Range",IF(AND(Brand_Profile!$D$37&gt;0,KOL_Database!$J$11&gt;Brand_Profile!$D$37),"Followers above Preferred Follower Range",IF(AND(Brand_Profile!$D$38&gt;0,IF(KOL_Database!$K$11="",0,KOL_Database!$K$11)&lt;Brand_Profile!$D$38),"Engagement Rate below Minimum Engagement Rate",IF(ISERROR(SEARCH(KOL_Database!$G$11,Brand_Profile!$D$35)),"Tier not in Preferred Tier",IF(AND(Brand_Profile!$D$43&gt;0,Matching_Engine!$AE$12&lt;Brand_Profile!$D$43),"Audience Quality below Minimum Audience Quality",IF(AND(Brand_Profile!$D$44&gt;0,Matching_Engine!$AK$12&lt;Brand_Profile!$D$44),"Brand Safety below Minimum Brand Safety",IF(AND(Brand_Profile!$D$47="Yes",KOL_Database!$AD$11&lt;&gt;Brand_Profile!$D$19),"Audience Country does not match Target Country",IF(AND(Brand_Profile!$D$46="Yes",KOL_Database!$E$11&lt;&gt;Brand_Profile!$D$33),"Category is not the Preferred Category",IF(AND(Brand_Profile!$D$48&gt;0,Matching_Engine!$AL$12&gt;Brand_Profile!$D$48),"Competitor Saturation above Max Competitor Saturation",IF(AND(Brand_Profile!$D$50="Yes",KOL_Database!$AW$11="Yes"),"Already Selected",IF(AND(Brand_Profile!$D$51="Yes",KOL_Database!$AX$11="Yes"),"Already in Cart",IF(AND(Brand_Profile!$D$52="Yes",KOL_Database!$AY$11="Yes"),"Existing Partner",IF(AND(Brand_Profile!$D$53="Yes",KOL_Database!$AZ$11="Yes"),"Excluded Creator",IF(AND(Brand_Profile!$D$49&gt;0,Matching_Engine!$AP$12&lt;Brand_Profile!$D$49),"Brand Match below Minimum Brand Match","")))))))))))))))</f>
      </c>
      <c r="AX12" s="44">
        <f>IF(Matching_Engine!$AV$12="EXCLUDED","Excluded",IF(Matching_Engine!$AP$12&gt;=Lookup_Lists!$D$156,"Highly Recommended",IF(Matching_Engine!$AP$12&gt;=Lookup_Lists!$D$157,"Recommended",IF(Matching_Engine!$AP$12&gt;=Lookup_Lists!$D$158,"Consider","Low Priority"))))</f>
      </c>
      <c r="AY12" s="47">
        <f>IF(Matching_Engine!$AV$12="PASS",Matching_Engine!$AP$12,"")</f>
      </c>
      <c r="AZ12" s="44">
        <f>Matching_Engine!$A$12&amp;"|"&amp;Matching_Engine!$C$12</f>
      </c>
      <c r="BA12" s="44">
        <f>IFERROR(INDEX(Lookup_Lists!$B$51:$B$92,MATCH(Brand_Profile!$D$12,Lookup_Lists!$A$51:$A$92,0)),"")</f>
      </c>
      <c r="BB12" s="44">
        <f>IFERROR(INDEX(Lookup_Lists!$B$51:$B$92,MATCH(KOL_Database!$F$11,Lookup_Lists!$A$51:$A$92,0)),"")</f>
      </c>
      <c r="BC12" s="47">
        <f>IFERROR(INDEX(Lookup_Lists!$B$185:$O$198,MATCH(Matching_Engine!$BA$12,Lookup_Lists!$A$185:$A$198,0),MATCH(KOL_Database!$E$11,Lookup_Lists!$B$184:$O$184,0)),Lookup_Lists!$D$151)</f>
      </c>
      <c r="BD12" s="47">
        <f>IFERROR(INDEX(Lookup_Lists!$B$185:$O$198,MATCH(Brand_Profile!$D$33,Lookup_Lists!$A$185:$A$198,0),MATCH(KOL_Database!$E$11,Lookup_Lists!$B$184:$O$184,0)),Lookup_Lists!$D$151)</f>
      </c>
      <c r="BE12" s="44">
        <f>IFERROR(INDEX(Lookup_Lists!$B$51:$B$92,MATCH(Brand_Profile!$D$34,Lookup_Lists!$A$51:$A$92,0)),"")</f>
      </c>
      <c r="BF12" s="44">
        <f>KOL_Database!$AI$11&amp;", "&amp;KOL_Database!$AG$11&amp;", "&amp;KOL_Database!$F$11&amp;", "&amp;KOL_Database!$E$11</f>
      </c>
      <c r="BG12" s="44">
        <f>KOL_Database!$AI$11&amp;", "&amp;KOL_Database!$AG$11</f>
      </c>
    </row>
    <row r="13" spans="1:59" x14ac:dyDescent="0.25">
      <c r="A13" s="43" t="s">
        <v>71</v>
      </c>
      <c r="B13" s="44">
        <f>Brand_Profile!$D$9</f>
      </c>
      <c r="C13" s="44">
        <f>KOL_Database!$A$12</f>
      </c>
      <c r="D13" s="44">
        <f>KOL_Database!$B$12</f>
      </c>
      <c r="E13" s="44">
        <f>KOL_Database!$C$12</f>
      </c>
      <c r="F13" s="44">
        <f>KOL_Database!$D$12</f>
      </c>
      <c r="G13" s="44">
        <f>KOL_Database!$E$12</f>
      </c>
      <c r="H13" s="44">
        <f>KOL_Database!$G$12</f>
      </c>
      <c r="I13" s="45">
        <f>KOL_Database!$J$12</f>
      </c>
      <c r="J13" s="46">
        <f>KOL_Database!$K$12</f>
      </c>
      <c r="K13" s="47">
        <f>IFERROR(INDEX(Lookup_Lists!$B$170:$O$181,MATCH(Brand_Profile!$D$10,Lookup_Lists!$A$170:$A$181,0),MATCH(KOL_Database!$E$12,Lookup_Lists!$B$169:$O$169,0)),Lookup_Lists!$D$151)</f>
      </c>
      <c r="L13" s="47">
        <f>IF(KOL_Database!$F$12="",Matching_Engine!$BC$13,IF(Brand_Profile!$D$12=KOL_Database!$F$12,100,IF(Matching_Engine!$BA$13=KOL_Database!$E$12,80,IF(Matching_Engine!$BC$13&gt;=80,60,IF(Matching_Engine!$BC$13&gt;=60,40,Lookup_Lists!$D$151)))))</f>
      </c>
      <c r="M13" s="47">
        <f>ROUND((IF(Brand_Profile!$D$62=0,Lookup_Lists!$D$150,ROUND((IF(Brand_Profile!$D$57="",0,IF(ISNUMBER(SEARCH(Brand_Profile!$D$57,Matching_Engine!$BF$13)),1,0))+IF(Brand_Profile!$D$58="",0,IF(ISNUMBER(SEARCH(Brand_Profile!$D$58,Matching_Engine!$BF$13)),1,0))+IF(Brand_Profile!$D$59="",0,IF(ISNUMBER(SEARCH(Brand_Profile!$D$59,Matching_Engine!$BF$13)),1,0))+IF(Brand_Profile!$D$60="",0,IF(ISNUMBER(SEARCH(Brand_Profile!$D$60,Matching_Engine!$BF$13)),1,0))+IF(Brand_Profile!$D$61="",0,IF(ISNUMBER(SEARCH(Brand_Profile!$D$61,Matching_Engine!$BF$13)),1,0)))/Brand_Profile!$D$62*100,0))+IF(Brand_Profile!$D$74=0,Lookup_Lists!$D$150,ROUND((IF(Brand_Profile!$D$69="",0,IF(ISNUMBER(SEARCH(Brand_Profile!$D$69,Matching_Engine!$BF$13)),1,0))+IF(Brand_Profile!$D$70="",0,IF(ISNUMBER(SEARCH(Brand_Profile!$D$70,Matching_Engine!$BF$13)),1,0))+IF(Brand_Profile!$D$71="",0,IF(ISNUMBER(SEARCH(Brand_Profile!$D$71,Matching_Engine!$BF$13)),1,0))+IF(Brand_Profile!$D$72="",0,IF(ISNUMBER(SEARCH(Brand_Profile!$D$72,Matching_Engine!$BF$13)),1,0))+IF(Brand_Profile!$D$73="",0,IF(ISNUMBER(SEARCH(Brand_Profile!$D$73,Matching_Engine!$BF$13)),1,0)))/Brand_Profile!$D$74*100,0)))/2,0)</f>
      </c>
      <c r="N13" s="47">
        <f>ROUND((Matching_Engine!$K$13*Lookup_Lists!$D$110+Matching_Engine!$L$13*Lookup_Lists!$D$111+Matching_Engine!$M$13*Lookup_Lists!$D$112)/(Lookup_Lists!$D$110+Lookup_Lists!$D$111+Lookup_Lists!$D$112),0)</f>
      </c>
      <c r="O13" s="47">
        <f>IF(Brand_Profile!$D$16="",Lookup_Lists!$D$150,MIN(100,ROUND((IFERROR(INDEX(KOL_Database!$W$12:KOL_Database!$AA$12,1,MATCH(Brand_Profile!$D$16,Lookup_Lists!$F$6:$F$10,0)),0)+0.5*IFERROR(INDEX(KOL_Database!$W$12:KOL_Database!$AA$12,1,MATCH(Brand_Profile!$D$17,Lookup_Lists!$F$6:$F$10,0)),0))/Lookup_Lists!$D$142*100,0)))</f>
      </c>
      <c r="P13" s="47">
        <f>IF(OR(Brand_Profile!$D$18="",Brand_Profile!$D$18="Any"),100,IF(Brand_Profile!$D$18="Female",MIN(100,ROUND(KOL_Database!$AB$12/Lookup_Lists!$D$143*100,0)),IF(Brand_Profile!$D$18="Male",MIN(100,ROUND(KOL_Database!$AC$12/Lookup_Lists!$D$143*100,0)),MAX(0,ROUND(100-ABS(KOL_Database!$AB$12-50)*2,0)))))</f>
      </c>
      <c r="Q13" s="47">
        <f>ROUND((IF(Brand_Profile!$D$19="",100,IF(KOL_Database!$AD$12=Brand_Profile!$D$19,100,Lookup_Lists!$D$151))*Lookup_Lists!$D$118+IF(OR(Brand_Profile!$D$20="",Brand_Profile!$D$20="Nasional"),100,IF(KOL_Database!$AE$12="",Lookup_Lists!$D$150,IF(KOL_Database!$AE$12=Brand_Profile!$D$20,100,IF(KOL_Database!$AD$12=Brand_Profile!$D$19,40,Lookup_Lists!$D$151))))*Lookup_Lists!$D$119+IF(OR(Brand_Profile!$D$21="",Brand_Profile!$D$21="Nasional"),100,IF(KOL_Database!$AF$12="",Lookup_Lists!$D$150,IF(KOL_Database!$AF$12=Brand_Profile!$D$21,100,IF(KOL_Database!$AE$12=Brand_Profile!$D$20,60,Lookup_Lists!$D$151))))*Lookup_Lists!$D$120)/(Lookup_Lists!$D$118+Lookup_Lists!$D$119+Lookup_Lists!$D$120),0)</f>
      </c>
      <c r="R13" s="47">
        <f>IF(Brand_Profile!$D$68=0,Lookup_Lists!$D$150,ROUND((IF(Brand_Profile!$D$63="",0,IF(ISNUMBER(SEARCH(Brand_Profile!$D$63,KOL_Database!$AG$12)),1,0))+IF(Brand_Profile!$D$64="",0,IF(ISNUMBER(SEARCH(Brand_Profile!$D$64,KOL_Database!$AG$12)),1,0))+IF(Brand_Profile!$D$65="",0,IF(ISNUMBER(SEARCH(Brand_Profile!$D$65,KOL_Database!$AG$12)),1,0))+IF(Brand_Profile!$D$66="",0,IF(ISNUMBER(SEARCH(Brand_Profile!$D$66,KOL_Database!$AG$12)),1,0))+IF(Brand_Profile!$D$67="",0,IF(ISNUMBER(SEARCH(Brand_Profile!$D$67,KOL_Database!$AG$12)),1,0)))/Brand_Profile!$D$68*100,0))</f>
      </c>
      <c r="S13" s="47">
        <f>ROUND((Matching_Engine!$O$13*Brand_Profile!$D$96+Matching_Engine!$P$13*Brand_Profile!$D$97+Matching_Engine!$Q$13*Brand_Profile!$D$98+Matching_Engine!$R$13*Brand_Profile!$D$99)/MAX(1,Brand_Profile!$D$96+Brand_Profile!$D$97+Brand_Profile!$D$98+Brand_Profile!$D$99),0)</f>
      </c>
      <c r="T13" s="47">
        <f>IF(Brand_Profile!$D$33="",Lookup_Lists!$D$150,Matching_Engine!$BD$13)</f>
      </c>
      <c r="U13" s="47">
        <f>IF(Brand_Profile!$D$34="",Lookup_Lists!$D$150,IF(Brand_Profile!$D$34=KOL_Database!$F$12,100,IF(Matching_Engine!$BE$13=KOL_Database!$E$12,75,IF(Matching_Engine!$BD$13&gt;=80,Lookup_Lists!$D$150,IF(Matching_Engine!$BD$13&gt;=60,35,Lookup_Lists!$D$151)))))</f>
      </c>
      <c r="V13" s="47">
        <f>IF(Brand_Profile!$D$86=0,Lookup_Lists!$D$150,ROUND((IF(Brand_Profile!$D$81="",0,IF(ISNUMBER(SEARCH(Brand_Profile!$D$81,Matching_Engine!$BG$13)),1,0))+IF(Brand_Profile!$D$82="",0,IF(ISNUMBER(SEARCH(Brand_Profile!$D$82,Matching_Engine!$BG$13)),1,0))+IF(Brand_Profile!$D$83="",0,IF(ISNUMBER(SEARCH(Brand_Profile!$D$83,Matching_Engine!$BG$13)),1,0))+IF(Brand_Profile!$D$84="",0,IF(ISNUMBER(SEARCH(Brand_Profile!$D$84,Matching_Engine!$BG$13)),1,0))+IF(Brand_Profile!$D$85="",0,IF(ISNUMBER(SEARCH(Brand_Profile!$D$85,Matching_Engine!$BG$13)),1,0)))/Brand_Profile!$D$86*100,0))</f>
      </c>
      <c r="W13" s="47">
        <f>IF(Brand_Profile!$D$39="",Lookup_Lists!$D$150,IFERROR(INDEX(Lookup_Lists!$B$237:$K$246,MATCH(Brand_Profile!$D$39,Lookup_Lists!$A$237:$A$246,0),MATCH(KOL_Database!$AJ$12,Lookup_Lists!$B$236:$K$236,0)),45))</f>
      </c>
      <c r="X13" s="47">
        <f>ROUND((Matching_Engine!$T$13*Lookup_Lists!$D$121+Matching_Engine!$U$13*Lookup_Lists!$D$122+Matching_Engine!$V$13*Lookup_Lists!$D$123+Matching_Engine!$W$13*Lookup_Lists!$D$124)/(Lookup_Lists!$D$121+Lookup_Lists!$D$122+Lookup_Lists!$D$123+Lookup_Lists!$D$124),0)</f>
      </c>
      <c r="Y13" s="47">
        <f>MIN(100,MAX(IFERROR(INDEX(Lookup_Lists!$B$202:$M$211,MATCH(Brand_Profile!$D$25,Lookup_Lists!$A$202:$A$211,0),MATCH(KOL_Database!$AK$12,Lookup_Lists!$B$201:$M$201,0)),40),IF(KOL_Database!$AK$12=Brand_Profile!$D$41,95,0)))</f>
      </c>
      <c r="Z13" s="47">
        <f>IFERROR(INDEX(Lookup_Lists!$B$215:$K$222,MATCH(Brand_Profile!$D$27,Lookup_Lists!$A$215:$A$222,0),MATCH(KOL_Database!$AJ$12,Lookup_Lists!$B$214:$K$214,0)),45)</f>
      </c>
      <c r="AA13" s="47">
        <f>ROUND((IF(Brand_Profile!$D$80=0,Lookup_Lists!$D$150,ROUND((IF(Brand_Profile!$D$75="",0,IF(ISNUMBER(SEARCH(Brand_Profile!$D$75,KOL_Database!$AL$12)),1,0))+IF(Brand_Profile!$D$76="",0,IF(ISNUMBER(SEARCH(Brand_Profile!$D$76,KOL_Database!$AL$12)),1,0))+IF(Brand_Profile!$D$77="",0,IF(ISNUMBER(SEARCH(Brand_Profile!$D$77,KOL_Database!$AL$12)),1,0))+IF(Brand_Profile!$D$78="",0,IF(ISNUMBER(SEARCH(Brand_Profile!$D$78,KOL_Database!$AL$12)),1,0))+IF(Brand_Profile!$D$79="",0,IF(ISNUMBER(SEARCH(Brand_Profile!$D$79,KOL_Database!$AL$12)),1,0)))/Brand_Profile!$D$80*100,0))+IF(Brand_Profile!$D$92=0,Lookup_Lists!$D$150,ROUND((IF(Brand_Profile!$D$87="",0,IF(ISNUMBER(SEARCH(Brand_Profile!$D$87,KOL_Database!$AL$12)),1,0))+IF(Brand_Profile!$D$88="",0,IF(ISNUMBER(SEARCH(Brand_Profile!$D$88,KOL_Database!$AL$12)),1,0))+IF(Brand_Profile!$D$89="",0,IF(ISNUMBER(SEARCH(Brand_Profile!$D$89,KOL_Database!$AL$12)),1,0))+IF(Brand_Profile!$D$90="",0,IF(ISNUMBER(SEARCH(Brand_Profile!$D$90,KOL_Database!$AL$12)),1,0))+IF(Brand_Profile!$D$91="",0,IF(ISNUMBER(SEARCH(Brand_Profile!$D$91,KOL_Database!$AL$12)),1,0)))/Brand_Profile!$D$92*100,0)))/2,0)</f>
      </c>
      <c r="AB13" s="47">
        <f>IFERROR(INDEX(Lookup_Lists!$B$226:$K$233,MATCH(Brand_Profile!$D$30,Lookup_Lists!$A$226:$A$233,0),MATCH(KOL_Database!$AJ$12,Lookup_Lists!$B$225:$K$225,0)),45)</f>
      </c>
      <c r="AC13" s="47">
        <f>ROUND((Matching_Engine!$Y$13*Lookup_Lists!$D$125+Matching_Engine!$Z$13*Lookup_Lists!$D$126+Matching_Engine!$AA$13*Lookup_Lists!$D$127+Matching_Engine!$AB$13*Lookup_Lists!$D$128)/(Lookup_Lists!$D$125+Lookup_Lists!$D$126+Lookup_Lists!$D$127+Lookup_Lists!$D$128),0)</f>
      </c>
      <c r="AD13" s="47">
        <f>IF(KOL_Database!$K$12="",0,MIN(100,ROUND(KOL_Database!$K$12/Lookup_Lists!$D$141*100,0)))</f>
      </c>
      <c r="AE13" s="47">
        <f>IF(KOL_Database!$R$12="",0,MIN(100,MAX(0,KOL_Database!$R$12)))</f>
      </c>
      <c r="AF13" s="47">
        <f>IF(KOL_Database!$P$12="",0,MIN(100,MAX(0,KOL_Database!$P$12)))</f>
      </c>
      <c r="AG13" s="47">
        <f>IF(KOL_Database!$Q$12="",0,MIN(100,MAX(0,KOL_Database!$Q$12)))</f>
      </c>
      <c r="AH13" s="47">
        <f>IF(OR(KOL_Database!$J$12="",KOL_Database!$J$12=0,KOL_Database!$L$12=""),0,MIN(100,ROUND(KOL_Database!$L$12/KOL_Database!$J$12/Lookup_Lists!$D$144*100,0)))</f>
      </c>
      <c r="AI13" s="47">
        <f>IF(KOL_Database!$N$12="",0,MIN(100,MAX(0,ROUND((KOL_Database!$N$12+2)/(Lookup_Lists!$D$145+2)*100,0))))</f>
      </c>
      <c r="AJ13" s="47">
        <f>ROUND((Matching_Engine!$AD$13*Lookup_Lists!$D$129+Matching_Engine!$AE$13*Lookup_Lists!$D$130+Matching_Engine!$AF$13*Lookup_Lists!$D$131+Matching_Engine!$AG$13*Lookup_Lists!$D$132+Matching_Engine!$AH$13*Lookup_Lists!$D$133+Matching_Engine!$AI$13*Lookup_Lists!$D$134)/(Lookup_Lists!$D$129+Lookup_Lists!$D$130+Lookup_Lists!$D$131+Lookup_Lists!$D$132+Lookup_Lists!$D$133+Lookup_Lists!$D$134),0)</f>
      </c>
      <c r="AK13" s="47">
        <f>IF(KOL_Database!$AT$12="",0,MIN(100,MAX(0,KOL_Database!$AT$12)))</f>
      </c>
      <c r="AL13" s="47">
        <f>IF(KOL_Database!$AU$12="",0,KOL_Database!$AU$12)</f>
      </c>
      <c r="AM13" s="44">
        <f>IF(KOL_Database!$AV$12="","None",KOL_Database!$AV$12)</f>
      </c>
      <c r="AN13" s="48">
        <f>IF(Matching_Engine!$AM$13="High",Lookup_Lists!$D$137,IF(Matching_Engine!$AM$13="Medium",Lookup_Lists!$D$138,IF(Matching_Engine!$AM$13="Low",Lookup_Lists!$D$139,Lookup_Lists!$D$140)))</f>
      </c>
      <c r="AO13" s="47">
        <f>ROUND(MIN(100,MAX(0,(Matching_Engine!$AK$13*Lookup_Lists!$D$135+(100-Matching_Engine!$AL$13)*Lookup_Lists!$D$136)/(Lookup_Lists!$D$135+Lookup_Lists!$D$136)*Matching_Engine!$AN$13)),0)</f>
      </c>
      <c r="AP13" s="49">
        <f>ROUND((Matching_Engine!$N$13*Lookup_Lists!$D$104+Matching_Engine!$S$13*Lookup_Lists!$D$105+Matching_Engine!$X$13*Lookup_Lists!$D$106+Matching_Engine!$AC$13*Lookup_Lists!$D$107+Matching_Engine!$AJ$13*Lookup_Lists!$D$108+Matching_Engine!$AO$13*Lookup_Lists!$D$109)/MAX(1,(Lookup_Lists!$D$104+Lookup_Lists!$D$105+Lookup_Lists!$D$106+Lookup_Lists!$D$107+Lookup_Lists!$D$108+Lookup_Lists!$D$109)),0)</f>
      </c>
      <c r="AQ13" s="44">
        <f>IF(Matching_Engine!$AP$13&gt;=Lookup_Lists!$D$152,"Excellent Match",IF(Matching_Engine!$AP$13&gt;=Lookup_Lists!$D$153,"Strong Match",IF(Matching_Engine!$AP$13&gt;=Lookup_Lists!$D$154,"Good Match",IF(Matching_Engine!$AP$13&gt;=Lookup_Lists!$D$155,"Moderate Match","Low Match"))))</f>
      </c>
      <c r="AR13" s="47">
        <f>KOL_Database!$BE$12</f>
      </c>
      <c r="AS13" s="44">
        <f>IF(Matching_Engine!$AR$13&gt;=Lookup_Lists!$D$159,"High",IF(Matching_Engine!$AR$13&gt;=Lookup_Lists!$D$160,"Medium","Limited Data"))</f>
      </c>
      <c r="AT13" s="47">
        <f>ROUND((Matching_Engine!$N$13+Matching_Engine!$X$13+Matching_Engine!$AC$13)/3,0)</f>
      </c>
      <c r="AU13" s="47">
        <f>ROUND(((100-Matching_Engine!$AL$13)*Lookup_Lists!$D$162+IF(KOL_Database!$BD$12="",Lookup_Lists!$D$150,KOL_Database!$BD$12)*Lookup_Lists!$D$163+Matching_Engine!$AI$13*Lookup_Lists!$D$164+Matching_Engine!$AD$13*Lookup_Lists!$D$165)/(Lookup_Lists!$D$162+Lookup_Lists!$D$163+Lookup_Lists!$D$164+Lookup_Lists!$D$165),0)</f>
      </c>
      <c r="AV13" s="44">
        <f>IF(Matching_Engine!$AW$13="","PASS","EXCLUDED")</f>
      </c>
      <c r="AW13" s="44">
        <f>IF(ISERROR(SEARCH(KOL_Database!$D$12,Brand_Profile!$D$32)),"Platform not in Preferred Platform",IF(AND(Brand_Profile!$D$36&gt;0,KOL_Database!$J$12&lt;Brand_Profile!$D$36),"Followers below Preferred Follower Range",IF(AND(Brand_Profile!$D$37&gt;0,KOL_Database!$J$12&gt;Brand_Profile!$D$37),"Followers above Preferred Follower Range",IF(AND(Brand_Profile!$D$38&gt;0,IF(KOL_Database!$K$12="",0,KOL_Database!$K$12)&lt;Brand_Profile!$D$38),"Engagement Rate below Minimum Engagement Rate",IF(ISERROR(SEARCH(KOL_Database!$G$12,Brand_Profile!$D$35)),"Tier not in Preferred Tier",IF(AND(Brand_Profile!$D$43&gt;0,Matching_Engine!$AE$13&lt;Brand_Profile!$D$43),"Audience Quality below Minimum Audience Quality",IF(AND(Brand_Profile!$D$44&gt;0,Matching_Engine!$AK$13&lt;Brand_Profile!$D$44),"Brand Safety below Minimum Brand Safety",IF(AND(Brand_Profile!$D$47="Yes",KOL_Database!$AD$12&lt;&gt;Brand_Profile!$D$19),"Audience Country does not match Target Country",IF(AND(Brand_Profile!$D$46="Yes",KOL_Database!$E$12&lt;&gt;Brand_Profile!$D$33),"Category is not the Preferred Category",IF(AND(Brand_Profile!$D$48&gt;0,Matching_Engine!$AL$13&gt;Brand_Profile!$D$48),"Competitor Saturation above Max Competitor Saturation",IF(AND(Brand_Profile!$D$50="Yes",KOL_Database!$AW$12="Yes"),"Already Selected",IF(AND(Brand_Profile!$D$51="Yes",KOL_Database!$AX$12="Yes"),"Already in Cart",IF(AND(Brand_Profile!$D$52="Yes",KOL_Database!$AY$12="Yes"),"Existing Partner",IF(AND(Brand_Profile!$D$53="Yes",KOL_Database!$AZ$12="Yes"),"Excluded Creator",IF(AND(Brand_Profile!$D$49&gt;0,Matching_Engine!$AP$13&lt;Brand_Profile!$D$49),"Brand Match below Minimum Brand Match","")))))))))))))))</f>
      </c>
      <c r="AX13" s="44">
        <f>IF(Matching_Engine!$AV$13="EXCLUDED","Excluded",IF(Matching_Engine!$AP$13&gt;=Lookup_Lists!$D$156,"Highly Recommended",IF(Matching_Engine!$AP$13&gt;=Lookup_Lists!$D$157,"Recommended",IF(Matching_Engine!$AP$13&gt;=Lookup_Lists!$D$158,"Consider","Low Priority"))))</f>
      </c>
      <c r="AY13" s="47">
        <f>IF(Matching_Engine!$AV$13="PASS",Matching_Engine!$AP$13,"")</f>
      </c>
      <c r="AZ13" s="44">
        <f>Matching_Engine!$A$13&amp;"|"&amp;Matching_Engine!$C$13</f>
      </c>
      <c r="BA13" s="44">
        <f>IFERROR(INDEX(Lookup_Lists!$B$51:$B$92,MATCH(Brand_Profile!$D$12,Lookup_Lists!$A$51:$A$92,0)),"")</f>
      </c>
      <c r="BB13" s="44">
        <f>IFERROR(INDEX(Lookup_Lists!$B$51:$B$92,MATCH(KOL_Database!$F$12,Lookup_Lists!$A$51:$A$92,0)),"")</f>
      </c>
      <c r="BC13" s="47">
        <f>IFERROR(INDEX(Lookup_Lists!$B$185:$O$198,MATCH(Matching_Engine!$BA$13,Lookup_Lists!$A$185:$A$198,0),MATCH(KOL_Database!$E$12,Lookup_Lists!$B$184:$O$184,0)),Lookup_Lists!$D$151)</f>
      </c>
      <c r="BD13" s="47">
        <f>IFERROR(INDEX(Lookup_Lists!$B$185:$O$198,MATCH(Brand_Profile!$D$33,Lookup_Lists!$A$185:$A$198,0),MATCH(KOL_Database!$E$12,Lookup_Lists!$B$184:$O$184,0)),Lookup_Lists!$D$151)</f>
      </c>
      <c r="BE13" s="44">
        <f>IFERROR(INDEX(Lookup_Lists!$B$51:$B$92,MATCH(Brand_Profile!$D$34,Lookup_Lists!$A$51:$A$92,0)),"")</f>
      </c>
      <c r="BF13" s="44">
        <f>KOL_Database!$AI$12&amp;", "&amp;KOL_Database!$AG$12&amp;", "&amp;KOL_Database!$F$12&amp;", "&amp;KOL_Database!$E$12</f>
      </c>
      <c r="BG13" s="44">
        <f>KOL_Database!$AI$12&amp;", "&amp;KOL_Database!$AG$12</f>
      </c>
    </row>
    <row r="14" spans="1:59" x14ac:dyDescent="0.25">
      <c r="A14" s="43" t="s">
        <v>71</v>
      </c>
      <c r="B14" s="44">
        <f>Brand_Profile!$D$9</f>
      </c>
      <c r="C14" s="44">
        <f>KOL_Database!$A$13</f>
      </c>
      <c r="D14" s="44">
        <f>KOL_Database!$B$13</f>
      </c>
      <c r="E14" s="44">
        <f>KOL_Database!$C$13</f>
      </c>
      <c r="F14" s="44">
        <f>KOL_Database!$D$13</f>
      </c>
      <c r="G14" s="44">
        <f>KOL_Database!$E$13</f>
      </c>
      <c r="H14" s="44">
        <f>KOL_Database!$G$13</f>
      </c>
      <c r="I14" s="45">
        <f>KOL_Database!$J$13</f>
      </c>
      <c r="J14" s="46">
        <f>KOL_Database!$K$13</f>
      </c>
      <c r="K14" s="47">
        <f>IFERROR(INDEX(Lookup_Lists!$B$170:$O$181,MATCH(Brand_Profile!$D$10,Lookup_Lists!$A$170:$A$181,0),MATCH(KOL_Database!$E$13,Lookup_Lists!$B$169:$O$169,0)),Lookup_Lists!$D$151)</f>
      </c>
      <c r="L14" s="47">
        <f>IF(KOL_Database!$F$13="",Matching_Engine!$BC$14,IF(Brand_Profile!$D$12=KOL_Database!$F$13,100,IF(Matching_Engine!$BA$14=KOL_Database!$E$13,80,IF(Matching_Engine!$BC$14&gt;=80,60,IF(Matching_Engine!$BC$14&gt;=60,40,Lookup_Lists!$D$151)))))</f>
      </c>
      <c r="M14" s="47">
        <f>ROUND((IF(Brand_Profile!$D$62=0,Lookup_Lists!$D$150,ROUND((IF(Brand_Profile!$D$57="",0,IF(ISNUMBER(SEARCH(Brand_Profile!$D$57,Matching_Engine!$BF$14)),1,0))+IF(Brand_Profile!$D$58="",0,IF(ISNUMBER(SEARCH(Brand_Profile!$D$58,Matching_Engine!$BF$14)),1,0))+IF(Brand_Profile!$D$59="",0,IF(ISNUMBER(SEARCH(Brand_Profile!$D$59,Matching_Engine!$BF$14)),1,0))+IF(Brand_Profile!$D$60="",0,IF(ISNUMBER(SEARCH(Brand_Profile!$D$60,Matching_Engine!$BF$14)),1,0))+IF(Brand_Profile!$D$61="",0,IF(ISNUMBER(SEARCH(Brand_Profile!$D$61,Matching_Engine!$BF$14)),1,0)))/Brand_Profile!$D$62*100,0))+IF(Brand_Profile!$D$74=0,Lookup_Lists!$D$150,ROUND((IF(Brand_Profile!$D$69="",0,IF(ISNUMBER(SEARCH(Brand_Profile!$D$69,Matching_Engine!$BF$14)),1,0))+IF(Brand_Profile!$D$70="",0,IF(ISNUMBER(SEARCH(Brand_Profile!$D$70,Matching_Engine!$BF$14)),1,0))+IF(Brand_Profile!$D$71="",0,IF(ISNUMBER(SEARCH(Brand_Profile!$D$71,Matching_Engine!$BF$14)),1,0))+IF(Brand_Profile!$D$72="",0,IF(ISNUMBER(SEARCH(Brand_Profile!$D$72,Matching_Engine!$BF$14)),1,0))+IF(Brand_Profile!$D$73="",0,IF(ISNUMBER(SEARCH(Brand_Profile!$D$73,Matching_Engine!$BF$14)),1,0)))/Brand_Profile!$D$74*100,0)))/2,0)</f>
      </c>
      <c r="N14" s="47">
        <f>ROUND((Matching_Engine!$K$14*Lookup_Lists!$D$110+Matching_Engine!$L$14*Lookup_Lists!$D$111+Matching_Engine!$M$14*Lookup_Lists!$D$112)/(Lookup_Lists!$D$110+Lookup_Lists!$D$111+Lookup_Lists!$D$112),0)</f>
      </c>
      <c r="O14" s="47">
        <f>IF(Brand_Profile!$D$16="",Lookup_Lists!$D$150,MIN(100,ROUND((IFERROR(INDEX(KOL_Database!$W$13:KOL_Database!$AA$13,1,MATCH(Brand_Profile!$D$16,Lookup_Lists!$F$6:$F$10,0)),0)+0.5*IFERROR(INDEX(KOL_Database!$W$13:KOL_Database!$AA$13,1,MATCH(Brand_Profile!$D$17,Lookup_Lists!$F$6:$F$10,0)),0))/Lookup_Lists!$D$142*100,0)))</f>
      </c>
      <c r="P14" s="47">
        <f>IF(OR(Brand_Profile!$D$18="",Brand_Profile!$D$18="Any"),100,IF(Brand_Profile!$D$18="Female",MIN(100,ROUND(KOL_Database!$AB$13/Lookup_Lists!$D$143*100,0)),IF(Brand_Profile!$D$18="Male",MIN(100,ROUND(KOL_Database!$AC$13/Lookup_Lists!$D$143*100,0)),MAX(0,ROUND(100-ABS(KOL_Database!$AB$13-50)*2,0)))))</f>
      </c>
      <c r="Q14" s="47">
        <f>ROUND((IF(Brand_Profile!$D$19="",100,IF(KOL_Database!$AD$13=Brand_Profile!$D$19,100,Lookup_Lists!$D$151))*Lookup_Lists!$D$118+IF(OR(Brand_Profile!$D$20="",Brand_Profile!$D$20="Nasional"),100,IF(KOL_Database!$AE$13="",Lookup_Lists!$D$150,IF(KOL_Database!$AE$13=Brand_Profile!$D$20,100,IF(KOL_Database!$AD$13=Brand_Profile!$D$19,40,Lookup_Lists!$D$151))))*Lookup_Lists!$D$119+IF(OR(Brand_Profile!$D$21="",Brand_Profile!$D$21="Nasional"),100,IF(KOL_Database!$AF$13="",Lookup_Lists!$D$150,IF(KOL_Database!$AF$13=Brand_Profile!$D$21,100,IF(KOL_Database!$AE$13=Brand_Profile!$D$20,60,Lookup_Lists!$D$151))))*Lookup_Lists!$D$120)/(Lookup_Lists!$D$118+Lookup_Lists!$D$119+Lookup_Lists!$D$120),0)</f>
      </c>
      <c r="R14" s="47">
        <f>IF(Brand_Profile!$D$68=0,Lookup_Lists!$D$150,ROUND((IF(Brand_Profile!$D$63="",0,IF(ISNUMBER(SEARCH(Brand_Profile!$D$63,KOL_Database!$AG$13)),1,0))+IF(Brand_Profile!$D$64="",0,IF(ISNUMBER(SEARCH(Brand_Profile!$D$64,KOL_Database!$AG$13)),1,0))+IF(Brand_Profile!$D$65="",0,IF(ISNUMBER(SEARCH(Brand_Profile!$D$65,KOL_Database!$AG$13)),1,0))+IF(Brand_Profile!$D$66="",0,IF(ISNUMBER(SEARCH(Brand_Profile!$D$66,KOL_Database!$AG$13)),1,0))+IF(Brand_Profile!$D$67="",0,IF(ISNUMBER(SEARCH(Brand_Profile!$D$67,KOL_Database!$AG$13)),1,0)))/Brand_Profile!$D$68*100,0))</f>
      </c>
      <c r="S14" s="47">
        <f>ROUND((Matching_Engine!$O$14*Brand_Profile!$D$96+Matching_Engine!$P$14*Brand_Profile!$D$97+Matching_Engine!$Q$14*Brand_Profile!$D$98+Matching_Engine!$R$14*Brand_Profile!$D$99)/MAX(1,Brand_Profile!$D$96+Brand_Profile!$D$97+Brand_Profile!$D$98+Brand_Profile!$D$99),0)</f>
      </c>
      <c r="T14" s="47">
        <f>IF(Brand_Profile!$D$33="",Lookup_Lists!$D$150,Matching_Engine!$BD$14)</f>
      </c>
      <c r="U14" s="47">
        <f>IF(Brand_Profile!$D$34="",Lookup_Lists!$D$150,IF(Brand_Profile!$D$34=KOL_Database!$F$13,100,IF(Matching_Engine!$BE$14=KOL_Database!$E$13,75,IF(Matching_Engine!$BD$14&gt;=80,Lookup_Lists!$D$150,IF(Matching_Engine!$BD$14&gt;=60,35,Lookup_Lists!$D$151)))))</f>
      </c>
      <c r="V14" s="47">
        <f>IF(Brand_Profile!$D$86=0,Lookup_Lists!$D$150,ROUND((IF(Brand_Profile!$D$81="",0,IF(ISNUMBER(SEARCH(Brand_Profile!$D$81,Matching_Engine!$BG$14)),1,0))+IF(Brand_Profile!$D$82="",0,IF(ISNUMBER(SEARCH(Brand_Profile!$D$82,Matching_Engine!$BG$14)),1,0))+IF(Brand_Profile!$D$83="",0,IF(ISNUMBER(SEARCH(Brand_Profile!$D$83,Matching_Engine!$BG$14)),1,0))+IF(Brand_Profile!$D$84="",0,IF(ISNUMBER(SEARCH(Brand_Profile!$D$84,Matching_Engine!$BG$14)),1,0))+IF(Brand_Profile!$D$85="",0,IF(ISNUMBER(SEARCH(Brand_Profile!$D$85,Matching_Engine!$BG$14)),1,0)))/Brand_Profile!$D$86*100,0))</f>
      </c>
      <c r="W14" s="47">
        <f>IF(Brand_Profile!$D$39="",Lookup_Lists!$D$150,IFERROR(INDEX(Lookup_Lists!$B$237:$K$246,MATCH(Brand_Profile!$D$39,Lookup_Lists!$A$237:$A$246,0),MATCH(KOL_Database!$AJ$13,Lookup_Lists!$B$236:$K$236,0)),45))</f>
      </c>
      <c r="X14" s="47">
        <f>ROUND((Matching_Engine!$T$14*Lookup_Lists!$D$121+Matching_Engine!$U$14*Lookup_Lists!$D$122+Matching_Engine!$V$14*Lookup_Lists!$D$123+Matching_Engine!$W$14*Lookup_Lists!$D$124)/(Lookup_Lists!$D$121+Lookup_Lists!$D$122+Lookup_Lists!$D$123+Lookup_Lists!$D$124),0)</f>
      </c>
      <c r="Y14" s="47">
        <f>MIN(100,MAX(IFERROR(INDEX(Lookup_Lists!$B$202:$M$211,MATCH(Brand_Profile!$D$25,Lookup_Lists!$A$202:$A$211,0),MATCH(KOL_Database!$AK$13,Lookup_Lists!$B$201:$M$201,0)),40),IF(KOL_Database!$AK$13=Brand_Profile!$D$41,95,0)))</f>
      </c>
      <c r="Z14" s="47">
        <f>IFERROR(INDEX(Lookup_Lists!$B$215:$K$222,MATCH(Brand_Profile!$D$27,Lookup_Lists!$A$215:$A$222,0),MATCH(KOL_Database!$AJ$13,Lookup_Lists!$B$214:$K$214,0)),45)</f>
      </c>
      <c r="AA14" s="47">
        <f>ROUND((IF(Brand_Profile!$D$80=0,Lookup_Lists!$D$150,ROUND((IF(Brand_Profile!$D$75="",0,IF(ISNUMBER(SEARCH(Brand_Profile!$D$75,KOL_Database!$AL$13)),1,0))+IF(Brand_Profile!$D$76="",0,IF(ISNUMBER(SEARCH(Brand_Profile!$D$76,KOL_Database!$AL$13)),1,0))+IF(Brand_Profile!$D$77="",0,IF(ISNUMBER(SEARCH(Brand_Profile!$D$77,KOL_Database!$AL$13)),1,0))+IF(Brand_Profile!$D$78="",0,IF(ISNUMBER(SEARCH(Brand_Profile!$D$78,KOL_Database!$AL$13)),1,0))+IF(Brand_Profile!$D$79="",0,IF(ISNUMBER(SEARCH(Brand_Profile!$D$79,KOL_Database!$AL$13)),1,0)))/Brand_Profile!$D$80*100,0))+IF(Brand_Profile!$D$92=0,Lookup_Lists!$D$150,ROUND((IF(Brand_Profile!$D$87="",0,IF(ISNUMBER(SEARCH(Brand_Profile!$D$87,KOL_Database!$AL$13)),1,0))+IF(Brand_Profile!$D$88="",0,IF(ISNUMBER(SEARCH(Brand_Profile!$D$88,KOL_Database!$AL$13)),1,0))+IF(Brand_Profile!$D$89="",0,IF(ISNUMBER(SEARCH(Brand_Profile!$D$89,KOL_Database!$AL$13)),1,0))+IF(Brand_Profile!$D$90="",0,IF(ISNUMBER(SEARCH(Brand_Profile!$D$90,KOL_Database!$AL$13)),1,0))+IF(Brand_Profile!$D$91="",0,IF(ISNUMBER(SEARCH(Brand_Profile!$D$91,KOL_Database!$AL$13)),1,0)))/Brand_Profile!$D$92*100,0)))/2,0)</f>
      </c>
      <c r="AB14" s="47">
        <f>IFERROR(INDEX(Lookup_Lists!$B$226:$K$233,MATCH(Brand_Profile!$D$30,Lookup_Lists!$A$226:$A$233,0),MATCH(KOL_Database!$AJ$13,Lookup_Lists!$B$225:$K$225,0)),45)</f>
      </c>
      <c r="AC14" s="47">
        <f>ROUND((Matching_Engine!$Y$14*Lookup_Lists!$D$125+Matching_Engine!$Z$14*Lookup_Lists!$D$126+Matching_Engine!$AA$14*Lookup_Lists!$D$127+Matching_Engine!$AB$14*Lookup_Lists!$D$128)/(Lookup_Lists!$D$125+Lookup_Lists!$D$126+Lookup_Lists!$D$127+Lookup_Lists!$D$128),0)</f>
      </c>
      <c r="AD14" s="47">
        <f>IF(KOL_Database!$K$13="",0,MIN(100,ROUND(KOL_Database!$K$13/Lookup_Lists!$D$141*100,0)))</f>
      </c>
      <c r="AE14" s="47">
        <f>IF(KOL_Database!$R$13="",0,MIN(100,MAX(0,KOL_Database!$R$13)))</f>
      </c>
      <c r="AF14" s="47">
        <f>IF(KOL_Database!$P$13="",0,MIN(100,MAX(0,KOL_Database!$P$13)))</f>
      </c>
      <c r="AG14" s="47">
        <f>IF(KOL_Database!$Q$13="",0,MIN(100,MAX(0,KOL_Database!$Q$13)))</f>
      </c>
      <c r="AH14" s="47">
        <f>IF(OR(KOL_Database!$J$13="",KOL_Database!$J$13=0,KOL_Database!$L$13=""),0,MIN(100,ROUND(KOL_Database!$L$13/KOL_Database!$J$13/Lookup_Lists!$D$144*100,0)))</f>
      </c>
      <c r="AI14" s="47">
        <f>IF(KOL_Database!$N$13="",0,MIN(100,MAX(0,ROUND((KOL_Database!$N$13+2)/(Lookup_Lists!$D$145+2)*100,0))))</f>
      </c>
      <c r="AJ14" s="47">
        <f>ROUND((Matching_Engine!$AD$14*Lookup_Lists!$D$129+Matching_Engine!$AE$14*Lookup_Lists!$D$130+Matching_Engine!$AF$14*Lookup_Lists!$D$131+Matching_Engine!$AG$14*Lookup_Lists!$D$132+Matching_Engine!$AH$14*Lookup_Lists!$D$133+Matching_Engine!$AI$14*Lookup_Lists!$D$134)/(Lookup_Lists!$D$129+Lookup_Lists!$D$130+Lookup_Lists!$D$131+Lookup_Lists!$D$132+Lookup_Lists!$D$133+Lookup_Lists!$D$134),0)</f>
      </c>
      <c r="AK14" s="47">
        <f>IF(KOL_Database!$AT$13="",0,MIN(100,MAX(0,KOL_Database!$AT$13)))</f>
      </c>
      <c r="AL14" s="47">
        <f>IF(KOL_Database!$AU$13="",0,KOL_Database!$AU$13)</f>
      </c>
      <c r="AM14" s="44">
        <f>IF(KOL_Database!$AV$13="","None",KOL_Database!$AV$13)</f>
      </c>
      <c r="AN14" s="48">
        <f>IF(Matching_Engine!$AM$14="High",Lookup_Lists!$D$137,IF(Matching_Engine!$AM$14="Medium",Lookup_Lists!$D$138,IF(Matching_Engine!$AM$14="Low",Lookup_Lists!$D$139,Lookup_Lists!$D$140)))</f>
      </c>
      <c r="AO14" s="47">
        <f>ROUND(MIN(100,MAX(0,(Matching_Engine!$AK$14*Lookup_Lists!$D$135+(100-Matching_Engine!$AL$14)*Lookup_Lists!$D$136)/(Lookup_Lists!$D$135+Lookup_Lists!$D$136)*Matching_Engine!$AN$14)),0)</f>
      </c>
      <c r="AP14" s="49">
        <f>ROUND((Matching_Engine!$N$14*Lookup_Lists!$D$104+Matching_Engine!$S$14*Lookup_Lists!$D$105+Matching_Engine!$X$14*Lookup_Lists!$D$106+Matching_Engine!$AC$14*Lookup_Lists!$D$107+Matching_Engine!$AJ$14*Lookup_Lists!$D$108+Matching_Engine!$AO$14*Lookup_Lists!$D$109)/MAX(1,(Lookup_Lists!$D$104+Lookup_Lists!$D$105+Lookup_Lists!$D$106+Lookup_Lists!$D$107+Lookup_Lists!$D$108+Lookup_Lists!$D$109)),0)</f>
      </c>
      <c r="AQ14" s="44">
        <f>IF(Matching_Engine!$AP$14&gt;=Lookup_Lists!$D$152,"Excellent Match",IF(Matching_Engine!$AP$14&gt;=Lookup_Lists!$D$153,"Strong Match",IF(Matching_Engine!$AP$14&gt;=Lookup_Lists!$D$154,"Good Match",IF(Matching_Engine!$AP$14&gt;=Lookup_Lists!$D$155,"Moderate Match","Low Match"))))</f>
      </c>
      <c r="AR14" s="47">
        <f>KOL_Database!$BE$13</f>
      </c>
      <c r="AS14" s="44">
        <f>IF(Matching_Engine!$AR$14&gt;=Lookup_Lists!$D$159,"High",IF(Matching_Engine!$AR$14&gt;=Lookup_Lists!$D$160,"Medium","Limited Data"))</f>
      </c>
      <c r="AT14" s="47">
        <f>ROUND((Matching_Engine!$N$14+Matching_Engine!$X$14+Matching_Engine!$AC$14)/3,0)</f>
      </c>
      <c r="AU14" s="47">
        <f>ROUND(((100-Matching_Engine!$AL$14)*Lookup_Lists!$D$162+IF(KOL_Database!$BD$13="",Lookup_Lists!$D$150,KOL_Database!$BD$13)*Lookup_Lists!$D$163+Matching_Engine!$AI$14*Lookup_Lists!$D$164+Matching_Engine!$AD$14*Lookup_Lists!$D$165)/(Lookup_Lists!$D$162+Lookup_Lists!$D$163+Lookup_Lists!$D$164+Lookup_Lists!$D$165),0)</f>
      </c>
      <c r="AV14" s="44">
        <f>IF(Matching_Engine!$AW$14="","PASS","EXCLUDED")</f>
      </c>
      <c r="AW14" s="44">
        <f>IF(ISERROR(SEARCH(KOL_Database!$D$13,Brand_Profile!$D$32)),"Platform not in Preferred Platform",IF(AND(Brand_Profile!$D$36&gt;0,KOL_Database!$J$13&lt;Brand_Profile!$D$36),"Followers below Preferred Follower Range",IF(AND(Brand_Profile!$D$37&gt;0,KOL_Database!$J$13&gt;Brand_Profile!$D$37),"Followers above Preferred Follower Range",IF(AND(Brand_Profile!$D$38&gt;0,IF(KOL_Database!$K$13="",0,KOL_Database!$K$13)&lt;Brand_Profile!$D$38),"Engagement Rate below Minimum Engagement Rate",IF(ISERROR(SEARCH(KOL_Database!$G$13,Brand_Profile!$D$35)),"Tier not in Preferred Tier",IF(AND(Brand_Profile!$D$43&gt;0,Matching_Engine!$AE$14&lt;Brand_Profile!$D$43),"Audience Quality below Minimum Audience Quality",IF(AND(Brand_Profile!$D$44&gt;0,Matching_Engine!$AK$14&lt;Brand_Profile!$D$44),"Brand Safety below Minimum Brand Safety",IF(AND(Brand_Profile!$D$47="Yes",KOL_Database!$AD$13&lt;&gt;Brand_Profile!$D$19),"Audience Country does not match Target Country",IF(AND(Brand_Profile!$D$46="Yes",KOL_Database!$E$13&lt;&gt;Brand_Profile!$D$33),"Category is not the Preferred Category",IF(AND(Brand_Profile!$D$48&gt;0,Matching_Engine!$AL$14&gt;Brand_Profile!$D$48),"Competitor Saturation above Max Competitor Saturation",IF(AND(Brand_Profile!$D$50="Yes",KOL_Database!$AW$13="Yes"),"Already Selected",IF(AND(Brand_Profile!$D$51="Yes",KOL_Database!$AX$13="Yes"),"Already in Cart",IF(AND(Brand_Profile!$D$52="Yes",KOL_Database!$AY$13="Yes"),"Existing Partner",IF(AND(Brand_Profile!$D$53="Yes",KOL_Database!$AZ$13="Yes"),"Excluded Creator",IF(AND(Brand_Profile!$D$49&gt;0,Matching_Engine!$AP$14&lt;Brand_Profile!$D$49),"Brand Match below Minimum Brand Match","")))))))))))))))</f>
      </c>
      <c r="AX14" s="44">
        <f>IF(Matching_Engine!$AV$14="EXCLUDED","Excluded",IF(Matching_Engine!$AP$14&gt;=Lookup_Lists!$D$156,"Highly Recommended",IF(Matching_Engine!$AP$14&gt;=Lookup_Lists!$D$157,"Recommended",IF(Matching_Engine!$AP$14&gt;=Lookup_Lists!$D$158,"Consider","Low Priority"))))</f>
      </c>
      <c r="AY14" s="47">
        <f>IF(Matching_Engine!$AV$14="PASS",Matching_Engine!$AP$14,"")</f>
      </c>
      <c r="AZ14" s="44">
        <f>Matching_Engine!$A$14&amp;"|"&amp;Matching_Engine!$C$14</f>
      </c>
      <c r="BA14" s="44">
        <f>IFERROR(INDEX(Lookup_Lists!$B$51:$B$92,MATCH(Brand_Profile!$D$12,Lookup_Lists!$A$51:$A$92,0)),"")</f>
      </c>
      <c r="BB14" s="44">
        <f>IFERROR(INDEX(Lookup_Lists!$B$51:$B$92,MATCH(KOL_Database!$F$13,Lookup_Lists!$A$51:$A$92,0)),"")</f>
      </c>
      <c r="BC14" s="47">
        <f>IFERROR(INDEX(Lookup_Lists!$B$185:$O$198,MATCH(Matching_Engine!$BA$14,Lookup_Lists!$A$185:$A$198,0),MATCH(KOL_Database!$E$13,Lookup_Lists!$B$184:$O$184,0)),Lookup_Lists!$D$151)</f>
      </c>
      <c r="BD14" s="47">
        <f>IFERROR(INDEX(Lookup_Lists!$B$185:$O$198,MATCH(Brand_Profile!$D$33,Lookup_Lists!$A$185:$A$198,0),MATCH(KOL_Database!$E$13,Lookup_Lists!$B$184:$O$184,0)),Lookup_Lists!$D$151)</f>
      </c>
      <c r="BE14" s="44">
        <f>IFERROR(INDEX(Lookup_Lists!$B$51:$B$92,MATCH(Brand_Profile!$D$34,Lookup_Lists!$A$51:$A$92,0)),"")</f>
      </c>
      <c r="BF14" s="44">
        <f>KOL_Database!$AI$13&amp;", "&amp;KOL_Database!$AG$13&amp;", "&amp;KOL_Database!$F$13&amp;", "&amp;KOL_Database!$E$13</f>
      </c>
      <c r="BG14" s="44">
        <f>KOL_Database!$AI$13&amp;", "&amp;KOL_Database!$AG$13</f>
      </c>
    </row>
    <row r="15" spans="1:59" x14ac:dyDescent="0.25">
      <c r="A15" s="43" t="s">
        <v>71</v>
      </c>
      <c r="B15" s="44">
        <f>Brand_Profile!$D$9</f>
      </c>
      <c r="C15" s="44">
        <f>KOL_Database!$A$14</f>
      </c>
      <c r="D15" s="44">
        <f>KOL_Database!$B$14</f>
      </c>
      <c r="E15" s="44">
        <f>KOL_Database!$C$14</f>
      </c>
      <c r="F15" s="44">
        <f>KOL_Database!$D$14</f>
      </c>
      <c r="G15" s="44">
        <f>KOL_Database!$E$14</f>
      </c>
      <c r="H15" s="44">
        <f>KOL_Database!$G$14</f>
      </c>
      <c r="I15" s="45">
        <f>KOL_Database!$J$14</f>
      </c>
      <c r="J15" s="46">
        <f>KOL_Database!$K$14</f>
      </c>
      <c r="K15" s="47">
        <f>IFERROR(INDEX(Lookup_Lists!$B$170:$O$181,MATCH(Brand_Profile!$D$10,Lookup_Lists!$A$170:$A$181,0),MATCH(KOL_Database!$E$14,Lookup_Lists!$B$169:$O$169,0)),Lookup_Lists!$D$151)</f>
      </c>
      <c r="L15" s="47">
        <f>IF(KOL_Database!$F$14="",Matching_Engine!$BC$15,IF(Brand_Profile!$D$12=KOL_Database!$F$14,100,IF(Matching_Engine!$BA$15=KOL_Database!$E$14,80,IF(Matching_Engine!$BC$15&gt;=80,60,IF(Matching_Engine!$BC$15&gt;=60,40,Lookup_Lists!$D$151)))))</f>
      </c>
      <c r="M15" s="47">
        <f>ROUND((IF(Brand_Profile!$D$62=0,Lookup_Lists!$D$150,ROUND((IF(Brand_Profile!$D$57="",0,IF(ISNUMBER(SEARCH(Brand_Profile!$D$57,Matching_Engine!$BF$15)),1,0))+IF(Brand_Profile!$D$58="",0,IF(ISNUMBER(SEARCH(Brand_Profile!$D$58,Matching_Engine!$BF$15)),1,0))+IF(Brand_Profile!$D$59="",0,IF(ISNUMBER(SEARCH(Brand_Profile!$D$59,Matching_Engine!$BF$15)),1,0))+IF(Brand_Profile!$D$60="",0,IF(ISNUMBER(SEARCH(Brand_Profile!$D$60,Matching_Engine!$BF$15)),1,0))+IF(Brand_Profile!$D$61="",0,IF(ISNUMBER(SEARCH(Brand_Profile!$D$61,Matching_Engine!$BF$15)),1,0)))/Brand_Profile!$D$62*100,0))+IF(Brand_Profile!$D$74=0,Lookup_Lists!$D$150,ROUND((IF(Brand_Profile!$D$69="",0,IF(ISNUMBER(SEARCH(Brand_Profile!$D$69,Matching_Engine!$BF$15)),1,0))+IF(Brand_Profile!$D$70="",0,IF(ISNUMBER(SEARCH(Brand_Profile!$D$70,Matching_Engine!$BF$15)),1,0))+IF(Brand_Profile!$D$71="",0,IF(ISNUMBER(SEARCH(Brand_Profile!$D$71,Matching_Engine!$BF$15)),1,0))+IF(Brand_Profile!$D$72="",0,IF(ISNUMBER(SEARCH(Brand_Profile!$D$72,Matching_Engine!$BF$15)),1,0))+IF(Brand_Profile!$D$73="",0,IF(ISNUMBER(SEARCH(Brand_Profile!$D$73,Matching_Engine!$BF$15)),1,0)))/Brand_Profile!$D$74*100,0)))/2,0)</f>
      </c>
      <c r="N15" s="47">
        <f>ROUND((Matching_Engine!$K$15*Lookup_Lists!$D$110+Matching_Engine!$L$15*Lookup_Lists!$D$111+Matching_Engine!$M$15*Lookup_Lists!$D$112)/(Lookup_Lists!$D$110+Lookup_Lists!$D$111+Lookup_Lists!$D$112),0)</f>
      </c>
      <c r="O15" s="47">
        <f>IF(Brand_Profile!$D$16="",Lookup_Lists!$D$150,MIN(100,ROUND((IFERROR(INDEX(KOL_Database!$W$14:KOL_Database!$AA$14,1,MATCH(Brand_Profile!$D$16,Lookup_Lists!$F$6:$F$10,0)),0)+0.5*IFERROR(INDEX(KOL_Database!$W$14:KOL_Database!$AA$14,1,MATCH(Brand_Profile!$D$17,Lookup_Lists!$F$6:$F$10,0)),0))/Lookup_Lists!$D$142*100,0)))</f>
      </c>
      <c r="P15" s="47">
        <f>IF(OR(Brand_Profile!$D$18="",Brand_Profile!$D$18="Any"),100,IF(Brand_Profile!$D$18="Female",MIN(100,ROUND(KOL_Database!$AB$14/Lookup_Lists!$D$143*100,0)),IF(Brand_Profile!$D$18="Male",MIN(100,ROUND(KOL_Database!$AC$14/Lookup_Lists!$D$143*100,0)),MAX(0,ROUND(100-ABS(KOL_Database!$AB$14-50)*2,0)))))</f>
      </c>
      <c r="Q15" s="47">
        <f>ROUND((IF(Brand_Profile!$D$19="",100,IF(KOL_Database!$AD$14=Brand_Profile!$D$19,100,Lookup_Lists!$D$151))*Lookup_Lists!$D$118+IF(OR(Brand_Profile!$D$20="",Brand_Profile!$D$20="Nasional"),100,IF(KOL_Database!$AE$14="",Lookup_Lists!$D$150,IF(KOL_Database!$AE$14=Brand_Profile!$D$20,100,IF(KOL_Database!$AD$14=Brand_Profile!$D$19,40,Lookup_Lists!$D$151))))*Lookup_Lists!$D$119+IF(OR(Brand_Profile!$D$21="",Brand_Profile!$D$21="Nasional"),100,IF(KOL_Database!$AF$14="",Lookup_Lists!$D$150,IF(KOL_Database!$AF$14=Brand_Profile!$D$21,100,IF(KOL_Database!$AE$14=Brand_Profile!$D$20,60,Lookup_Lists!$D$151))))*Lookup_Lists!$D$120)/(Lookup_Lists!$D$118+Lookup_Lists!$D$119+Lookup_Lists!$D$120),0)</f>
      </c>
      <c r="R15" s="47">
        <f>IF(Brand_Profile!$D$68=0,Lookup_Lists!$D$150,ROUND((IF(Brand_Profile!$D$63="",0,IF(ISNUMBER(SEARCH(Brand_Profile!$D$63,KOL_Database!$AG$14)),1,0))+IF(Brand_Profile!$D$64="",0,IF(ISNUMBER(SEARCH(Brand_Profile!$D$64,KOL_Database!$AG$14)),1,0))+IF(Brand_Profile!$D$65="",0,IF(ISNUMBER(SEARCH(Brand_Profile!$D$65,KOL_Database!$AG$14)),1,0))+IF(Brand_Profile!$D$66="",0,IF(ISNUMBER(SEARCH(Brand_Profile!$D$66,KOL_Database!$AG$14)),1,0))+IF(Brand_Profile!$D$67="",0,IF(ISNUMBER(SEARCH(Brand_Profile!$D$67,KOL_Database!$AG$14)),1,0)))/Brand_Profile!$D$68*100,0))</f>
      </c>
      <c r="S15" s="47">
        <f>ROUND((Matching_Engine!$O$15*Brand_Profile!$D$96+Matching_Engine!$P$15*Brand_Profile!$D$97+Matching_Engine!$Q$15*Brand_Profile!$D$98+Matching_Engine!$R$15*Brand_Profile!$D$99)/MAX(1,Brand_Profile!$D$96+Brand_Profile!$D$97+Brand_Profile!$D$98+Brand_Profile!$D$99),0)</f>
      </c>
      <c r="T15" s="47">
        <f>IF(Brand_Profile!$D$33="",Lookup_Lists!$D$150,Matching_Engine!$BD$15)</f>
      </c>
      <c r="U15" s="47">
        <f>IF(Brand_Profile!$D$34="",Lookup_Lists!$D$150,IF(Brand_Profile!$D$34=KOL_Database!$F$14,100,IF(Matching_Engine!$BE$15=KOL_Database!$E$14,75,IF(Matching_Engine!$BD$15&gt;=80,Lookup_Lists!$D$150,IF(Matching_Engine!$BD$15&gt;=60,35,Lookup_Lists!$D$151)))))</f>
      </c>
      <c r="V15" s="47">
        <f>IF(Brand_Profile!$D$86=0,Lookup_Lists!$D$150,ROUND((IF(Brand_Profile!$D$81="",0,IF(ISNUMBER(SEARCH(Brand_Profile!$D$81,Matching_Engine!$BG$15)),1,0))+IF(Brand_Profile!$D$82="",0,IF(ISNUMBER(SEARCH(Brand_Profile!$D$82,Matching_Engine!$BG$15)),1,0))+IF(Brand_Profile!$D$83="",0,IF(ISNUMBER(SEARCH(Brand_Profile!$D$83,Matching_Engine!$BG$15)),1,0))+IF(Brand_Profile!$D$84="",0,IF(ISNUMBER(SEARCH(Brand_Profile!$D$84,Matching_Engine!$BG$15)),1,0))+IF(Brand_Profile!$D$85="",0,IF(ISNUMBER(SEARCH(Brand_Profile!$D$85,Matching_Engine!$BG$15)),1,0)))/Brand_Profile!$D$86*100,0))</f>
      </c>
      <c r="W15" s="47">
        <f>IF(Brand_Profile!$D$39="",Lookup_Lists!$D$150,IFERROR(INDEX(Lookup_Lists!$B$237:$K$246,MATCH(Brand_Profile!$D$39,Lookup_Lists!$A$237:$A$246,0),MATCH(KOL_Database!$AJ$14,Lookup_Lists!$B$236:$K$236,0)),45))</f>
      </c>
      <c r="X15" s="47">
        <f>ROUND((Matching_Engine!$T$15*Lookup_Lists!$D$121+Matching_Engine!$U$15*Lookup_Lists!$D$122+Matching_Engine!$V$15*Lookup_Lists!$D$123+Matching_Engine!$W$15*Lookup_Lists!$D$124)/(Lookup_Lists!$D$121+Lookup_Lists!$D$122+Lookup_Lists!$D$123+Lookup_Lists!$D$124),0)</f>
      </c>
      <c r="Y15" s="47">
        <f>MIN(100,MAX(IFERROR(INDEX(Lookup_Lists!$B$202:$M$211,MATCH(Brand_Profile!$D$25,Lookup_Lists!$A$202:$A$211,0),MATCH(KOL_Database!$AK$14,Lookup_Lists!$B$201:$M$201,0)),40),IF(KOL_Database!$AK$14=Brand_Profile!$D$41,95,0)))</f>
      </c>
      <c r="Z15" s="47">
        <f>IFERROR(INDEX(Lookup_Lists!$B$215:$K$222,MATCH(Brand_Profile!$D$27,Lookup_Lists!$A$215:$A$222,0),MATCH(KOL_Database!$AJ$14,Lookup_Lists!$B$214:$K$214,0)),45)</f>
      </c>
      <c r="AA15" s="47">
        <f>ROUND((IF(Brand_Profile!$D$80=0,Lookup_Lists!$D$150,ROUND((IF(Brand_Profile!$D$75="",0,IF(ISNUMBER(SEARCH(Brand_Profile!$D$75,KOL_Database!$AL$14)),1,0))+IF(Brand_Profile!$D$76="",0,IF(ISNUMBER(SEARCH(Brand_Profile!$D$76,KOL_Database!$AL$14)),1,0))+IF(Brand_Profile!$D$77="",0,IF(ISNUMBER(SEARCH(Brand_Profile!$D$77,KOL_Database!$AL$14)),1,0))+IF(Brand_Profile!$D$78="",0,IF(ISNUMBER(SEARCH(Brand_Profile!$D$78,KOL_Database!$AL$14)),1,0))+IF(Brand_Profile!$D$79="",0,IF(ISNUMBER(SEARCH(Brand_Profile!$D$79,KOL_Database!$AL$14)),1,0)))/Brand_Profile!$D$80*100,0))+IF(Brand_Profile!$D$92=0,Lookup_Lists!$D$150,ROUND((IF(Brand_Profile!$D$87="",0,IF(ISNUMBER(SEARCH(Brand_Profile!$D$87,KOL_Database!$AL$14)),1,0))+IF(Brand_Profile!$D$88="",0,IF(ISNUMBER(SEARCH(Brand_Profile!$D$88,KOL_Database!$AL$14)),1,0))+IF(Brand_Profile!$D$89="",0,IF(ISNUMBER(SEARCH(Brand_Profile!$D$89,KOL_Database!$AL$14)),1,0))+IF(Brand_Profile!$D$90="",0,IF(ISNUMBER(SEARCH(Brand_Profile!$D$90,KOL_Database!$AL$14)),1,0))+IF(Brand_Profile!$D$91="",0,IF(ISNUMBER(SEARCH(Brand_Profile!$D$91,KOL_Database!$AL$14)),1,0)))/Brand_Profile!$D$92*100,0)))/2,0)</f>
      </c>
      <c r="AB15" s="47">
        <f>IFERROR(INDEX(Lookup_Lists!$B$226:$K$233,MATCH(Brand_Profile!$D$30,Lookup_Lists!$A$226:$A$233,0),MATCH(KOL_Database!$AJ$14,Lookup_Lists!$B$225:$K$225,0)),45)</f>
      </c>
      <c r="AC15" s="47">
        <f>ROUND((Matching_Engine!$Y$15*Lookup_Lists!$D$125+Matching_Engine!$Z$15*Lookup_Lists!$D$126+Matching_Engine!$AA$15*Lookup_Lists!$D$127+Matching_Engine!$AB$15*Lookup_Lists!$D$128)/(Lookup_Lists!$D$125+Lookup_Lists!$D$126+Lookup_Lists!$D$127+Lookup_Lists!$D$128),0)</f>
      </c>
      <c r="AD15" s="47">
        <f>IF(KOL_Database!$K$14="",0,MIN(100,ROUND(KOL_Database!$K$14/Lookup_Lists!$D$141*100,0)))</f>
      </c>
      <c r="AE15" s="47">
        <f>IF(KOL_Database!$R$14="",0,MIN(100,MAX(0,KOL_Database!$R$14)))</f>
      </c>
      <c r="AF15" s="47">
        <f>IF(KOL_Database!$P$14="",0,MIN(100,MAX(0,KOL_Database!$P$14)))</f>
      </c>
      <c r="AG15" s="47">
        <f>IF(KOL_Database!$Q$14="",0,MIN(100,MAX(0,KOL_Database!$Q$14)))</f>
      </c>
      <c r="AH15" s="47">
        <f>IF(OR(KOL_Database!$J$14="",KOL_Database!$J$14=0,KOL_Database!$L$14=""),0,MIN(100,ROUND(KOL_Database!$L$14/KOL_Database!$J$14/Lookup_Lists!$D$144*100,0)))</f>
      </c>
      <c r="AI15" s="47">
        <f>IF(KOL_Database!$N$14="",0,MIN(100,MAX(0,ROUND((KOL_Database!$N$14+2)/(Lookup_Lists!$D$145+2)*100,0))))</f>
      </c>
      <c r="AJ15" s="47">
        <f>ROUND((Matching_Engine!$AD$15*Lookup_Lists!$D$129+Matching_Engine!$AE$15*Lookup_Lists!$D$130+Matching_Engine!$AF$15*Lookup_Lists!$D$131+Matching_Engine!$AG$15*Lookup_Lists!$D$132+Matching_Engine!$AH$15*Lookup_Lists!$D$133+Matching_Engine!$AI$15*Lookup_Lists!$D$134)/(Lookup_Lists!$D$129+Lookup_Lists!$D$130+Lookup_Lists!$D$131+Lookup_Lists!$D$132+Lookup_Lists!$D$133+Lookup_Lists!$D$134),0)</f>
      </c>
      <c r="AK15" s="47">
        <f>IF(KOL_Database!$AT$14="",0,MIN(100,MAX(0,KOL_Database!$AT$14)))</f>
      </c>
      <c r="AL15" s="47">
        <f>IF(KOL_Database!$AU$14="",0,KOL_Database!$AU$14)</f>
      </c>
      <c r="AM15" s="44">
        <f>IF(KOL_Database!$AV$14="","None",KOL_Database!$AV$14)</f>
      </c>
      <c r="AN15" s="48">
        <f>IF(Matching_Engine!$AM$15="High",Lookup_Lists!$D$137,IF(Matching_Engine!$AM$15="Medium",Lookup_Lists!$D$138,IF(Matching_Engine!$AM$15="Low",Lookup_Lists!$D$139,Lookup_Lists!$D$140)))</f>
      </c>
      <c r="AO15" s="47">
        <f>ROUND(MIN(100,MAX(0,(Matching_Engine!$AK$15*Lookup_Lists!$D$135+(100-Matching_Engine!$AL$15)*Lookup_Lists!$D$136)/(Lookup_Lists!$D$135+Lookup_Lists!$D$136)*Matching_Engine!$AN$15)),0)</f>
      </c>
      <c r="AP15" s="49">
        <f>ROUND((Matching_Engine!$N$15*Lookup_Lists!$D$104+Matching_Engine!$S$15*Lookup_Lists!$D$105+Matching_Engine!$X$15*Lookup_Lists!$D$106+Matching_Engine!$AC$15*Lookup_Lists!$D$107+Matching_Engine!$AJ$15*Lookup_Lists!$D$108+Matching_Engine!$AO$15*Lookup_Lists!$D$109)/MAX(1,(Lookup_Lists!$D$104+Lookup_Lists!$D$105+Lookup_Lists!$D$106+Lookup_Lists!$D$107+Lookup_Lists!$D$108+Lookup_Lists!$D$109)),0)</f>
      </c>
      <c r="AQ15" s="44">
        <f>IF(Matching_Engine!$AP$15&gt;=Lookup_Lists!$D$152,"Excellent Match",IF(Matching_Engine!$AP$15&gt;=Lookup_Lists!$D$153,"Strong Match",IF(Matching_Engine!$AP$15&gt;=Lookup_Lists!$D$154,"Good Match",IF(Matching_Engine!$AP$15&gt;=Lookup_Lists!$D$155,"Moderate Match","Low Match"))))</f>
      </c>
      <c r="AR15" s="47">
        <f>KOL_Database!$BE$14</f>
      </c>
      <c r="AS15" s="44">
        <f>IF(Matching_Engine!$AR$15&gt;=Lookup_Lists!$D$159,"High",IF(Matching_Engine!$AR$15&gt;=Lookup_Lists!$D$160,"Medium","Limited Data"))</f>
      </c>
      <c r="AT15" s="47">
        <f>ROUND((Matching_Engine!$N$15+Matching_Engine!$X$15+Matching_Engine!$AC$15)/3,0)</f>
      </c>
      <c r="AU15" s="47">
        <f>ROUND(((100-Matching_Engine!$AL$15)*Lookup_Lists!$D$162+IF(KOL_Database!$BD$14="",Lookup_Lists!$D$150,KOL_Database!$BD$14)*Lookup_Lists!$D$163+Matching_Engine!$AI$15*Lookup_Lists!$D$164+Matching_Engine!$AD$15*Lookup_Lists!$D$165)/(Lookup_Lists!$D$162+Lookup_Lists!$D$163+Lookup_Lists!$D$164+Lookup_Lists!$D$165),0)</f>
      </c>
      <c r="AV15" s="44">
        <f>IF(Matching_Engine!$AW$15="","PASS","EXCLUDED")</f>
      </c>
      <c r="AW15" s="44">
        <f>IF(ISERROR(SEARCH(KOL_Database!$D$14,Brand_Profile!$D$32)),"Platform not in Preferred Platform",IF(AND(Brand_Profile!$D$36&gt;0,KOL_Database!$J$14&lt;Brand_Profile!$D$36),"Followers below Preferred Follower Range",IF(AND(Brand_Profile!$D$37&gt;0,KOL_Database!$J$14&gt;Brand_Profile!$D$37),"Followers above Preferred Follower Range",IF(AND(Brand_Profile!$D$38&gt;0,IF(KOL_Database!$K$14="",0,KOL_Database!$K$14)&lt;Brand_Profile!$D$38),"Engagement Rate below Minimum Engagement Rate",IF(ISERROR(SEARCH(KOL_Database!$G$14,Brand_Profile!$D$35)),"Tier not in Preferred Tier",IF(AND(Brand_Profile!$D$43&gt;0,Matching_Engine!$AE$15&lt;Brand_Profile!$D$43),"Audience Quality below Minimum Audience Quality",IF(AND(Brand_Profile!$D$44&gt;0,Matching_Engine!$AK$15&lt;Brand_Profile!$D$44),"Brand Safety below Minimum Brand Safety",IF(AND(Brand_Profile!$D$47="Yes",KOL_Database!$AD$14&lt;&gt;Brand_Profile!$D$19),"Audience Country does not match Target Country",IF(AND(Brand_Profile!$D$46="Yes",KOL_Database!$E$14&lt;&gt;Brand_Profile!$D$33),"Category is not the Preferred Category",IF(AND(Brand_Profile!$D$48&gt;0,Matching_Engine!$AL$15&gt;Brand_Profile!$D$48),"Competitor Saturation above Max Competitor Saturation",IF(AND(Brand_Profile!$D$50="Yes",KOL_Database!$AW$14="Yes"),"Already Selected",IF(AND(Brand_Profile!$D$51="Yes",KOL_Database!$AX$14="Yes"),"Already in Cart",IF(AND(Brand_Profile!$D$52="Yes",KOL_Database!$AY$14="Yes"),"Existing Partner",IF(AND(Brand_Profile!$D$53="Yes",KOL_Database!$AZ$14="Yes"),"Excluded Creator",IF(AND(Brand_Profile!$D$49&gt;0,Matching_Engine!$AP$15&lt;Brand_Profile!$D$49),"Brand Match below Minimum Brand Match","")))))))))))))))</f>
      </c>
      <c r="AX15" s="44">
        <f>IF(Matching_Engine!$AV$15="EXCLUDED","Excluded",IF(Matching_Engine!$AP$15&gt;=Lookup_Lists!$D$156,"Highly Recommended",IF(Matching_Engine!$AP$15&gt;=Lookup_Lists!$D$157,"Recommended",IF(Matching_Engine!$AP$15&gt;=Lookup_Lists!$D$158,"Consider","Low Priority"))))</f>
      </c>
      <c r="AY15" s="47">
        <f>IF(Matching_Engine!$AV$15="PASS",Matching_Engine!$AP$15,"")</f>
      </c>
      <c r="AZ15" s="44">
        <f>Matching_Engine!$A$15&amp;"|"&amp;Matching_Engine!$C$15</f>
      </c>
      <c r="BA15" s="44">
        <f>IFERROR(INDEX(Lookup_Lists!$B$51:$B$92,MATCH(Brand_Profile!$D$12,Lookup_Lists!$A$51:$A$92,0)),"")</f>
      </c>
      <c r="BB15" s="44">
        <f>IFERROR(INDEX(Lookup_Lists!$B$51:$B$92,MATCH(KOL_Database!$F$14,Lookup_Lists!$A$51:$A$92,0)),"")</f>
      </c>
      <c r="BC15" s="47">
        <f>IFERROR(INDEX(Lookup_Lists!$B$185:$O$198,MATCH(Matching_Engine!$BA$15,Lookup_Lists!$A$185:$A$198,0),MATCH(KOL_Database!$E$14,Lookup_Lists!$B$184:$O$184,0)),Lookup_Lists!$D$151)</f>
      </c>
      <c r="BD15" s="47">
        <f>IFERROR(INDEX(Lookup_Lists!$B$185:$O$198,MATCH(Brand_Profile!$D$33,Lookup_Lists!$A$185:$A$198,0),MATCH(KOL_Database!$E$14,Lookup_Lists!$B$184:$O$184,0)),Lookup_Lists!$D$151)</f>
      </c>
      <c r="BE15" s="44">
        <f>IFERROR(INDEX(Lookup_Lists!$B$51:$B$92,MATCH(Brand_Profile!$D$34,Lookup_Lists!$A$51:$A$92,0)),"")</f>
      </c>
      <c r="BF15" s="44">
        <f>KOL_Database!$AI$14&amp;", "&amp;KOL_Database!$AG$14&amp;", "&amp;KOL_Database!$F$14&amp;", "&amp;KOL_Database!$E$14</f>
      </c>
      <c r="BG15" s="44">
        <f>KOL_Database!$AI$14&amp;", "&amp;KOL_Database!$AG$14</f>
      </c>
    </row>
    <row r="16" spans="1:59" x14ac:dyDescent="0.25">
      <c r="A16" s="43" t="s">
        <v>71</v>
      </c>
      <c r="B16" s="44">
        <f>Brand_Profile!$D$9</f>
      </c>
      <c r="C16" s="44">
        <f>KOL_Database!$A$15</f>
      </c>
      <c r="D16" s="44">
        <f>KOL_Database!$B$15</f>
      </c>
      <c r="E16" s="44">
        <f>KOL_Database!$C$15</f>
      </c>
      <c r="F16" s="44">
        <f>KOL_Database!$D$15</f>
      </c>
      <c r="G16" s="44">
        <f>KOL_Database!$E$15</f>
      </c>
      <c r="H16" s="44">
        <f>KOL_Database!$G$15</f>
      </c>
      <c r="I16" s="45">
        <f>KOL_Database!$J$15</f>
      </c>
      <c r="J16" s="46">
        <f>KOL_Database!$K$15</f>
      </c>
      <c r="K16" s="47">
        <f>IFERROR(INDEX(Lookup_Lists!$B$170:$O$181,MATCH(Brand_Profile!$D$10,Lookup_Lists!$A$170:$A$181,0),MATCH(KOL_Database!$E$15,Lookup_Lists!$B$169:$O$169,0)),Lookup_Lists!$D$151)</f>
      </c>
      <c r="L16" s="47">
        <f>IF(KOL_Database!$F$15="",Matching_Engine!$BC$16,IF(Brand_Profile!$D$12=KOL_Database!$F$15,100,IF(Matching_Engine!$BA$16=KOL_Database!$E$15,80,IF(Matching_Engine!$BC$16&gt;=80,60,IF(Matching_Engine!$BC$16&gt;=60,40,Lookup_Lists!$D$151)))))</f>
      </c>
      <c r="M16" s="47">
        <f>ROUND((IF(Brand_Profile!$D$62=0,Lookup_Lists!$D$150,ROUND((IF(Brand_Profile!$D$57="",0,IF(ISNUMBER(SEARCH(Brand_Profile!$D$57,Matching_Engine!$BF$16)),1,0))+IF(Brand_Profile!$D$58="",0,IF(ISNUMBER(SEARCH(Brand_Profile!$D$58,Matching_Engine!$BF$16)),1,0))+IF(Brand_Profile!$D$59="",0,IF(ISNUMBER(SEARCH(Brand_Profile!$D$59,Matching_Engine!$BF$16)),1,0))+IF(Brand_Profile!$D$60="",0,IF(ISNUMBER(SEARCH(Brand_Profile!$D$60,Matching_Engine!$BF$16)),1,0))+IF(Brand_Profile!$D$61="",0,IF(ISNUMBER(SEARCH(Brand_Profile!$D$61,Matching_Engine!$BF$16)),1,0)))/Brand_Profile!$D$62*100,0))+IF(Brand_Profile!$D$74=0,Lookup_Lists!$D$150,ROUND((IF(Brand_Profile!$D$69="",0,IF(ISNUMBER(SEARCH(Brand_Profile!$D$69,Matching_Engine!$BF$16)),1,0))+IF(Brand_Profile!$D$70="",0,IF(ISNUMBER(SEARCH(Brand_Profile!$D$70,Matching_Engine!$BF$16)),1,0))+IF(Brand_Profile!$D$71="",0,IF(ISNUMBER(SEARCH(Brand_Profile!$D$71,Matching_Engine!$BF$16)),1,0))+IF(Brand_Profile!$D$72="",0,IF(ISNUMBER(SEARCH(Brand_Profile!$D$72,Matching_Engine!$BF$16)),1,0))+IF(Brand_Profile!$D$73="",0,IF(ISNUMBER(SEARCH(Brand_Profile!$D$73,Matching_Engine!$BF$16)),1,0)))/Brand_Profile!$D$74*100,0)))/2,0)</f>
      </c>
      <c r="N16" s="47">
        <f>ROUND((Matching_Engine!$K$16*Lookup_Lists!$D$110+Matching_Engine!$L$16*Lookup_Lists!$D$111+Matching_Engine!$M$16*Lookup_Lists!$D$112)/(Lookup_Lists!$D$110+Lookup_Lists!$D$111+Lookup_Lists!$D$112),0)</f>
      </c>
      <c r="O16" s="47">
        <f>IF(Brand_Profile!$D$16="",Lookup_Lists!$D$150,MIN(100,ROUND((IFERROR(INDEX(KOL_Database!$W$15:KOL_Database!$AA$15,1,MATCH(Brand_Profile!$D$16,Lookup_Lists!$F$6:$F$10,0)),0)+0.5*IFERROR(INDEX(KOL_Database!$W$15:KOL_Database!$AA$15,1,MATCH(Brand_Profile!$D$17,Lookup_Lists!$F$6:$F$10,0)),0))/Lookup_Lists!$D$142*100,0)))</f>
      </c>
      <c r="P16" s="47">
        <f>IF(OR(Brand_Profile!$D$18="",Brand_Profile!$D$18="Any"),100,IF(Brand_Profile!$D$18="Female",MIN(100,ROUND(KOL_Database!$AB$15/Lookup_Lists!$D$143*100,0)),IF(Brand_Profile!$D$18="Male",MIN(100,ROUND(KOL_Database!$AC$15/Lookup_Lists!$D$143*100,0)),MAX(0,ROUND(100-ABS(KOL_Database!$AB$15-50)*2,0)))))</f>
      </c>
      <c r="Q16" s="47">
        <f>ROUND((IF(Brand_Profile!$D$19="",100,IF(KOL_Database!$AD$15=Brand_Profile!$D$19,100,Lookup_Lists!$D$151))*Lookup_Lists!$D$118+IF(OR(Brand_Profile!$D$20="",Brand_Profile!$D$20="Nasional"),100,IF(KOL_Database!$AE$15="",Lookup_Lists!$D$150,IF(KOL_Database!$AE$15=Brand_Profile!$D$20,100,IF(KOL_Database!$AD$15=Brand_Profile!$D$19,40,Lookup_Lists!$D$151))))*Lookup_Lists!$D$119+IF(OR(Brand_Profile!$D$21="",Brand_Profile!$D$21="Nasional"),100,IF(KOL_Database!$AF$15="",Lookup_Lists!$D$150,IF(KOL_Database!$AF$15=Brand_Profile!$D$21,100,IF(KOL_Database!$AE$15=Brand_Profile!$D$20,60,Lookup_Lists!$D$151))))*Lookup_Lists!$D$120)/(Lookup_Lists!$D$118+Lookup_Lists!$D$119+Lookup_Lists!$D$120),0)</f>
      </c>
      <c r="R16" s="47">
        <f>IF(Brand_Profile!$D$68=0,Lookup_Lists!$D$150,ROUND((IF(Brand_Profile!$D$63="",0,IF(ISNUMBER(SEARCH(Brand_Profile!$D$63,KOL_Database!$AG$15)),1,0))+IF(Brand_Profile!$D$64="",0,IF(ISNUMBER(SEARCH(Brand_Profile!$D$64,KOL_Database!$AG$15)),1,0))+IF(Brand_Profile!$D$65="",0,IF(ISNUMBER(SEARCH(Brand_Profile!$D$65,KOL_Database!$AG$15)),1,0))+IF(Brand_Profile!$D$66="",0,IF(ISNUMBER(SEARCH(Brand_Profile!$D$66,KOL_Database!$AG$15)),1,0))+IF(Brand_Profile!$D$67="",0,IF(ISNUMBER(SEARCH(Brand_Profile!$D$67,KOL_Database!$AG$15)),1,0)))/Brand_Profile!$D$68*100,0))</f>
      </c>
      <c r="S16" s="47">
        <f>ROUND((Matching_Engine!$O$16*Brand_Profile!$D$96+Matching_Engine!$P$16*Brand_Profile!$D$97+Matching_Engine!$Q$16*Brand_Profile!$D$98+Matching_Engine!$R$16*Brand_Profile!$D$99)/MAX(1,Brand_Profile!$D$96+Brand_Profile!$D$97+Brand_Profile!$D$98+Brand_Profile!$D$99),0)</f>
      </c>
      <c r="T16" s="47">
        <f>IF(Brand_Profile!$D$33="",Lookup_Lists!$D$150,Matching_Engine!$BD$16)</f>
      </c>
      <c r="U16" s="47">
        <f>IF(Brand_Profile!$D$34="",Lookup_Lists!$D$150,IF(Brand_Profile!$D$34=KOL_Database!$F$15,100,IF(Matching_Engine!$BE$16=KOL_Database!$E$15,75,IF(Matching_Engine!$BD$16&gt;=80,Lookup_Lists!$D$150,IF(Matching_Engine!$BD$16&gt;=60,35,Lookup_Lists!$D$151)))))</f>
      </c>
      <c r="V16" s="47">
        <f>IF(Brand_Profile!$D$86=0,Lookup_Lists!$D$150,ROUND((IF(Brand_Profile!$D$81="",0,IF(ISNUMBER(SEARCH(Brand_Profile!$D$81,Matching_Engine!$BG$16)),1,0))+IF(Brand_Profile!$D$82="",0,IF(ISNUMBER(SEARCH(Brand_Profile!$D$82,Matching_Engine!$BG$16)),1,0))+IF(Brand_Profile!$D$83="",0,IF(ISNUMBER(SEARCH(Brand_Profile!$D$83,Matching_Engine!$BG$16)),1,0))+IF(Brand_Profile!$D$84="",0,IF(ISNUMBER(SEARCH(Brand_Profile!$D$84,Matching_Engine!$BG$16)),1,0))+IF(Brand_Profile!$D$85="",0,IF(ISNUMBER(SEARCH(Brand_Profile!$D$85,Matching_Engine!$BG$16)),1,0)))/Brand_Profile!$D$86*100,0))</f>
      </c>
      <c r="W16" s="47">
        <f>IF(Brand_Profile!$D$39="",Lookup_Lists!$D$150,IFERROR(INDEX(Lookup_Lists!$B$237:$K$246,MATCH(Brand_Profile!$D$39,Lookup_Lists!$A$237:$A$246,0),MATCH(KOL_Database!$AJ$15,Lookup_Lists!$B$236:$K$236,0)),45))</f>
      </c>
      <c r="X16" s="47">
        <f>ROUND((Matching_Engine!$T$16*Lookup_Lists!$D$121+Matching_Engine!$U$16*Lookup_Lists!$D$122+Matching_Engine!$V$16*Lookup_Lists!$D$123+Matching_Engine!$W$16*Lookup_Lists!$D$124)/(Lookup_Lists!$D$121+Lookup_Lists!$D$122+Lookup_Lists!$D$123+Lookup_Lists!$D$124),0)</f>
      </c>
      <c r="Y16" s="47">
        <f>MIN(100,MAX(IFERROR(INDEX(Lookup_Lists!$B$202:$M$211,MATCH(Brand_Profile!$D$25,Lookup_Lists!$A$202:$A$211,0),MATCH(KOL_Database!$AK$15,Lookup_Lists!$B$201:$M$201,0)),40),IF(KOL_Database!$AK$15=Brand_Profile!$D$41,95,0)))</f>
      </c>
      <c r="Z16" s="47">
        <f>IFERROR(INDEX(Lookup_Lists!$B$215:$K$222,MATCH(Brand_Profile!$D$27,Lookup_Lists!$A$215:$A$222,0),MATCH(KOL_Database!$AJ$15,Lookup_Lists!$B$214:$K$214,0)),45)</f>
      </c>
      <c r="AA16" s="47">
        <f>ROUND((IF(Brand_Profile!$D$80=0,Lookup_Lists!$D$150,ROUND((IF(Brand_Profile!$D$75="",0,IF(ISNUMBER(SEARCH(Brand_Profile!$D$75,KOL_Database!$AL$15)),1,0))+IF(Brand_Profile!$D$76="",0,IF(ISNUMBER(SEARCH(Brand_Profile!$D$76,KOL_Database!$AL$15)),1,0))+IF(Brand_Profile!$D$77="",0,IF(ISNUMBER(SEARCH(Brand_Profile!$D$77,KOL_Database!$AL$15)),1,0))+IF(Brand_Profile!$D$78="",0,IF(ISNUMBER(SEARCH(Brand_Profile!$D$78,KOL_Database!$AL$15)),1,0))+IF(Brand_Profile!$D$79="",0,IF(ISNUMBER(SEARCH(Brand_Profile!$D$79,KOL_Database!$AL$15)),1,0)))/Brand_Profile!$D$80*100,0))+IF(Brand_Profile!$D$92=0,Lookup_Lists!$D$150,ROUND((IF(Brand_Profile!$D$87="",0,IF(ISNUMBER(SEARCH(Brand_Profile!$D$87,KOL_Database!$AL$15)),1,0))+IF(Brand_Profile!$D$88="",0,IF(ISNUMBER(SEARCH(Brand_Profile!$D$88,KOL_Database!$AL$15)),1,0))+IF(Brand_Profile!$D$89="",0,IF(ISNUMBER(SEARCH(Brand_Profile!$D$89,KOL_Database!$AL$15)),1,0))+IF(Brand_Profile!$D$90="",0,IF(ISNUMBER(SEARCH(Brand_Profile!$D$90,KOL_Database!$AL$15)),1,0))+IF(Brand_Profile!$D$91="",0,IF(ISNUMBER(SEARCH(Brand_Profile!$D$91,KOL_Database!$AL$15)),1,0)))/Brand_Profile!$D$92*100,0)))/2,0)</f>
      </c>
      <c r="AB16" s="47">
        <f>IFERROR(INDEX(Lookup_Lists!$B$226:$K$233,MATCH(Brand_Profile!$D$30,Lookup_Lists!$A$226:$A$233,0),MATCH(KOL_Database!$AJ$15,Lookup_Lists!$B$225:$K$225,0)),45)</f>
      </c>
      <c r="AC16" s="47">
        <f>ROUND((Matching_Engine!$Y$16*Lookup_Lists!$D$125+Matching_Engine!$Z$16*Lookup_Lists!$D$126+Matching_Engine!$AA$16*Lookup_Lists!$D$127+Matching_Engine!$AB$16*Lookup_Lists!$D$128)/(Lookup_Lists!$D$125+Lookup_Lists!$D$126+Lookup_Lists!$D$127+Lookup_Lists!$D$128),0)</f>
      </c>
      <c r="AD16" s="47">
        <f>IF(KOL_Database!$K$15="",0,MIN(100,ROUND(KOL_Database!$K$15/Lookup_Lists!$D$141*100,0)))</f>
      </c>
      <c r="AE16" s="47">
        <f>IF(KOL_Database!$R$15="",0,MIN(100,MAX(0,KOL_Database!$R$15)))</f>
      </c>
      <c r="AF16" s="47">
        <f>IF(KOL_Database!$P$15="",0,MIN(100,MAX(0,KOL_Database!$P$15)))</f>
      </c>
      <c r="AG16" s="47">
        <f>IF(KOL_Database!$Q$15="",0,MIN(100,MAX(0,KOL_Database!$Q$15)))</f>
      </c>
      <c r="AH16" s="47">
        <f>IF(OR(KOL_Database!$J$15="",KOL_Database!$J$15=0,KOL_Database!$L$15=""),0,MIN(100,ROUND(KOL_Database!$L$15/KOL_Database!$J$15/Lookup_Lists!$D$144*100,0)))</f>
      </c>
      <c r="AI16" s="47">
        <f>IF(KOL_Database!$N$15="",0,MIN(100,MAX(0,ROUND((KOL_Database!$N$15+2)/(Lookup_Lists!$D$145+2)*100,0))))</f>
      </c>
      <c r="AJ16" s="47">
        <f>ROUND((Matching_Engine!$AD$16*Lookup_Lists!$D$129+Matching_Engine!$AE$16*Lookup_Lists!$D$130+Matching_Engine!$AF$16*Lookup_Lists!$D$131+Matching_Engine!$AG$16*Lookup_Lists!$D$132+Matching_Engine!$AH$16*Lookup_Lists!$D$133+Matching_Engine!$AI$16*Lookup_Lists!$D$134)/(Lookup_Lists!$D$129+Lookup_Lists!$D$130+Lookup_Lists!$D$131+Lookup_Lists!$D$132+Lookup_Lists!$D$133+Lookup_Lists!$D$134),0)</f>
      </c>
      <c r="AK16" s="47">
        <f>IF(KOL_Database!$AT$15="",0,MIN(100,MAX(0,KOL_Database!$AT$15)))</f>
      </c>
      <c r="AL16" s="47">
        <f>IF(KOL_Database!$AU$15="",0,KOL_Database!$AU$15)</f>
      </c>
      <c r="AM16" s="44">
        <f>IF(KOL_Database!$AV$15="","None",KOL_Database!$AV$15)</f>
      </c>
      <c r="AN16" s="48">
        <f>IF(Matching_Engine!$AM$16="High",Lookup_Lists!$D$137,IF(Matching_Engine!$AM$16="Medium",Lookup_Lists!$D$138,IF(Matching_Engine!$AM$16="Low",Lookup_Lists!$D$139,Lookup_Lists!$D$140)))</f>
      </c>
      <c r="AO16" s="47">
        <f>ROUND(MIN(100,MAX(0,(Matching_Engine!$AK$16*Lookup_Lists!$D$135+(100-Matching_Engine!$AL$16)*Lookup_Lists!$D$136)/(Lookup_Lists!$D$135+Lookup_Lists!$D$136)*Matching_Engine!$AN$16)),0)</f>
      </c>
      <c r="AP16" s="49">
        <f>ROUND((Matching_Engine!$N$16*Lookup_Lists!$D$104+Matching_Engine!$S$16*Lookup_Lists!$D$105+Matching_Engine!$X$16*Lookup_Lists!$D$106+Matching_Engine!$AC$16*Lookup_Lists!$D$107+Matching_Engine!$AJ$16*Lookup_Lists!$D$108+Matching_Engine!$AO$16*Lookup_Lists!$D$109)/MAX(1,(Lookup_Lists!$D$104+Lookup_Lists!$D$105+Lookup_Lists!$D$106+Lookup_Lists!$D$107+Lookup_Lists!$D$108+Lookup_Lists!$D$109)),0)</f>
      </c>
      <c r="AQ16" s="44">
        <f>IF(Matching_Engine!$AP$16&gt;=Lookup_Lists!$D$152,"Excellent Match",IF(Matching_Engine!$AP$16&gt;=Lookup_Lists!$D$153,"Strong Match",IF(Matching_Engine!$AP$16&gt;=Lookup_Lists!$D$154,"Good Match",IF(Matching_Engine!$AP$16&gt;=Lookup_Lists!$D$155,"Moderate Match","Low Match"))))</f>
      </c>
      <c r="AR16" s="47">
        <f>KOL_Database!$BE$15</f>
      </c>
      <c r="AS16" s="44">
        <f>IF(Matching_Engine!$AR$16&gt;=Lookup_Lists!$D$159,"High",IF(Matching_Engine!$AR$16&gt;=Lookup_Lists!$D$160,"Medium","Limited Data"))</f>
      </c>
      <c r="AT16" s="47">
        <f>ROUND((Matching_Engine!$N$16+Matching_Engine!$X$16+Matching_Engine!$AC$16)/3,0)</f>
      </c>
      <c r="AU16" s="47">
        <f>ROUND(((100-Matching_Engine!$AL$16)*Lookup_Lists!$D$162+IF(KOL_Database!$BD$15="",Lookup_Lists!$D$150,KOL_Database!$BD$15)*Lookup_Lists!$D$163+Matching_Engine!$AI$16*Lookup_Lists!$D$164+Matching_Engine!$AD$16*Lookup_Lists!$D$165)/(Lookup_Lists!$D$162+Lookup_Lists!$D$163+Lookup_Lists!$D$164+Lookup_Lists!$D$165),0)</f>
      </c>
      <c r="AV16" s="44">
        <f>IF(Matching_Engine!$AW$16="","PASS","EXCLUDED")</f>
      </c>
      <c r="AW16" s="44">
        <f>IF(ISERROR(SEARCH(KOL_Database!$D$15,Brand_Profile!$D$32)),"Platform not in Preferred Platform",IF(AND(Brand_Profile!$D$36&gt;0,KOL_Database!$J$15&lt;Brand_Profile!$D$36),"Followers below Preferred Follower Range",IF(AND(Brand_Profile!$D$37&gt;0,KOL_Database!$J$15&gt;Brand_Profile!$D$37),"Followers above Preferred Follower Range",IF(AND(Brand_Profile!$D$38&gt;0,IF(KOL_Database!$K$15="",0,KOL_Database!$K$15)&lt;Brand_Profile!$D$38),"Engagement Rate below Minimum Engagement Rate",IF(ISERROR(SEARCH(KOL_Database!$G$15,Brand_Profile!$D$35)),"Tier not in Preferred Tier",IF(AND(Brand_Profile!$D$43&gt;0,Matching_Engine!$AE$16&lt;Brand_Profile!$D$43),"Audience Quality below Minimum Audience Quality",IF(AND(Brand_Profile!$D$44&gt;0,Matching_Engine!$AK$16&lt;Brand_Profile!$D$44),"Brand Safety below Minimum Brand Safety",IF(AND(Brand_Profile!$D$47="Yes",KOL_Database!$AD$15&lt;&gt;Brand_Profile!$D$19),"Audience Country does not match Target Country",IF(AND(Brand_Profile!$D$46="Yes",KOL_Database!$E$15&lt;&gt;Brand_Profile!$D$33),"Category is not the Preferred Category",IF(AND(Brand_Profile!$D$48&gt;0,Matching_Engine!$AL$16&gt;Brand_Profile!$D$48),"Competitor Saturation above Max Competitor Saturation",IF(AND(Brand_Profile!$D$50="Yes",KOL_Database!$AW$15="Yes"),"Already Selected",IF(AND(Brand_Profile!$D$51="Yes",KOL_Database!$AX$15="Yes"),"Already in Cart",IF(AND(Brand_Profile!$D$52="Yes",KOL_Database!$AY$15="Yes"),"Existing Partner",IF(AND(Brand_Profile!$D$53="Yes",KOL_Database!$AZ$15="Yes"),"Excluded Creator",IF(AND(Brand_Profile!$D$49&gt;0,Matching_Engine!$AP$16&lt;Brand_Profile!$D$49),"Brand Match below Minimum Brand Match","")))))))))))))))</f>
      </c>
      <c r="AX16" s="44">
        <f>IF(Matching_Engine!$AV$16="EXCLUDED","Excluded",IF(Matching_Engine!$AP$16&gt;=Lookup_Lists!$D$156,"Highly Recommended",IF(Matching_Engine!$AP$16&gt;=Lookup_Lists!$D$157,"Recommended",IF(Matching_Engine!$AP$16&gt;=Lookup_Lists!$D$158,"Consider","Low Priority"))))</f>
      </c>
      <c r="AY16" s="47">
        <f>IF(Matching_Engine!$AV$16="PASS",Matching_Engine!$AP$16,"")</f>
      </c>
      <c r="AZ16" s="44">
        <f>Matching_Engine!$A$16&amp;"|"&amp;Matching_Engine!$C$16</f>
      </c>
      <c r="BA16" s="44">
        <f>IFERROR(INDEX(Lookup_Lists!$B$51:$B$92,MATCH(Brand_Profile!$D$12,Lookup_Lists!$A$51:$A$92,0)),"")</f>
      </c>
      <c r="BB16" s="44">
        <f>IFERROR(INDEX(Lookup_Lists!$B$51:$B$92,MATCH(KOL_Database!$F$15,Lookup_Lists!$A$51:$A$92,0)),"")</f>
      </c>
      <c r="BC16" s="47">
        <f>IFERROR(INDEX(Lookup_Lists!$B$185:$O$198,MATCH(Matching_Engine!$BA$16,Lookup_Lists!$A$185:$A$198,0),MATCH(KOL_Database!$E$15,Lookup_Lists!$B$184:$O$184,0)),Lookup_Lists!$D$151)</f>
      </c>
      <c r="BD16" s="47">
        <f>IFERROR(INDEX(Lookup_Lists!$B$185:$O$198,MATCH(Brand_Profile!$D$33,Lookup_Lists!$A$185:$A$198,0),MATCH(KOL_Database!$E$15,Lookup_Lists!$B$184:$O$184,0)),Lookup_Lists!$D$151)</f>
      </c>
      <c r="BE16" s="44">
        <f>IFERROR(INDEX(Lookup_Lists!$B$51:$B$92,MATCH(Brand_Profile!$D$34,Lookup_Lists!$A$51:$A$92,0)),"")</f>
      </c>
      <c r="BF16" s="44">
        <f>KOL_Database!$AI$15&amp;", "&amp;KOL_Database!$AG$15&amp;", "&amp;KOL_Database!$F$15&amp;", "&amp;KOL_Database!$E$15</f>
      </c>
      <c r="BG16" s="44">
        <f>KOL_Database!$AI$15&amp;", "&amp;KOL_Database!$AG$15</f>
      </c>
    </row>
    <row r="17" spans="1:59" x14ac:dyDescent="0.25">
      <c r="A17" s="43" t="s">
        <v>71</v>
      </c>
      <c r="B17" s="44">
        <f>Brand_Profile!$D$9</f>
      </c>
      <c r="C17" s="44">
        <f>KOL_Database!$A$16</f>
      </c>
      <c r="D17" s="44">
        <f>KOL_Database!$B$16</f>
      </c>
      <c r="E17" s="44">
        <f>KOL_Database!$C$16</f>
      </c>
      <c r="F17" s="44">
        <f>KOL_Database!$D$16</f>
      </c>
      <c r="G17" s="44">
        <f>KOL_Database!$E$16</f>
      </c>
      <c r="H17" s="44">
        <f>KOL_Database!$G$16</f>
      </c>
      <c r="I17" s="45">
        <f>KOL_Database!$J$16</f>
      </c>
      <c r="J17" s="46">
        <f>KOL_Database!$K$16</f>
      </c>
      <c r="K17" s="47">
        <f>IFERROR(INDEX(Lookup_Lists!$B$170:$O$181,MATCH(Brand_Profile!$D$10,Lookup_Lists!$A$170:$A$181,0),MATCH(KOL_Database!$E$16,Lookup_Lists!$B$169:$O$169,0)),Lookup_Lists!$D$151)</f>
      </c>
      <c r="L17" s="47">
        <f>IF(KOL_Database!$F$16="",Matching_Engine!$BC$17,IF(Brand_Profile!$D$12=KOL_Database!$F$16,100,IF(Matching_Engine!$BA$17=KOL_Database!$E$16,80,IF(Matching_Engine!$BC$17&gt;=80,60,IF(Matching_Engine!$BC$17&gt;=60,40,Lookup_Lists!$D$151)))))</f>
      </c>
      <c r="M17" s="47">
        <f>ROUND((IF(Brand_Profile!$D$62=0,Lookup_Lists!$D$150,ROUND((IF(Brand_Profile!$D$57="",0,IF(ISNUMBER(SEARCH(Brand_Profile!$D$57,Matching_Engine!$BF$17)),1,0))+IF(Brand_Profile!$D$58="",0,IF(ISNUMBER(SEARCH(Brand_Profile!$D$58,Matching_Engine!$BF$17)),1,0))+IF(Brand_Profile!$D$59="",0,IF(ISNUMBER(SEARCH(Brand_Profile!$D$59,Matching_Engine!$BF$17)),1,0))+IF(Brand_Profile!$D$60="",0,IF(ISNUMBER(SEARCH(Brand_Profile!$D$60,Matching_Engine!$BF$17)),1,0))+IF(Brand_Profile!$D$61="",0,IF(ISNUMBER(SEARCH(Brand_Profile!$D$61,Matching_Engine!$BF$17)),1,0)))/Brand_Profile!$D$62*100,0))+IF(Brand_Profile!$D$74=0,Lookup_Lists!$D$150,ROUND((IF(Brand_Profile!$D$69="",0,IF(ISNUMBER(SEARCH(Brand_Profile!$D$69,Matching_Engine!$BF$17)),1,0))+IF(Brand_Profile!$D$70="",0,IF(ISNUMBER(SEARCH(Brand_Profile!$D$70,Matching_Engine!$BF$17)),1,0))+IF(Brand_Profile!$D$71="",0,IF(ISNUMBER(SEARCH(Brand_Profile!$D$71,Matching_Engine!$BF$17)),1,0))+IF(Brand_Profile!$D$72="",0,IF(ISNUMBER(SEARCH(Brand_Profile!$D$72,Matching_Engine!$BF$17)),1,0))+IF(Brand_Profile!$D$73="",0,IF(ISNUMBER(SEARCH(Brand_Profile!$D$73,Matching_Engine!$BF$17)),1,0)))/Brand_Profile!$D$74*100,0)))/2,0)</f>
      </c>
      <c r="N17" s="47">
        <f>ROUND((Matching_Engine!$K$17*Lookup_Lists!$D$110+Matching_Engine!$L$17*Lookup_Lists!$D$111+Matching_Engine!$M$17*Lookup_Lists!$D$112)/(Lookup_Lists!$D$110+Lookup_Lists!$D$111+Lookup_Lists!$D$112),0)</f>
      </c>
      <c r="O17" s="47">
        <f>IF(Brand_Profile!$D$16="",Lookup_Lists!$D$150,MIN(100,ROUND((IFERROR(INDEX(KOL_Database!$W$16:KOL_Database!$AA$16,1,MATCH(Brand_Profile!$D$16,Lookup_Lists!$F$6:$F$10,0)),0)+0.5*IFERROR(INDEX(KOL_Database!$W$16:KOL_Database!$AA$16,1,MATCH(Brand_Profile!$D$17,Lookup_Lists!$F$6:$F$10,0)),0))/Lookup_Lists!$D$142*100,0)))</f>
      </c>
      <c r="P17" s="47">
        <f>IF(OR(Brand_Profile!$D$18="",Brand_Profile!$D$18="Any"),100,IF(Brand_Profile!$D$18="Female",MIN(100,ROUND(KOL_Database!$AB$16/Lookup_Lists!$D$143*100,0)),IF(Brand_Profile!$D$18="Male",MIN(100,ROUND(KOL_Database!$AC$16/Lookup_Lists!$D$143*100,0)),MAX(0,ROUND(100-ABS(KOL_Database!$AB$16-50)*2,0)))))</f>
      </c>
      <c r="Q17" s="47">
        <f>ROUND((IF(Brand_Profile!$D$19="",100,IF(KOL_Database!$AD$16=Brand_Profile!$D$19,100,Lookup_Lists!$D$151))*Lookup_Lists!$D$118+IF(OR(Brand_Profile!$D$20="",Brand_Profile!$D$20="Nasional"),100,IF(KOL_Database!$AE$16="",Lookup_Lists!$D$150,IF(KOL_Database!$AE$16=Brand_Profile!$D$20,100,IF(KOL_Database!$AD$16=Brand_Profile!$D$19,40,Lookup_Lists!$D$151))))*Lookup_Lists!$D$119+IF(OR(Brand_Profile!$D$21="",Brand_Profile!$D$21="Nasional"),100,IF(KOL_Database!$AF$16="",Lookup_Lists!$D$150,IF(KOL_Database!$AF$16=Brand_Profile!$D$21,100,IF(KOL_Database!$AE$16=Brand_Profile!$D$20,60,Lookup_Lists!$D$151))))*Lookup_Lists!$D$120)/(Lookup_Lists!$D$118+Lookup_Lists!$D$119+Lookup_Lists!$D$120),0)</f>
      </c>
      <c r="R17" s="47">
        <f>IF(Brand_Profile!$D$68=0,Lookup_Lists!$D$150,ROUND((IF(Brand_Profile!$D$63="",0,IF(ISNUMBER(SEARCH(Brand_Profile!$D$63,KOL_Database!$AG$16)),1,0))+IF(Brand_Profile!$D$64="",0,IF(ISNUMBER(SEARCH(Brand_Profile!$D$64,KOL_Database!$AG$16)),1,0))+IF(Brand_Profile!$D$65="",0,IF(ISNUMBER(SEARCH(Brand_Profile!$D$65,KOL_Database!$AG$16)),1,0))+IF(Brand_Profile!$D$66="",0,IF(ISNUMBER(SEARCH(Brand_Profile!$D$66,KOL_Database!$AG$16)),1,0))+IF(Brand_Profile!$D$67="",0,IF(ISNUMBER(SEARCH(Brand_Profile!$D$67,KOL_Database!$AG$16)),1,0)))/Brand_Profile!$D$68*100,0))</f>
      </c>
      <c r="S17" s="47">
        <f>ROUND((Matching_Engine!$O$17*Brand_Profile!$D$96+Matching_Engine!$P$17*Brand_Profile!$D$97+Matching_Engine!$Q$17*Brand_Profile!$D$98+Matching_Engine!$R$17*Brand_Profile!$D$99)/MAX(1,Brand_Profile!$D$96+Brand_Profile!$D$97+Brand_Profile!$D$98+Brand_Profile!$D$99),0)</f>
      </c>
      <c r="T17" s="47">
        <f>IF(Brand_Profile!$D$33="",Lookup_Lists!$D$150,Matching_Engine!$BD$17)</f>
      </c>
      <c r="U17" s="47">
        <f>IF(Brand_Profile!$D$34="",Lookup_Lists!$D$150,IF(Brand_Profile!$D$34=KOL_Database!$F$16,100,IF(Matching_Engine!$BE$17=KOL_Database!$E$16,75,IF(Matching_Engine!$BD$17&gt;=80,Lookup_Lists!$D$150,IF(Matching_Engine!$BD$17&gt;=60,35,Lookup_Lists!$D$151)))))</f>
      </c>
      <c r="V17" s="47">
        <f>IF(Brand_Profile!$D$86=0,Lookup_Lists!$D$150,ROUND((IF(Brand_Profile!$D$81="",0,IF(ISNUMBER(SEARCH(Brand_Profile!$D$81,Matching_Engine!$BG$17)),1,0))+IF(Brand_Profile!$D$82="",0,IF(ISNUMBER(SEARCH(Brand_Profile!$D$82,Matching_Engine!$BG$17)),1,0))+IF(Brand_Profile!$D$83="",0,IF(ISNUMBER(SEARCH(Brand_Profile!$D$83,Matching_Engine!$BG$17)),1,0))+IF(Brand_Profile!$D$84="",0,IF(ISNUMBER(SEARCH(Brand_Profile!$D$84,Matching_Engine!$BG$17)),1,0))+IF(Brand_Profile!$D$85="",0,IF(ISNUMBER(SEARCH(Brand_Profile!$D$85,Matching_Engine!$BG$17)),1,0)))/Brand_Profile!$D$86*100,0))</f>
      </c>
      <c r="W17" s="47">
        <f>IF(Brand_Profile!$D$39="",Lookup_Lists!$D$150,IFERROR(INDEX(Lookup_Lists!$B$237:$K$246,MATCH(Brand_Profile!$D$39,Lookup_Lists!$A$237:$A$246,0),MATCH(KOL_Database!$AJ$16,Lookup_Lists!$B$236:$K$236,0)),45))</f>
      </c>
      <c r="X17" s="47">
        <f>ROUND((Matching_Engine!$T$17*Lookup_Lists!$D$121+Matching_Engine!$U$17*Lookup_Lists!$D$122+Matching_Engine!$V$17*Lookup_Lists!$D$123+Matching_Engine!$W$17*Lookup_Lists!$D$124)/(Lookup_Lists!$D$121+Lookup_Lists!$D$122+Lookup_Lists!$D$123+Lookup_Lists!$D$124),0)</f>
      </c>
      <c r="Y17" s="47">
        <f>MIN(100,MAX(IFERROR(INDEX(Lookup_Lists!$B$202:$M$211,MATCH(Brand_Profile!$D$25,Lookup_Lists!$A$202:$A$211,0),MATCH(KOL_Database!$AK$16,Lookup_Lists!$B$201:$M$201,0)),40),IF(KOL_Database!$AK$16=Brand_Profile!$D$41,95,0)))</f>
      </c>
      <c r="Z17" s="47">
        <f>IFERROR(INDEX(Lookup_Lists!$B$215:$K$222,MATCH(Brand_Profile!$D$27,Lookup_Lists!$A$215:$A$222,0),MATCH(KOL_Database!$AJ$16,Lookup_Lists!$B$214:$K$214,0)),45)</f>
      </c>
      <c r="AA17" s="47">
        <f>ROUND((IF(Brand_Profile!$D$80=0,Lookup_Lists!$D$150,ROUND((IF(Brand_Profile!$D$75="",0,IF(ISNUMBER(SEARCH(Brand_Profile!$D$75,KOL_Database!$AL$16)),1,0))+IF(Brand_Profile!$D$76="",0,IF(ISNUMBER(SEARCH(Brand_Profile!$D$76,KOL_Database!$AL$16)),1,0))+IF(Brand_Profile!$D$77="",0,IF(ISNUMBER(SEARCH(Brand_Profile!$D$77,KOL_Database!$AL$16)),1,0))+IF(Brand_Profile!$D$78="",0,IF(ISNUMBER(SEARCH(Brand_Profile!$D$78,KOL_Database!$AL$16)),1,0))+IF(Brand_Profile!$D$79="",0,IF(ISNUMBER(SEARCH(Brand_Profile!$D$79,KOL_Database!$AL$16)),1,0)))/Brand_Profile!$D$80*100,0))+IF(Brand_Profile!$D$92=0,Lookup_Lists!$D$150,ROUND((IF(Brand_Profile!$D$87="",0,IF(ISNUMBER(SEARCH(Brand_Profile!$D$87,KOL_Database!$AL$16)),1,0))+IF(Brand_Profile!$D$88="",0,IF(ISNUMBER(SEARCH(Brand_Profile!$D$88,KOL_Database!$AL$16)),1,0))+IF(Brand_Profile!$D$89="",0,IF(ISNUMBER(SEARCH(Brand_Profile!$D$89,KOL_Database!$AL$16)),1,0))+IF(Brand_Profile!$D$90="",0,IF(ISNUMBER(SEARCH(Brand_Profile!$D$90,KOL_Database!$AL$16)),1,0))+IF(Brand_Profile!$D$91="",0,IF(ISNUMBER(SEARCH(Brand_Profile!$D$91,KOL_Database!$AL$16)),1,0)))/Brand_Profile!$D$92*100,0)))/2,0)</f>
      </c>
      <c r="AB17" s="47">
        <f>IFERROR(INDEX(Lookup_Lists!$B$226:$K$233,MATCH(Brand_Profile!$D$30,Lookup_Lists!$A$226:$A$233,0),MATCH(KOL_Database!$AJ$16,Lookup_Lists!$B$225:$K$225,0)),45)</f>
      </c>
      <c r="AC17" s="47">
        <f>ROUND((Matching_Engine!$Y$17*Lookup_Lists!$D$125+Matching_Engine!$Z$17*Lookup_Lists!$D$126+Matching_Engine!$AA$17*Lookup_Lists!$D$127+Matching_Engine!$AB$17*Lookup_Lists!$D$128)/(Lookup_Lists!$D$125+Lookup_Lists!$D$126+Lookup_Lists!$D$127+Lookup_Lists!$D$128),0)</f>
      </c>
      <c r="AD17" s="47">
        <f>IF(KOL_Database!$K$16="",0,MIN(100,ROUND(KOL_Database!$K$16/Lookup_Lists!$D$141*100,0)))</f>
      </c>
      <c r="AE17" s="47">
        <f>IF(KOL_Database!$R$16="",0,MIN(100,MAX(0,KOL_Database!$R$16)))</f>
      </c>
      <c r="AF17" s="47">
        <f>IF(KOL_Database!$P$16="",0,MIN(100,MAX(0,KOL_Database!$P$16)))</f>
      </c>
      <c r="AG17" s="47">
        <f>IF(KOL_Database!$Q$16="",0,MIN(100,MAX(0,KOL_Database!$Q$16)))</f>
      </c>
      <c r="AH17" s="47">
        <f>IF(OR(KOL_Database!$J$16="",KOL_Database!$J$16=0,KOL_Database!$L$16=""),0,MIN(100,ROUND(KOL_Database!$L$16/KOL_Database!$J$16/Lookup_Lists!$D$144*100,0)))</f>
      </c>
      <c r="AI17" s="47">
        <f>IF(KOL_Database!$N$16="",0,MIN(100,MAX(0,ROUND((KOL_Database!$N$16+2)/(Lookup_Lists!$D$145+2)*100,0))))</f>
      </c>
      <c r="AJ17" s="47">
        <f>ROUND((Matching_Engine!$AD$17*Lookup_Lists!$D$129+Matching_Engine!$AE$17*Lookup_Lists!$D$130+Matching_Engine!$AF$17*Lookup_Lists!$D$131+Matching_Engine!$AG$17*Lookup_Lists!$D$132+Matching_Engine!$AH$17*Lookup_Lists!$D$133+Matching_Engine!$AI$17*Lookup_Lists!$D$134)/(Lookup_Lists!$D$129+Lookup_Lists!$D$130+Lookup_Lists!$D$131+Lookup_Lists!$D$132+Lookup_Lists!$D$133+Lookup_Lists!$D$134),0)</f>
      </c>
      <c r="AK17" s="47">
        <f>IF(KOL_Database!$AT$16="",0,MIN(100,MAX(0,KOL_Database!$AT$16)))</f>
      </c>
      <c r="AL17" s="47">
        <f>IF(KOL_Database!$AU$16="",0,KOL_Database!$AU$16)</f>
      </c>
      <c r="AM17" s="44">
        <f>IF(KOL_Database!$AV$16="","None",KOL_Database!$AV$16)</f>
      </c>
      <c r="AN17" s="48">
        <f>IF(Matching_Engine!$AM$17="High",Lookup_Lists!$D$137,IF(Matching_Engine!$AM$17="Medium",Lookup_Lists!$D$138,IF(Matching_Engine!$AM$17="Low",Lookup_Lists!$D$139,Lookup_Lists!$D$140)))</f>
      </c>
      <c r="AO17" s="47">
        <f>ROUND(MIN(100,MAX(0,(Matching_Engine!$AK$17*Lookup_Lists!$D$135+(100-Matching_Engine!$AL$17)*Lookup_Lists!$D$136)/(Lookup_Lists!$D$135+Lookup_Lists!$D$136)*Matching_Engine!$AN$17)),0)</f>
      </c>
      <c r="AP17" s="49">
        <f>ROUND((Matching_Engine!$N$17*Lookup_Lists!$D$104+Matching_Engine!$S$17*Lookup_Lists!$D$105+Matching_Engine!$X$17*Lookup_Lists!$D$106+Matching_Engine!$AC$17*Lookup_Lists!$D$107+Matching_Engine!$AJ$17*Lookup_Lists!$D$108+Matching_Engine!$AO$17*Lookup_Lists!$D$109)/MAX(1,(Lookup_Lists!$D$104+Lookup_Lists!$D$105+Lookup_Lists!$D$106+Lookup_Lists!$D$107+Lookup_Lists!$D$108+Lookup_Lists!$D$109)),0)</f>
      </c>
      <c r="AQ17" s="44">
        <f>IF(Matching_Engine!$AP$17&gt;=Lookup_Lists!$D$152,"Excellent Match",IF(Matching_Engine!$AP$17&gt;=Lookup_Lists!$D$153,"Strong Match",IF(Matching_Engine!$AP$17&gt;=Lookup_Lists!$D$154,"Good Match",IF(Matching_Engine!$AP$17&gt;=Lookup_Lists!$D$155,"Moderate Match","Low Match"))))</f>
      </c>
      <c r="AR17" s="47">
        <f>KOL_Database!$BE$16</f>
      </c>
      <c r="AS17" s="44">
        <f>IF(Matching_Engine!$AR$17&gt;=Lookup_Lists!$D$159,"High",IF(Matching_Engine!$AR$17&gt;=Lookup_Lists!$D$160,"Medium","Limited Data"))</f>
      </c>
      <c r="AT17" s="47">
        <f>ROUND((Matching_Engine!$N$17+Matching_Engine!$X$17+Matching_Engine!$AC$17)/3,0)</f>
      </c>
      <c r="AU17" s="47">
        <f>ROUND(((100-Matching_Engine!$AL$17)*Lookup_Lists!$D$162+IF(KOL_Database!$BD$16="",Lookup_Lists!$D$150,KOL_Database!$BD$16)*Lookup_Lists!$D$163+Matching_Engine!$AI$17*Lookup_Lists!$D$164+Matching_Engine!$AD$17*Lookup_Lists!$D$165)/(Lookup_Lists!$D$162+Lookup_Lists!$D$163+Lookup_Lists!$D$164+Lookup_Lists!$D$165),0)</f>
      </c>
      <c r="AV17" s="44">
        <f>IF(Matching_Engine!$AW$17="","PASS","EXCLUDED")</f>
      </c>
      <c r="AW17" s="44">
        <f>IF(ISERROR(SEARCH(KOL_Database!$D$16,Brand_Profile!$D$32)),"Platform not in Preferred Platform",IF(AND(Brand_Profile!$D$36&gt;0,KOL_Database!$J$16&lt;Brand_Profile!$D$36),"Followers below Preferred Follower Range",IF(AND(Brand_Profile!$D$37&gt;0,KOL_Database!$J$16&gt;Brand_Profile!$D$37),"Followers above Preferred Follower Range",IF(AND(Brand_Profile!$D$38&gt;0,IF(KOL_Database!$K$16="",0,KOL_Database!$K$16)&lt;Brand_Profile!$D$38),"Engagement Rate below Minimum Engagement Rate",IF(ISERROR(SEARCH(KOL_Database!$G$16,Brand_Profile!$D$35)),"Tier not in Preferred Tier",IF(AND(Brand_Profile!$D$43&gt;0,Matching_Engine!$AE$17&lt;Brand_Profile!$D$43),"Audience Quality below Minimum Audience Quality",IF(AND(Brand_Profile!$D$44&gt;0,Matching_Engine!$AK$17&lt;Brand_Profile!$D$44),"Brand Safety below Minimum Brand Safety",IF(AND(Brand_Profile!$D$47="Yes",KOL_Database!$AD$16&lt;&gt;Brand_Profile!$D$19),"Audience Country does not match Target Country",IF(AND(Brand_Profile!$D$46="Yes",KOL_Database!$E$16&lt;&gt;Brand_Profile!$D$33),"Category is not the Preferred Category",IF(AND(Brand_Profile!$D$48&gt;0,Matching_Engine!$AL$17&gt;Brand_Profile!$D$48),"Competitor Saturation above Max Competitor Saturation",IF(AND(Brand_Profile!$D$50="Yes",KOL_Database!$AW$16="Yes"),"Already Selected",IF(AND(Brand_Profile!$D$51="Yes",KOL_Database!$AX$16="Yes"),"Already in Cart",IF(AND(Brand_Profile!$D$52="Yes",KOL_Database!$AY$16="Yes"),"Existing Partner",IF(AND(Brand_Profile!$D$53="Yes",KOL_Database!$AZ$16="Yes"),"Excluded Creator",IF(AND(Brand_Profile!$D$49&gt;0,Matching_Engine!$AP$17&lt;Brand_Profile!$D$49),"Brand Match below Minimum Brand Match","")))))))))))))))</f>
      </c>
      <c r="AX17" s="44">
        <f>IF(Matching_Engine!$AV$17="EXCLUDED","Excluded",IF(Matching_Engine!$AP$17&gt;=Lookup_Lists!$D$156,"Highly Recommended",IF(Matching_Engine!$AP$17&gt;=Lookup_Lists!$D$157,"Recommended",IF(Matching_Engine!$AP$17&gt;=Lookup_Lists!$D$158,"Consider","Low Priority"))))</f>
      </c>
      <c r="AY17" s="47">
        <f>IF(Matching_Engine!$AV$17="PASS",Matching_Engine!$AP$17,"")</f>
      </c>
      <c r="AZ17" s="44">
        <f>Matching_Engine!$A$17&amp;"|"&amp;Matching_Engine!$C$17</f>
      </c>
      <c r="BA17" s="44">
        <f>IFERROR(INDEX(Lookup_Lists!$B$51:$B$92,MATCH(Brand_Profile!$D$12,Lookup_Lists!$A$51:$A$92,0)),"")</f>
      </c>
      <c r="BB17" s="44">
        <f>IFERROR(INDEX(Lookup_Lists!$B$51:$B$92,MATCH(KOL_Database!$F$16,Lookup_Lists!$A$51:$A$92,0)),"")</f>
      </c>
      <c r="BC17" s="47">
        <f>IFERROR(INDEX(Lookup_Lists!$B$185:$O$198,MATCH(Matching_Engine!$BA$17,Lookup_Lists!$A$185:$A$198,0),MATCH(KOL_Database!$E$16,Lookup_Lists!$B$184:$O$184,0)),Lookup_Lists!$D$151)</f>
      </c>
      <c r="BD17" s="47">
        <f>IFERROR(INDEX(Lookup_Lists!$B$185:$O$198,MATCH(Brand_Profile!$D$33,Lookup_Lists!$A$185:$A$198,0),MATCH(KOL_Database!$E$16,Lookup_Lists!$B$184:$O$184,0)),Lookup_Lists!$D$151)</f>
      </c>
      <c r="BE17" s="44">
        <f>IFERROR(INDEX(Lookup_Lists!$B$51:$B$92,MATCH(Brand_Profile!$D$34,Lookup_Lists!$A$51:$A$92,0)),"")</f>
      </c>
      <c r="BF17" s="44">
        <f>KOL_Database!$AI$16&amp;", "&amp;KOL_Database!$AG$16&amp;", "&amp;KOL_Database!$F$16&amp;", "&amp;KOL_Database!$E$16</f>
      </c>
      <c r="BG17" s="44">
        <f>KOL_Database!$AI$16&amp;", "&amp;KOL_Database!$AG$16</f>
      </c>
    </row>
    <row r="18" spans="1:59" x14ac:dyDescent="0.25">
      <c r="A18" s="43" t="s">
        <v>71</v>
      </c>
      <c r="B18" s="44">
        <f>Brand_Profile!$D$9</f>
      </c>
      <c r="C18" s="44">
        <f>KOL_Database!$A$17</f>
      </c>
      <c r="D18" s="44">
        <f>KOL_Database!$B$17</f>
      </c>
      <c r="E18" s="44">
        <f>KOL_Database!$C$17</f>
      </c>
      <c r="F18" s="44">
        <f>KOL_Database!$D$17</f>
      </c>
      <c r="G18" s="44">
        <f>KOL_Database!$E$17</f>
      </c>
      <c r="H18" s="44">
        <f>KOL_Database!$G$17</f>
      </c>
      <c r="I18" s="45">
        <f>KOL_Database!$J$17</f>
      </c>
      <c r="J18" s="46">
        <f>KOL_Database!$K$17</f>
      </c>
      <c r="K18" s="47">
        <f>IFERROR(INDEX(Lookup_Lists!$B$170:$O$181,MATCH(Brand_Profile!$D$10,Lookup_Lists!$A$170:$A$181,0),MATCH(KOL_Database!$E$17,Lookup_Lists!$B$169:$O$169,0)),Lookup_Lists!$D$151)</f>
      </c>
      <c r="L18" s="47">
        <f>IF(KOL_Database!$F$17="",Matching_Engine!$BC$18,IF(Brand_Profile!$D$12=KOL_Database!$F$17,100,IF(Matching_Engine!$BA$18=KOL_Database!$E$17,80,IF(Matching_Engine!$BC$18&gt;=80,60,IF(Matching_Engine!$BC$18&gt;=60,40,Lookup_Lists!$D$151)))))</f>
      </c>
      <c r="M18" s="47">
        <f>ROUND((IF(Brand_Profile!$D$62=0,Lookup_Lists!$D$150,ROUND((IF(Brand_Profile!$D$57="",0,IF(ISNUMBER(SEARCH(Brand_Profile!$D$57,Matching_Engine!$BF$18)),1,0))+IF(Brand_Profile!$D$58="",0,IF(ISNUMBER(SEARCH(Brand_Profile!$D$58,Matching_Engine!$BF$18)),1,0))+IF(Brand_Profile!$D$59="",0,IF(ISNUMBER(SEARCH(Brand_Profile!$D$59,Matching_Engine!$BF$18)),1,0))+IF(Brand_Profile!$D$60="",0,IF(ISNUMBER(SEARCH(Brand_Profile!$D$60,Matching_Engine!$BF$18)),1,0))+IF(Brand_Profile!$D$61="",0,IF(ISNUMBER(SEARCH(Brand_Profile!$D$61,Matching_Engine!$BF$18)),1,0)))/Brand_Profile!$D$62*100,0))+IF(Brand_Profile!$D$74=0,Lookup_Lists!$D$150,ROUND((IF(Brand_Profile!$D$69="",0,IF(ISNUMBER(SEARCH(Brand_Profile!$D$69,Matching_Engine!$BF$18)),1,0))+IF(Brand_Profile!$D$70="",0,IF(ISNUMBER(SEARCH(Brand_Profile!$D$70,Matching_Engine!$BF$18)),1,0))+IF(Brand_Profile!$D$71="",0,IF(ISNUMBER(SEARCH(Brand_Profile!$D$71,Matching_Engine!$BF$18)),1,0))+IF(Brand_Profile!$D$72="",0,IF(ISNUMBER(SEARCH(Brand_Profile!$D$72,Matching_Engine!$BF$18)),1,0))+IF(Brand_Profile!$D$73="",0,IF(ISNUMBER(SEARCH(Brand_Profile!$D$73,Matching_Engine!$BF$18)),1,0)))/Brand_Profile!$D$74*100,0)))/2,0)</f>
      </c>
      <c r="N18" s="47">
        <f>ROUND((Matching_Engine!$K$18*Lookup_Lists!$D$110+Matching_Engine!$L$18*Lookup_Lists!$D$111+Matching_Engine!$M$18*Lookup_Lists!$D$112)/(Lookup_Lists!$D$110+Lookup_Lists!$D$111+Lookup_Lists!$D$112),0)</f>
      </c>
      <c r="O18" s="47">
        <f>IF(Brand_Profile!$D$16="",Lookup_Lists!$D$150,MIN(100,ROUND((IFERROR(INDEX(KOL_Database!$W$17:KOL_Database!$AA$17,1,MATCH(Brand_Profile!$D$16,Lookup_Lists!$F$6:$F$10,0)),0)+0.5*IFERROR(INDEX(KOL_Database!$W$17:KOL_Database!$AA$17,1,MATCH(Brand_Profile!$D$17,Lookup_Lists!$F$6:$F$10,0)),0))/Lookup_Lists!$D$142*100,0)))</f>
      </c>
      <c r="P18" s="47">
        <f>IF(OR(Brand_Profile!$D$18="",Brand_Profile!$D$18="Any"),100,IF(Brand_Profile!$D$18="Female",MIN(100,ROUND(KOL_Database!$AB$17/Lookup_Lists!$D$143*100,0)),IF(Brand_Profile!$D$18="Male",MIN(100,ROUND(KOL_Database!$AC$17/Lookup_Lists!$D$143*100,0)),MAX(0,ROUND(100-ABS(KOL_Database!$AB$17-50)*2,0)))))</f>
      </c>
      <c r="Q18" s="47">
        <f>ROUND((IF(Brand_Profile!$D$19="",100,IF(KOL_Database!$AD$17=Brand_Profile!$D$19,100,Lookup_Lists!$D$151))*Lookup_Lists!$D$118+IF(OR(Brand_Profile!$D$20="",Brand_Profile!$D$20="Nasional"),100,IF(KOL_Database!$AE$17="",Lookup_Lists!$D$150,IF(KOL_Database!$AE$17=Brand_Profile!$D$20,100,IF(KOL_Database!$AD$17=Brand_Profile!$D$19,40,Lookup_Lists!$D$151))))*Lookup_Lists!$D$119+IF(OR(Brand_Profile!$D$21="",Brand_Profile!$D$21="Nasional"),100,IF(KOL_Database!$AF$17="",Lookup_Lists!$D$150,IF(KOL_Database!$AF$17=Brand_Profile!$D$21,100,IF(KOL_Database!$AE$17=Brand_Profile!$D$20,60,Lookup_Lists!$D$151))))*Lookup_Lists!$D$120)/(Lookup_Lists!$D$118+Lookup_Lists!$D$119+Lookup_Lists!$D$120),0)</f>
      </c>
      <c r="R18" s="47">
        <f>IF(Brand_Profile!$D$68=0,Lookup_Lists!$D$150,ROUND((IF(Brand_Profile!$D$63="",0,IF(ISNUMBER(SEARCH(Brand_Profile!$D$63,KOL_Database!$AG$17)),1,0))+IF(Brand_Profile!$D$64="",0,IF(ISNUMBER(SEARCH(Brand_Profile!$D$64,KOL_Database!$AG$17)),1,0))+IF(Brand_Profile!$D$65="",0,IF(ISNUMBER(SEARCH(Brand_Profile!$D$65,KOL_Database!$AG$17)),1,0))+IF(Brand_Profile!$D$66="",0,IF(ISNUMBER(SEARCH(Brand_Profile!$D$66,KOL_Database!$AG$17)),1,0))+IF(Brand_Profile!$D$67="",0,IF(ISNUMBER(SEARCH(Brand_Profile!$D$67,KOL_Database!$AG$17)),1,0)))/Brand_Profile!$D$68*100,0))</f>
      </c>
      <c r="S18" s="47">
        <f>ROUND((Matching_Engine!$O$18*Brand_Profile!$D$96+Matching_Engine!$P$18*Brand_Profile!$D$97+Matching_Engine!$Q$18*Brand_Profile!$D$98+Matching_Engine!$R$18*Brand_Profile!$D$99)/MAX(1,Brand_Profile!$D$96+Brand_Profile!$D$97+Brand_Profile!$D$98+Brand_Profile!$D$99),0)</f>
      </c>
      <c r="T18" s="47">
        <f>IF(Brand_Profile!$D$33="",Lookup_Lists!$D$150,Matching_Engine!$BD$18)</f>
      </c>
      <c r="U18" s="47">
        <f>IF(Brand_Profile!$D$34="",Lookup_Lists!$D$150,IF(Brand_Profile!$D$34=KOL_Database!$F$17,100,IF(Matching_Engine!$BE$18=KOL_Database!$E$17,75,IF(Matching_Engine!$BD$18&gt;=80,Lookup_Lists!$D$150,IF(Matching_Engine!$BD$18&gt;=60,35,Lookup_Lists!$D$151)))))</f>
      </c>
      <c r="V18" s="47">
        <f>IF(Brand_Profile!$D$86=0,Lookup_Lists!$D$150,ROUND((IF(Brand_Profile!$D$81="",0,IF(ISNUMBER(SEARCH(Brand_Profile!$D$81,Matching_Engine!$BG$18)),1,0))+IF(Brand_Profile!$D$82="",0,IF(ISNUMBER(SEARCH(Brand_Profile!$D$82,Matching_Engine!$BG$18)),1,0))+IF(Brand_Profile!$D$83="",0,IF(ISNUMBER(SEARCH(Brand_Profile!$D$83,Matching_Engine!$BG$18)),1,0))+IF(Brand_Profile!$D$84="",0,IF(ISNUMBER(SEARCH(Brand_Profile!$D$84,Matching_Engine!$BG$18)),1,0))+IF(Brand_Profile!$D$85="",0,IF(ISNUMBER(SEARCH(Brand_Profile!$D$85,Matching_Engine!$BG$18)),1,0)))/Brand_Profile!$D$86*100,0))</f>
      </c>
      <c r="W18" s="47">
        <f>IF(Brand_Profile!$D$39="",Lookup_Lists!$D$150,IFERROR(INDEX(Lookup_Lists!$B$237:$K$246,MATCH(Brand_Profile!$D$39,Lookup_Lists!$A$237:$A$246,0),MATCH(KOL_Database!$AJ$17,Lookup_Lists!$B$236:$K$236,0)),45))</f>
      </c>
      <c r="X18" s="47">
        <f>ROUND((Matching_Engine!$T$18*Lookup_Lists!$D$121+Matching_Engine!$U$18*Lookup_Lists!$D$122+Matching_Engine!$V$18*Lookup_Lists!$D$123+Matching_Engine!$W$18*Lookup_Lists!$D$124)/(Lookup_Lists!$D$121+Lookup_Lists!$D$122+Lookup_Lists!$D$123+Lookup_Lists!$D$124),0)</f>
      </c>
      <c r="Y18" s="47">
        <f>MIN(100,MAX(IFERROR(INDEX(Lookup_Lists!$B$202:$M$211,MATCH(Brand_Profile!$D$25,Lookup_Lists!$A$202:$A$211,0),MATCH(KOL_Database!$AK$17,Lookup_Lists!$B$201:$M$201,0)),40),IF(KOL_Database!$AK$17=Brand_Profile!$D$41,95,0)))</f>
      </c>
      <c r="Z18" s="47">
        <f>IFERROR(INDEX(Lookup_Lists!$B$215:$K$222,MATCH(Brand_Profile!$D$27,Lookup_Lists!$A$215:$A$222,0),MATCH(KOL_Database!$AJ$17,Lookup_Lists!$B$214:$K$214,0)),45)</f>
      </c>
      <c r="AA18" s="47">
        <f>ROUND((IF(Brand_Profile!$D$80=0,Lookup_Lists!$D$150,ROUND((IF(Brand_Profile!$D$75="",0,IF(ISNUMBER(SEARCH(Brand_Profile!$D$75,KOL_Database!$AL$17)),1,0))+IF(Brand_Profile!$D$76="",0,IF(ISNUMBER(SEARCH(Brand_Profile!$D$76,KOL_Database!$AL$17)),1,0))+IF(Brand_Profile!$D$77="",0,IF(ISNUMBER(SEARCH(Brand_Profile!$D$77,KOL_Database!$AL$17)),1,0))+IF(Brand_Profile!$D$78="",0,IF(ISNUMBER(SEARCH(Brand_Profile!$D$78,KOL_Database!$AL$17)),1,0))+IF(Brand_Profile!$D$79="",0,IF(ISNUMBER(SEARCH(Brand_Profile!$D$79,KOL_Database!$AL$17)),1,0)))/Brand_Profile!$D$80*100,0))+IF(Brand_Profile!$D$92=0,Lookup_Lists!$D$150,ROUND((IF(Brand_Profile!$D$87="",0,IF(ISNUMBER(SEARCH(Brand_Profile!$D$87,KOL_Database!$AL$17)),1,0))+IF(Brand_Profile!$D$88="",0,IF(ISNUMBER(SEARCH(Brand_Profile!$D$88,KOL_Database!$AL$17)),1,0))+IF(Brand_Profile!$D$89="",0,IF(ISNUMBER(SEARCH(Brand_Profile!$D$89,KOL_Database!$AL$17)),1,0))+IF(Brand_Profile!$D$90="",0,IF(ISNUMBER(SEARCH(Brand_Profile!$D$90,KOL_Database!$AL$17)),1,0))+IF(Brand_Profile!$D$91="",0,IF(ISNUMBER(SEARCH(Brand_Profile!$D$91,KOL_Database!$AL$17)),1,0)))/Brand_Profile!$D$92*100,0)))/2,0)</f>
      </c>
      <c r="AB18" s="47">
        <f>IFERROR(INDEX(Lookup_Lists!$B$226:$K$233,MATCH(Brand_Profile!$D$30,Lookup_Lists!$A$226:$A$233,0),MATCH(KOL_Database!$AJ$17,Lookup_Lists!$B$225:$K$225,0)),45)</f>
      </c>
      <c r="AC18" s="47">
        <f>ROUND((Matching_Engine!$Y$18*Lookup_Lists!$D$125+Matching_Engine!$Z$18*Lookup_Lists!$D$126+Matching_Engine!$AA$18*Lookup_Lists!$D$127+Matching_Engine!$AB$18*Lookup_Lists!$D$128)/(Lookup_Lists!$D$125+Lookup_Lists!$D$126+Lookup_Lists!$D$127+Lookup_Lists!$D$128),0)</f>
      </c>
      <c r="AD18" s="47">
        <f>IF(KOL_Database!$K$17="",0,MIN(100,ROUND(KOL_Database!$K$17/Lookup_Lists!$D$141*100,0)))</f>
      </c>
      <c r="AE18" s="47">
        <f>IF(KOL_Database!$R$17="",0,MIN(100,MAX(0,KOL_Database!$R$17)))</f>
      </c>
      <c r="AF18" s="47">
        <f>IF(KOL_Database!$P$17="",0,MIN(100,MAX(0,KOL_Database!$P$17)))</f>
      </c>
      <c r="AG18" s="47">
        <f>IF(KOL_Database!$Q$17="",0,MIN(100,MAX(0,KOL_Database!$Q$17)))</f>
      </c>
      <c r="AH18" s="47">
        <f>IF(OR(KOL_Database!$J$17="",KOL_Database!$J$17=0,KOL_Database!$L$17=""),0,MIN(100,ROUND(KOL_Database!$L$17/KOL_Database!$J$17/Lookup_Lists!$D$144*100,0)))</f>
      </c>
      <c r="AI18" s="47">
        <f>IF(KOL_Database!$N$17="",0,MIN(100,MAX(0,ROUND((KOL_Database!$N$17+2)/(Lookup_Lists!$D$145+2)*100,0))))</f>
      </c>
      <c r="AJ18" s="47">
        <f>ROUND((Matching_Engine!$AD$18*Lookup_Lists!$D$129+Matching_Engine!$AE$18*Lookup_Lists!$D$130+Matching_Engine!$AF$18*Lookup_Lists!$D$131+Matching_Engine!$AG$18*Lookup_Lists!$D$132+Matching_Engine!$AH$18*Lookup_Lists!$D$133+Matching_Engine!$AI$18*Lookup_Lists!$D$134)/(Lookup_Lists!$D$129+Lookup_Lists!$D$130+Lookup_Lists!$D$131+Lookup_Lists!$D$132+Lookup_Lists!$D$133+Lookup_Lists!$D$134),0)</f>
      </c>
      <c r="AK18" s="47">
        <f>IF(KOL_Database!$AT$17="",0,MIN(100,MAX(0,KOL_Database!$AT$17)))</f>
      </c>
      <c r="AL18" s="47">
        <f>IF(KOL_Database!$AU$17="",0,KOL_Database!$AU$17)</f>
      </c>
      <c r="AM18" s="44">
        <f>IF(KOL_Database!$AV$17="","None",KOL_Database!$AV$17)</f>
      </c>
      <c r="AN18" s="48">
        <f>IF(Matching_Engine!$AM$18="High",Lookup_Lists!$D$137,IF(Matching_Engine!$AM$18="Medium",Lookup_Lists!$D$138,IF(Matching_Engine!$AM$18="Low",Lookup_Lists!$D$139,Lookup_Lists!$D$140)))</f>
      </c>
      <c r="AO18" s="47">
        <f>ROUND(MIN(100,MAX(0,(Matching_Engine!$AK$18*Lookup_Lists!$D$135+(100-Matching_Engine!$AL$18)*Lookup_Lists!$D$136)/(Lookup_Lists!$D$135+Lookup_Lists!$D$136)*Matching_Engine!$AN$18)),0)</f>
      </c>
      <c r="AP18" s="49">
        <f>ROUND((Matching_Engine!$N$18*Lookup_Lists!$D$104+Matching_Engine!$S$18*Lookup_Lists!$D$105+Matching_Engine!$X$18*Lookup_Lists!$D$106+Matching_Engine!$AC$18*Lookup_Lists!$D$107+Matching_Engine!$AJ$18*Lookup_Lists!$D$108+Matching_Engine!$AO$18*Lookup_Lists!$D$109)/MAX(1,(Lookup_Lists!$D$104+Lookup_Lists!$D$105+Lookup_Lists!$D$106+Lookup_Lists!$D$107+Lookup_Lists!$D$108+Lookup_Lists!$D$109)),0)</f>
      </c>
      <c r="AQ18" s="44">
        <f>IF(Matching_Engine!$AP$18&gt;=Lookup_Lists!$D$152,"Excellent Match",IF(Matching_Engine!$AP$18&gt;=Lookup_Lists!$D$153,"Strong Match",IF(Matching_Engine!$AP$18&gt;=Lookup_Lists!$D$154,"Good Match",IF(Matching_Engine!$AP$18&gt;=Lookup_Lists!$D$155,"Moderate Match","Low Match"))))</f>
      </c>
      <c r="AR18" s="47">
        <f>KOL_Database!$BE$17</f>
      </c>
      <c r="AS18" s="44">
        <f>IF(Matching_Engine!$AR$18&gt;=Lookup_Lists!$D$159,"High",IF(Matching_Engine!$AR$18&gt;=Lookup_Lists!$D$160,"Medium","Limited Data"))</f>
      </c>
      <c r="AT18" s="47">
        <f>ROUND((Matching_Engine!$N$18+Matching_Engine!$X$18+Matching_Engine!$AC$18)/3,0)</f>
      </c>
      <c r="AU18" s="47">
        <f>ROUND(((100-Matching_Engine!$AL$18)*Lookup_Lists!$D$162+IF(KOL_Database!$BD$17="",Lookup_Lists!$D$150,KOL_Database!$BD$17)*Lookup_Lists!$D$163+Matching_Engine!$AI$18*Lookup_Lists!$D$164+Matching_Engine!$AD$18*Lookup_Lists!$D$165)/(Lookup_Lists!$D$162+Lookup_Lists!$D$163+Lookup_Lists!$D$164+Lookup_Lists!$D$165),0)</f>
      </c>
      <c r="AV18" s="44">
        <f>IF(Matching_Engine!$AW$18="","PASS","EXCLUDED")</f>
      </c>
      <c r="AW18" s="44">
        <f>IF(ISERROR(SEARCH(KOL_Database!$D$17,Brand_Profile!$D$32)),"Platform not in Preferred Platform",IF(AND(Brand_Profile!$D$36&gt;0,KOL_Database!$J$17&lt;Brand_Profile!$D$36),"Followers below Preferred Follower Range",IF(AND(Brand_Profile!$D$37&gt;0,KOL_Database!$J$17&gt;Brand_Profile!$D$37),"Followers above Preferred Follower Range",IF(AND(Brand_Profile!$D$38&gt;0,IF(KOL_Database!$K$17="",0,KOL_Database!$K$17)&lt;Brand_Profile!$D$38),"Engagement Rate below Minimum Engagement Rate",IF(ISERROR(SEARCH(KOL_Database!$G$17,Brand_Profile!$D$35)),"Tier not in Preferred Tier",IF(AND(Brand_Profile!$D$43&gt;0,Matching_Engine!$AE$18&lt;Brand_Profile!$D$43),"Audience Quality below Minimum Audience Quality",IF(AND(Brand_Profile!$D$44&gt;0,Matching_Engine!$AK$18&lt;Brand_Profile!$D$44),"Brand Safety below Minimum Brand Safety",IF(AND(Brand_Profile!$D$47="Yes",KOL_Database!$AD$17&lt;&gt;Brand_Profile!$D$19),"Audience Country does not match Target Country",IF(AND(Brand_Profile!$D$46="Yes",KOL_Database!$E$17&lt;&gt;Brand_Profile!$D$33),"Category is not the Preferred Category",IF(AND(Brand_Profile!$D$48&gt;0,Matching_Engine!$AL$18&gt;Brand_Profile!$D$48),"Competitor Saturation above Max Competitor Saturation",IF(AND(Brand_Profile!$D$50="Yes",KOL_Database!$AW$17="Yes"),"Already Selected",IF(AND(Brand_Profile!$D$51="Yes",KOL_Database!$AX$17="Yes"),"Already in Cart",IF(AND(Brand_Profile!$D$52="Yes",KOL_Database!$AY$17="Yes"),"Existing Partner",IF(AND(Brand_Profile!$D$53="Yes",KOL_Database!$AZ$17="Yes"),"Excluded Creator",IF(AND(Brand_Profile!$D$49&gt;0,Matching_Engine!$AP$18&lt;Brand_Profile!$D$49),"Brand Match below Minimum Brand Match","")))))))))))))))</f>
      </c>
      <c r="AX18" s="44">
        <f>IF(Matching_Engine!$AV$18="EXCLUDED","Excluded",IF(Matching_Engine!$AP$18&gt;=Lookup_Lists!$D$156,"Highly Recommended",IF(Matching_Engine!$AP$18&gt;=Lookup_Lists!$D$157,"Recommended",IF(Matching_Engine!$AP$18&gt;=Lookup_Lists!$D$158,"Consider","Low Priority"))))</f>
      </c>
      <c r="AY18" s="47">
        <f>IF(Matching_Engine!$AV$18="PASS",Matching_Engine!$AP$18,"")</f>
      </c>
      <c r="AZ18" s="44">
        <f>Matching_Engine!$A$18&amp;"|"&amp;Matching_Engine!$C$18</f>
      </c>
      <c r="BA18" s="44">
        <f>IFERROR(INDEX(Lookup_Lists!$B$51:$B$92,MATCH(Brand_Profile!$D$12,Lookup_Lists!$A$51:$A$92,0)),"")</f>
      </c>
      <c r="BB18" s="44">
        <f>IFERROR(INDEX(Lookup_Lists!$B$51:$B$92,MATCH(KOL_Database!$F$17,Lookup_Lists!$A$51:$A$92,0)),"")</f>
      </c>
      <c r="BC18" s="47">
        <f>IFERROR(INDEX(Lookup_Lists!$B$185:$O$198,MATCH(Matching_Engine!$BA$18,Lookup_Lists!$A$185:$A$198,0),MATCH(KOL_Database!$E$17,Lookup_Lists!$B$184:$O$184,0)),Lookup_Lists!$D$151)</f>
      </c>
      <c r="BD18" s="47">
        <f>IFERROR(INDEX(Lookup_Lists!$B$185:$O$198,MATCH(Brand_Profile!$D$33,Lookup_Lists!$A$185:$A$198,0),MATCH(KOL_Database!$E$17,Lookup_Lists!$B$184:$O$184,0)),Lookup_Lists!$D$151)</f>
      </c>
      <c r="BE18" s="44">
        <f>IFERROR(INDEX(Lookup_Lists!$B$51:$B$92,MATCH(Brand_Profile!$D$34,Lookup_Lists!$A$51:$A$92,0)),"")</f>
      </c>
      <c r="BF18" s="44">
        <f>KOL_Database!$AI$17&amp;", "&amp;KOL_Database!$AG$17&amp;", "&amp;KOL_Database!$F$17&amp;", "&amp;KOL_Database!$E$17</f>
      </c>
      <c r="BG18" s="44">
        <f>KOL_Database!$AI$17&amp;", "&amp;KOL_Database!$AG$17</f>
      </c>
    </row>
    <row r="19" spans="1:59" x14ac:dyDescent="0.25">
      <c r="A19" s="43" t="s">
        <v>71</v>
      </c>
      <c r="B19" s="44">
        <f>Brand_Profile!$D$9</f>
      </c>
      <c r="C19" s="44">
        <f>KOL_Database!$A$18</f>
      </c>
      <c r="D19" s="44">
        <f>KOL_Database!$B$18</f>
      </c>
      <c r="E19" s="44">
        <f>KOL_Database!$C$18</f>
      </c>
      <c r="F19" s="44">
        <f>KOL_Database!$D$18</f>
      </c>
      <c r="G19" s="44">
        <f>KOL_Database!$E$18</f>
      </c>
      <c r="H19" s="44">
        <f>KOL_Database!$G$18</f>
      </c>
      <c r="I19" s="45">
        <f>KOL_Database!$J$18</f>
      </c>
      <c r="J19" s="46">
        <f>KOL_Database!$K$18</f>
      </c>
      <c r="K19" s="47">
        <f>IFERROR(INDEX(Lookup_Lists!$B$170:$O$181,MATCH(Brand_Profile!$D$10,Lookup_Lists!$A$170:$A$181,0),MATCH(KOL_Database!$E$18,Lookup_Lists!$B$169:$O$169,0)),Lookup_Lists!$D$151)</f>
      </c>
      <c r="L19" s="47">
        <f>IF(KOL_Database!$F$18="",Matching_Engine!$BC$19,IF(Brand_Profile!$D$12=KOL_Database!$F$18,100,IF(Matching_Engine!$BA$19=KOL_Database!$E$18,80,IF(Matching_Engine!$BC$19&gt;=80,60,IF(Matching_Engine!$BC$19&gt;=60,40,Lookup_Lists!$D$151)))))</f>
      </c>
      <c r="M19" s="47">
        <f>ROUND((IF(Brand_Profile!$D$62=0,Lookup_Lists!$D$150,ROUND((IF(Brand_Profile!$D$57="",0,IF(ISNUMBER(SEARCH(Brand_Profile!$D$57,Matching_Engine!$BF$19)),1,0))+IF(Brand_Profile!$D$58="",0,IF(ISNUMBER(SEARCH(Brand_Profile!$D$58,Matching_Engine!$BF$19)),1,0))+IF(Brand_Profile!$D$59="",0,IF(ISNUMBER(SEARCH(Brand_Profile!$D$59,Matching_Engine!$BF$19)),1,0))+IF(Brand_Profile!$D$60="",0,IF(ISNUMBER(SEARCH(Brand_Profile!$D$60,Matching_Engine!$BF$19)),1,0))+IF(Brand_Profile!$D$61="",0,IF(ISNUMBER(SEARCH(Brand_Profile!$D$61,Matching_Engine!$BF$19)),1,0)))/Brand_Profile!$D$62*100,0))+IF(Brand_Profile!$D$74=0,Lookup_Lists!$D$150,ROUND((IF(Brand_Profile!$D$69="",0,IF(ISNUMBER(SEARCH(Brand_Profile!$D$69,Matching_Engine!$BF$19)),1,0))+IF(Brand_Profile!$D$70="",0,IF(ISNUMBER(SEARCH(Brand_Profile!$D$70,Matching_Engine!$BF$19)),1,0))+IF(Brand_Profile!$D$71="",0,IF(ISNUMBER(SEARCH(Brand_Profile!$D$71,Matching_Engine!$BF$19)),1,0))+IF(Brand_Profile!$D$72="",0,IF(ISNUMBER(SEARCH(Brand_Profile!$D$72,Matching_Engine!$BF$19)),1,0))+IF(Brand_Profile!$D$73="",0,IF(ISNUMBER(SEARCH(Brand_Profile!$D$73,Matching_Engine!$BF$19)),1,0)))/Brand_Profile!$D$74*100,0)))/2,0)</f>
      </c>
      <c r="N19" s="47">
        <f>ROUND((Matching_Engine!$K$19*Lookup_Lists!$D$110+Matching_Engine!$L$19*Lookup_Lists!$D$111+Matching_Engine!$M$19*Lookup_Lists!$D$112)/(Lookup_Lists!$D$110+Lookup_Lists!$D$111+Lookup_Lists!$D$112),0)</f>
      </c>
      <c r="O19" s="47">
        <f>IF(Brand_Profile!$D$16="",Lookup_Lists!$D$150,MIN(100,ROUND((IFERROR(INDEX(KOL_Database!$W$18:KOL_Database!$AA$18,1,MATCH(Brand_Profile!$D$16,Lookup_Lists!$F$6:$F$10,0)),0)+0.5*IFERROR(INDEX(KOL_Database!$W$18:KOL_Database!$AA$18,1,MATCH(Brand_Profile!$D$17,Lookup_Lists!$F$6:$F$10,0)),0))/Lookup_Lists!$D$142*100,0)))</f>
      </c>
      <c r="P19" s="47">
        <f>IF(OR(Brand_Profile!$D$18="",Brand_Profile!$D$18="Any"),100,IF(Brand_Profile!$D$18="Female",MIN(100,ROUND(KOL_Database!$AB$18/Lookup_Lists!$D$143*100,0)),IF(Brand_Profile!$D$18="Male",MIN(100,ROUND(KOL_Database!$AC$18/Lookup_Lists!$D$143*100,0)),MAX(0,ROUND(100-ABS(KOL_Database!$AB$18-50)*2,0)))))</f>
      </c>
      <c r="Q19" s="47">
        <f>ROUND((IF(Brand_Profile!$D$19="",100,IF(KOL_Database!$AD$18=Brand_Profile!$D$19,100,Lookup_Lists!$D$151))*Lookup_Lists!$D$118+IF(OR(Brand_Profile!$D$20="",Brand_Profile!$D$20="Nasional"),100,IF(KOL_Database!$AE$18="",Lookup_Lists!$D$150,IF(KOL_Database!$AE$18=Brand_Profile!$D$20,100,IF(KOL_Database!$AD$18=Brand_Profile!$D$19,40,Lookup_Lists!$D$151))))*Lookup_Lists!$D$119+IF(OR(Brand_Profile!$D$21="",Brand_Profile!$D$21="Nasional"),100,IF(KOL_Database!$AF$18="",Lookup_Lists!$D$150,IF(KOL_Database!$AF$18=Brand_Profile!$D$21,100,IF(KOL_Database!$AE$18=Brand_Profile!$D$20,60,Lookup_Lists!$D$151))))*Lookup_Lists!$D$120)/(Lookup_Lists!$D$118+Lookup_Lists!$D$119+Lookup_Lists!$D$120),0)</f>
      </c>
      <c r="R19" s="47">
        <f>IF(Brand_Profile!$D$68=0,Lookup_Lists!$D$150,ROUND((IF(Brand_Profile!$D$63="",0,IF(ISNUMBER(SEARCH(Brand_Profile!$D$63,KOL_Database!$AG$18)),1,0))+IF(Brand_Profile!$D$64="",0,IF(ISNUMBER(SEARCH(Brand_Profile!$D$64,KOL_Database!$AG$18)),1,0))+IF(Brand_Profile!$D$65="",0,IF(ISNUMBER(SEARCH(Brand_Profile!$D$65,KOL_Database!$AG$18)),1,0))+IF(Brand_Profile!$D$66="",0,IF(ISNUMBER(SEARCH(Brand_Profile!$D$66,KOL_Database!$AG$18)),1,0))+IF(Brand_Profile!$D$67="",0,IF(ISNUMBER(SEARCH(Brand_Profile!$D$67,KOL_Database!$AG$18)),1,0)))/Brand_Profile!$D$68*100,0))</f>
      </c>
      <c r="S19" s="47">
        <f>ROUND((Matching_Engine!$O$19*Brand_Profile!$D$96+Matching_Engine!$P$19*Brand_Profile!$D$97+Matching_Engine!$Q$19*Brand_Profile!$D$98+Matching_Engine!$R$19*Brand_Profile!$D$99)/MAX(1,Brand_Profile!$D$96+Brand_Profile!$D$97+Brand_Profile!$D$98+Brand_Profile!$D$99),0)</f>
      </c>
      <c r="T19" s="47">
        <f>IF(Brand_Profile!$D$33="",Lookup_Lists!$D$150,Matching_Engine!$BD$19)</f>
      </c>
      <c r="U19" s="47">
        <f>IF(Brand_Profile!$D$34="",Lookup_Lists!$D$150,IF(Brand_Profile!$D$34=KOL_Database!$F$18,100,IF(Matching_Engine!$BE$19=KOL_Database!$E$18,75,IF(Matching_Engine!$BD$19&gt;=80,Lookup_Lists!$D$150,IF(Matching_Engine!$BD$19&gt;=60,35,Lookup_Lists!$D$151)))))</f>
      </c>
      <c r="V19" s="47">
        <f>IF(Brand_Profile!$D$86=0,Lookup_Lists!$D$150,ROUND((IF(Brand_Profile!$D$81="",0,IF(ISNUMBER(SEARCH(Brand_Profile!$D$81,Matching_Engine!$BG$19)),1,0))+IF(Brand_Profile!$D$82="",0,IF(ISNUMBER(SEARCH(Brand_Profile!$D$82,Matching_Engine!$BG$19)),1,0))+IF(Brand_Profile!$D$83="",0,IF(ISNUMBER(SEARCH(Brand_Profile!$D$83,Matching_Engine!$BG$19)),1,0))+IF(Brand_Profile!$D$84="",0,IF(ISNUMBER(SEARCH(Brand_Profile!$D$84,Matching_Engine!$BG$19)),1,0))+IF(Brand_Profile!$D$85="",0,IF(ISNUMBER(SEARCH(Brand_Profile!$D$85,Matching_Engine!$BG$19)),1,0)))/Brand_Profile!$D$86*100,0))</f>
      </c>
      <c r="W19" s="47">
        <f>IF(Brand_Profile!$D$39="",Lookup_Lists!$D$150,IFERROR(INDEX(Lookup_Lists!$B$237:$K$246,MATCH(Brand_Profile!$D$39,Lookup_Lists!$A$237:$A$246,0),MATCH(KOL_Database!$AJ$18,Lookup_Lists!$B$236:$K$236,0)),45))</f>
      </c>
      <c r="X19" s="47">
        <f>ROUND((Matching_Engine!$T$19*Lookup_Lists!$D$121+Matching_Engine!$U$19*Lookup_Lists!$D$122+Matching_Engine!$V$19*Lookup_Lists!$D$123+Matching_Engine!$W$19*Lookup_Lists!$D$124)/(Lookup_Lists!$D$121+Lookup_Lists!$D$122+Lookup_Lists!$D$123+Lookup_Lists!$D$124),0)</f>
      </c>
      <c r="Y19" s="47">
        <f>MIN(100,MAX(IFERROR(INDEX(Lookup_Lists!$B$202:$M$211,MATCH(Brand_Profile!$D$25,Lookup_Lists!$A$202:$A$211,0),MATCH(KOL_Database!$AK$18,Lookup_Lists!$B$201:$M$201,0)),40),IF(KOL_Database!$AK$18=Brand_Profile!$D$41,95,0)))</f>
      </c>
      <c r="Z19" s="47">
        <f>IFERROR(INDEX(Lookup_Lists!$B$215:$K$222,MATCH(Brand_Profile!$D$27,Lookup_Lists!$A$215:$A$222,0),MATCH(KOL_Database!$AJ$18,Lookup_Lists!$B$214:$K$214,0)),45)</f>
      </c>
      <c r="AA19" s="47">
        <f>ROUND((IF(Brand_Profile!$D$80=0,Lookup_Lists!$D$150,ROUND((IF(Brand_Profile!$D$75="",0,IF(ISNUMBER(SEARCH(Brand_Profile!$D$75,KOL_Database!$AL$18)),1,0))+IF(Brand_Profile!$D$76="",0,IF(ISNUMBER(SEARCH(Brand_Profile!$D$76,KOL_Database!$AL$18)),1,0))+IF(Brand_Profile!$D$77="",0,IF(ISNUMBER(SEARCH(Brand_Profile!$D$77,KOL_Database!$AL$18)),1,0))+IF(Brand_Profile!$D$78="",0,IF(ISNUMBER(SEARCH(Brand_Profile!$D$78,KOL_Database!$AL$18)),1,0))+IF(Brand_Profile!$D$79="",0,IF(ISNUMBER(SEARCH(Brand_Profile!$D$79,KOL_Database!$AL$18)),1,0)))/Brand_Profile!$D$80*100,0))+IF(Brand_Profile!$D$92=0,Lookup_Lists!$D$150,ROUND((IF(Brand_Profile!$D$87="",0,IF(ISNUMBER(SEARCH(Brand_Profile!$D$87,KOL_Database!$AL$18)),1,0))+IF(Brand_Profile!$D$88="",0,IF(ISNUMBER(SEARCH(Brand_Profile!$D$88,KOL_Database!$AL$18)),1,0))+IF(Brand_Profile!$D$89="",0,IF(ISNUMBER(SEARCH(Brand_Profile!$D$89,KOL_Database!$AL$18)),1,0))+IF(Brand_Profile!$D$90="",0,IF(ISNUMBER(SEARCH(Brand_Profile!$D$90,KOL_Database!$AL$18)),1,0))+IF(Brand_Profile!$D$91="",0,IF(ISNUMBER(SEARCH(Brand_Profile!$D$91,KOL_Database!$AL$18)),1,0)))/Brand_Profile!$D$92*100,0)))/2,0)</f>
      </c>
      <c r="AB19" s="47">
        <f>IFERROR(INDEX(Lookup_Lists!$B$226:$K$233,MATCH(Brand_Profile!$D$30,Lookup_Lists!$A$226:$A$233,0),MATCH(KOL_Database!$AJ$18,Lookup_Lists!$B$225:$K$225,0)),45)</f>
      </c>
      <c r="AC19" s="47">
        <f>ROUND((Matching_Engine!$Y$19*Lookup_Lists!$D$125+Matching_Engine!$Z$19*Lookup_Lists!$D$126+Matching_Engine!$AA$19*Lookup_Lists!$D$127+Matching_Engine!$AB$19*Lookup_Lists!$D$128)/(Lookup_Lists!$D$125+Lookup_Lists!$D$126+Lookup_Lists!$D$127+Lookup_Lists!$D$128),0)</f>
      </c>
      <c r="AD19" s="47">
        <f>IF(KOL_Database!$K$18="",0,MIN(100,ROUND(KOL_Database!$K$18/Lookup_Lists!$D$141*100,0)))</f>
      </c>
      <c r="AE19" s="47">
        <f>IF(KOL_Database!$R$18="",0,MIN(100,MAX(0,KOL_Database!$R$18)))</f>
      </c>
      <c r="AF19" s="47">
        <f>IF(KOL_Database!$P$18="",0,MIN(100,MAX(0,KOL_Database!$P$18)))</f>
      </c>
      <c r="AG19" s="47">
        <f>IF(KOL_Database!$Q$18="",0,MIN(100,MAX(0,KOL_Database!$Q$18)))</f>
      </c>
      <c r="AH19" s="47">
        <f>IF(OR(KOL_Database!$J$18="",KOL_Database!$J$18=0,KOL_Database!$L$18=""),0,MIN(100,ROUND(KOL_Database!$L$18/KOL_Database!$J$18/Lookup_Lists!$D$144*100,0)))</f>
      </c>
      <c r="AI19" s="47">
        <f>IF(KOL_Database!$N$18="",0,MIN(100,MAX(0,ROUND((KOL_Database!$N$18+2)/(Lookup_Lists!$D$145+2)*100,0))))</f>
      </c>
      <c r="AJ19" s="47">
        <f>ROUND((Matching_Engine!$AD$19*Lookup_Lists!$D$129+Matching_Engine!$AE$19*Lookup_Lists!$D$130+Matching_Engine!$AF$19*Lookup_Lists!$D$131+Matching_Engine!$AG$19*Lookup_Lists!$D$132+Matching_Engine!$AH$19*Lookup_Lists!$D$133+Matching_Engine!$AI$19*Lookup_Lists!$D$134)/(Lookup_Lists!$D$129+Lookup_Lists!$D$130+Lookup_Lists!$D$131+Lookup_Lists!$D$132+Lookup_Lists!$D$133+Lookup_Lists!$D$134),0)</f>
      </c>
      <c r="AK19" s="47">
        <f>IF(KOL_Database!$AT$18="",0,MIN(100,MAX(0,KOL_Database!$AT$18)))</f>
      </c>
      <c r="AL19" s="47">
        <f>IF(KOL_Database!$AU$18="",0,KOL_Database!$AU$18)</f>
      </c>
      <c r="AM19" s="44">
        <f>IF(KOL_Database!$AV$18="","None",KOL_Database!$AV$18)</f>
      </c>
      <c r="AN19" s="48">
        <f>IF(Matching_Engine!$AM$19="High",Lookup_Lists!$D$137,IF(Matching_Engine!$AM$19="Medium",Lookup_Lists!$D$138,IF(Matching_Engine!$AM$19="Low",Lookup_Lists!$D$139,Lookup_Lists!$D$140)))</f>
      </c>
      <c r="AO19" s="47">
        <f>ROUND(MIN(100,MAX(0,(Matching_Engine!$AK$19*Lookup_Lists!$D$135+(100-Matching_Engine!$AL$19)*Lookup_Lists!$D$136)/(Lookup_Lists!$D$135+Lookup_Lists!$D$136)*Matching_Engine!$AN$19)),0)</f>
      </c>
      <c r="AP19" s="49">
        <f>ROUND((Matching_Engine!$N$19*Lookup_Lists!$D$104+Matching_Engine!$S$19*Lookup_Lists!$D$105+Matching_Engine!$X$19*Lookup_Lists!$D$106+Matching_Engine!$AC$19*Lookup_Lists!$D$107+Matching_Engine!$AJ$19*Lookup_Lists!$D$108+Matching_Engine!$AO$19*Lookup_Lists!$D$109)/MAX(1,(Lookup_Lists!$D$104+Lookup_Lists!$D$105+Lookup_Lists!$D$106+Lookup_Lists!$D$107+Lookup_Lists!$D$108+Lookup_Lists!$D$109)),0)</f>
      </c>
      <c r="AQ19" s="44">
        <f>IF(Matching_Engine!$AP$19&gt;=Lookup_Lists!$D$152,"Excellent Match",IF(Matching_Engine!$AP$19&gt;=Lookup_Lists!$D$153,"Strong Match",IF(Matching_Engine!$AP$19&gt;=Lookup_Lists!$D$154,"Good Match",IF(Matching_Engine!$AP$19&gt;=Lookup_Lists!$D$155,"Moderate Match","Low Match"))))</f>
      </c>
      <c r="AR19" s="47">
        <f>KOL_Database!$BE$18</f>
      </c>
      <c r="AS19" s="44">
        <f>IF(Matching_Engine!$AR$19&gt;=Lookup_Lists!$D$159,"High",IF(Matching_Engine!$AR$19&gt;=Lookup_Lists!$D$160,"Medium","Limited Data"))</f>
      </c>
      <c r="AT19" s="47">
        <f>ROUND((Matching_Engine!$N$19+Matching_Engine!$X$19+Matching_Engine!$AC$19)/3,0)</f>
      </c>
      <c r="AU19" s="47">
        <f>ROUND(((100-Matching_Engine!$AL$19)*Lookup_Lists!$D$162+IF(KOL_Database!$BD$18="",Lookup_Lists!$D$150,KOL_Database!$BD$18)*Lookup_Lists!$D$163+Matching_Engine!$AI$19*Lookup_Lists!$D$164+Matching_Engine!$AD$19*Lookup_Lists!$D$165)/(Lookup_Lists!$D$162+Lookup_Lists!$D$163+Lookup_Lists!$D$164+Lookup_Lists!$D$165),0)</f>
      </c>
      <c r="AV19" s="44">
        <f>IF(Matching_Engine!$AW$19="","PASS","EXCLUDED")</f>
      </c>
      <c r="AW19" s="44">
        <f>IF(ISERROR(SEARCH(KOL_Database!$D$18,Brand_Profile!$D$32)),"Platform not in Preferred Platform",IF(AND(Brand_Profile!$D$36&gt;0,KOL_Database!$J$18&lt;Brand_Profile!$D$36),"Followers below Preferred Follower Range",IF(AND(Brand_Profile!$D$37&gt;0,KOL_Database!$J$18&gt;Brand_Profile!$D$37),"Followers above Preferred Follower Range",IF(AND(Brand_Profile!$D$38&gt;0,IF(KOL_Database!$K$18="",0,KOL_Database!$K$18)&lt;Brand_Profile!$D$38),"Engagement Rate below Minimum Engagement Rate",IF(ISERROR(SEARCH(KOL_Database!$G$18,Brand_Profile!$D$35)),"Tier not in Preferred Tier",IF(AND(Brand_Profile!$D$43&gt;0,Matching_Engine!$AE$19&lt;Brand_Profile!$D$43),"Audience Quality below Minimum Audience Quality",IF(AND(Brand_Profile!$D$44&gt;0,Matching_Engine!$AK$19&lt;Brand_Profile!$D$44),"Brand Safety below Minimum Brand Safety",IF(AND(Brand_Profile!$D$47="Yes",KOL_Database!$AD$18&lt;&gt;Brand_Profile!$D$19),"Audience Country does not match Target Country",IF(AND(Brand_Profile!$D$46="Yes",KOL_Database!$E$18&lt;&gt;Brand_Profile!$D$33),"Category is not the Preferred Category",IF(AND(Brand_Profile!$D$48&gt;0,Matching_Engine!$AL$19&gt;Brand_Profile!$D$48),"Competitor Saturation above Max Competitor Saturation",IF(AND(Brand_Profile!$D$50="Yes",KOL_Database!$AW$18="Yes"),"Already Selected",IF(AND(Brand_Profile!$D$51="Yes",KOL_Database!$AX$18="Yes"),"Already in Cart",IF(AND(Brand_Profile!$D$52="Yes",KOL_Database!$AY$18="Yes"),"Existing Partner",IF(AND(Brand_Profile!$D$53="Yes",KOL_Database!$AZ$18="Yes"),"Excluded Creator",IF(AND(Brand_Profile!$D$49&gt;0,Matching_Engine!$AP$19&lt;Brand_Profile!$D$49),"Brand Match below Minimum Brand Match","")))))))))))))))</f>
      </c>
      <c r="AX19" s="44">
        <f>IF(Matching_Engine!$AV$19="EXCLUDED","Excluded",IF(Matching_Engine!$AP$19&gt;=Lookup_Lists!$D$156,"Highly Recommended",IF(Matching_Engine!$AP$19&gt;=Lookup_Lists!$D$157,"Recommended",IF(Matching_Engine!$AP$19&gt;=Lookup_Lists!$D$158,"Consider","Low Priority"))))</f>
      </c>
      <c r="AY19" s="47">
        <f>IF(Matching_Engine!$AV$19="PASS",Matching_Engine!$AP$19,"")</f>
      </c>
      <c r="AZ19" s="44">
        <f>Matching_Engine!$A$19&amp;"|"&amp;Matching_Engine!$C$19</f>
      </c>
      <c r="BA19" s="44">
        <f>IFERROR(INDEX(Lookup_Lists!$B$51:$B$92,MATCH(Brand_Profile!$D$12,Lookup_Lists!$A$51:$A$92,0)),"")</f>
      </c>
      <c r="BB19" s="44">
        <f>IFERROR(INDEX(Lookup_Lists!$B$51:$B$92,MATCH(KOL_Database!$F$18,Lookup_Lists!$A$51:$A$92,0)),"")</f>
      </c>
      <c r="BC19" s="47">
        <f>IFERROR(INDEX(Lookup_Lists!$B$185:$O$198,MATCH(Matching_Engine!$BA$19,Lookup_Lists!$A$185:$A$198,0),MATCH(KOL_Database!$E$18,Lookup_Lists!$B$184:$O$184,0)),Lookup_Lists!$D$151)</f>
      </c>
      <c r="BD19" s="47">
        <f>IFERROR(INDEX(Lookup_Lists!$B$185:$O$198,MATCH(Brand_Profile!$D$33,Lookup_Lists!$A$185:$A$198,0),MATCH(KOL_Database!$E$18,Lookup_Lists!$B$184:$O$184,0)),Lookup_Lists!$D$151)</f>
      </c>
      <c r="BE19" s="44">
        <f>IFERROR(INDEX(Lookup_Lists!$B$51:$B$92,MATCH(Brand_Profile!$D$34,Lookup_Lists!$A$51:$A$92,0)),"")</f>
      </c>
      <c r="BF19" s="44">
        <f>KOL_Database!$AI$18&amp;", "&amp;KOL_Database!$AG$18&amp;", "&amp;KOL_Database!$F$18&amp;", "&amp;KOL_Database!$E$18</f>
      </c>
      <c r="BG19" s="44">
        <f>KOL_Database!$AI$18&amp;", "&amp;KOL_Database!$AG$18</f>
      </c>
    </row>
    <row r="20" spans="1:59" x14ac:dyDescent="0.25">
      <c r="A20" s="43" t="s">
        <v>71</v>
      </c>
      <c r="B20" s="44">
        <f>Brand_Profile!$D$9</f>
      </c>
      <c r="C20" s="44">
        <f>KOL_Database!$A$19</f>
      </c>
      <c r="D20" s="44">
        <f>KOL_Database!$B$19</f>
      </c>
      <c r="E20" s="44">
        <f>KOL_Database!$C$19</f>
      </c>
      <c r="F20" s="44">
        <f>KOL_Database!$D$19</f>
      </c>
      <c r="G20" s="44">
        <f>KOL_Database!$E$19</f>
      </c>
      <c r="H20" s="44">
        <f>KOL_Database!$G$19</f>
      </c>
      <c r="I20" s="45">
        <f>KOL_Database!$J$19</f>
      </c>
      <c r="J20" s="46">
        <f>KOL_Database!$K$19</f>
      </c>
      <c r="K20" s="47">
        <f>IFERROR(INDEX(Lookup_Lists!$B$170:$O$181,MATCH(Brand_Profile!$D$10,Lookup_Lists!$A$170:$A$181,0),MATCH(KOL_Database!$E$19,Lookup_Lists!$B$169:$O$169,0)),Lookup_Lists!$D$151)</f>
      </c>
      <c r="L20" s="47">
        <f>IF(KOL_Database!$F$19="",Matching_Engine!$BC$20,IF(Brand_Profile!$D$12=KOL_Database!$F$19,100,IF(Matching_Engine!$BA$20=KOL_Database!$E$19,80,IF(Matching_Engine!$BC$20&gt;=80,60,IF(Matching_Engine!$BC$20&gt;=60,40,Lookup_Lists!$D$151)))))</f>
      </c>
      <c r="M20" s="47">
        <f>ROUND((IF(Brand_Profile!$D$62=0,Lookup_Lists!$D$150,ROUND((IF(Brand_Profile!$D$57="",0,IF(ISNUMBER(SEARCH(Brand_Profile!$D$57,Matching_Engine!$BF$20)),1,0))+IF(Brand_Profile!$D$58="",0,IF(ISNUMBER(SEARCH(Brand_Profile!$D$58,Matching_Engine!$BF$20)),1,0))+IF(Brand_Profile!$D$59="",0,IF(ISNUMBER(SEARCH(Brand_Profile!$D$59,Matching_Engine!$BF$20)),1,0))+IF(Brand_Profile!$D$60="",0,IF(ISNUMBER(SEARCH(Brand_Profile!$D$60,Matching_Engine!$BF$20)),1,0))+IF(Brand_Profile!$D$61="",0,IF(ISNUMBER(SEARCH(Brand_Profile!$D$61,Matching_Engine!$BF$20)),1,0)))/Brand_Profile!$D$62*100,0))+IF(Brand_Profile!$D$74=0,Lookup_Lists!$D$150,ROUND((IF(Brand_Profile!$D$69="",0,IF(ISNUMBER(SEARCH(Brand_Profile!$D$69,Matching_Engine!$BF$20)),1,0))+IF(Brand_Profile!$D$70="",0,IF(ISNUMBER(SEARCH(Brand_Profile!$D$70,Matching_Engine!$BF$20)),1,0))+IF(Brand_Profile!$D$71="",0,IF(ISNUMBER(SEARCH(Brand_Profile!$D$71,Matching_Engine!$BF$20)),1,0))+IF(Brand_Profile!$D$72="",0,IF(ISNUMBER(SEARCH(Brand_Profile!$D$72,Matching_Engine!$BF$20)),1,0))+IF(Brand_Profile!$D$73="",0,IF(ISNUMBER(SEARCH(Brand_Profile!$D$73,Matching_Engine!$BF$20)),1,0)))/Brand_Profile!$D$74*100,0)))/2,0)</f>
      </c>
      <c r="N20" s="47">
        <f>ROUND((Matching_Engine!$K$20*Lookup_Lists!$D$110+Matching_Engine!$L$20*Lookup_Lists!$D$111+Matching_Engine!$M$20*Lookup_Lists!$D$112)/(Lookup_Lists!$D$110+Lookup_Lists!$D$111+Lookup_Lists!$D$112),0)</f>
      </c>
      <c r="O20" s="47">
        <f>IF(Brand_Profile!$D$16="",Lookup_Lists!$D$150,MIN(100,ROUND((IFERROR(INDEX(KOL_Database!$W$19:KOL_Database!$AA$19,1,MATCH(Brand_Profile!$D$16,Lookup_Lists!$F$6:$F$10,0)),0)+0.5*IFERROR(INDEX(KOL_Database!$W$19:KOL_Database!$AA$19,1,MATCH(Brand_Profile!$D$17,Lookup_Lists!$F$6:$F$10,0)),0))/Lookup_Lists!$D$142*100,0)))</f>
      </c>
      <c r="P20" s="47">
        <f>IF(OR(Brand_Profile!$D$18="",Brand_Profile!$D$18="Any"),100,IF(Brand_Profile!$D$18="Female",MIN(100,ROUND(KOL_Database!$AB$19/Lookup_Lists!$D$143*100,0)),IF(Brand_Profile!$D$18="Male",MIN(100,ROUND(KOL_Database!$AC$19/Lookup_Lists!$D$143*100,0)),MAX(0,ROUND(100-ABS(KOL_Database!$AB$19-50)*2,0)))))</f>
      </c>
      <c r="Q20" s="47">
        <f>ROUND((IF(Brand_Profile!$D$19="",100,IF(KOL_Database!$AD$19=Brand_Profile!$D$19,100,Lookup_Lists!$D$151))*Lookup_Lists!$D$118+IF(OR(Brand_Profile!$D$20="",Brand_Profile!$D$20="Nasional"),100,IF(KOL_Database!$AE$19="",Lookup_Lists!$D$150,IF(KOL_Database!$AE$19=Brand_Profile!$D$20,100,IF(KOL_Database!$AD$19=Brand_Profile!$D$19,40,Lookup_Lists!$D$151))))*Lookup_Lists!$D$119+IF(OR(Brand_Profile!$D$21="",Brand_Profile!$D$21="Nasional"),100,IF(KOL_Database!$AF$19="",Lookup_Lists!$D$150,IF(KOL_Database!$AF$19=Brand_Profile!$D$21,100,IF(KOL_Database!$AE$19=Brand_Profile!$D$20,60,Lookup_Lists!$D$151))))*Lookup_Lists!$D$120)/(Lookup_Lists!$D$118+Lookup_Lists!$D$119+Lookup_Lists!$D$120),0)</f>
      </c>
      <c r="R20" s="47">
        <f>IF(Brand_Profile!$D$68=0,Lookup_Lists!$D$150,ROUND((IF(Brand_Profile!$D$63="",0,IF(ISNUMBER(SEARCH(Brand_Profile!$D$63,KOL_Database!$AG$19)),1,0))+IF(Brand_Profile!$D$64="",0,IF(ISNUMBER(SEARCH(Brand_Profile!$D$64,KOL_Database!$AG$19)),1,0))+IF(Brand_Profile!$D$65="",0,IF(ISNUMBER(SEARCH(Brand_Profile!$D$65,KOL_Database!$AG$19)),1,0))+IF(Brand_Profile!$D$66="",0,IF(ISNUMBER(SEARCH(Brand_Profile!$D$66,KOL_Database!$AG$19)),1,0))+IF(Brand_Profile!$D$67="",0,IF(ISNUMBER(SEARCH(Brand_Profile!$D$67,KOL_Database!$AG$19)),1,0)))/Brand_Profile!$D$68*100,0))</f>
      </c>
      <c r="S20" s="47">
        <f>ROUND((Matching_Engine!$O$20*Brand_Profile!$D$96+Matching_Engine!$P$20*Brand_Profile!$D$97+Matching_Engine!$Q$20*Brand_Profile!$D$98+Matching_Engine!$R$20*Brand_Profile!$D$99)/MAX(1,Brand_Profile!$D$96+Brand_Profile!$D$97+Brand_Profile!$D$98+Brand_Profile!$D$99),0)</f>
      </c>
      <c r="T20" s="47">
        <f>IF(Brand_Profile!$D$33="",Lookup_Lists!$D$150,Matching_Engine!$BD$20)</f>
      </c>
      <c r="U20" s="47">
        <f>IF(Brand_Profile!$D$34="",Lookup_Lists!$D$150,IF(Brand_Profile!$D$34=KOL_Database!$F$19,100,IF(Matching_Engine!$BE$20=KOL_Database!$E$19,75,IF(Matching_Engine!$BD$20&gt;=80,Lookup_Lists!$D$150,IF(Matching_Engine!$BD$20&gt;=60,35,Lookup_Lists!$D$151)))))</f>
      </c>
      <c r="V20" s="47">
        <f>IF(Brand_Profile!$D$86=0,Lookup_Lists!$D$150,ROUND((IF(Brand_Profile!$D$81="",0,IF(ISNUMBER(SEARCH(Brand_Profile!$D$81,Matching_Engine!$BG$20)),1,0))+IF(Brand_Profile!$D$82="",0,IF(ISNUMBER(SEARCH(Brand_Profile!$D$82,Matching_Engine!$BG$20)),1,0))+IF(Brand_Profile!$D$83="",0,IF(ISNUMBER(SEARCH(Brand_Profile!$D$83,Matching_Engine!$BG$20)),1,0))+IF(Brand_Profile!$D$84="",0,IF(ISNUMBER(SEARCH(Brand_Profile!$D$84,Matching_Engine!$BG$20)),1,0))+IF(Brand_Profile!$D$85="",0,IF(ISNUMBER(SEARCH(Brand_Profile!$D$85,Matching_Engine!$BG$20)),1,0)))/Brand_Profile!$D$86*100,0))</f>
      </c>
      <c r="W20" s="47">
        <f>IF(Brand_Profile!$D$39="",Lookup_Lists!$D$150,IFERROR(INDEX(Lookup_Lists!$B$237:$K$246,MATCH(Brand_Profile!$D$39,Lookup_Lists!$A$237:$A$246,0),MATCH(KOL_Database!$AJ$19,Lookup_Lists!$B$236:$K$236,0)),45))</f>
      </c>
      <c r="X20" s="47">
        <f>ROUND((Matching_Engine!$T$20*Lookup_Lists!$D$121+Matching_Engine!$U$20*Lookup_Lists!$D$122+Matching_Engine!$V$20*Lookup_Lists!$D$123+Matching_Engine!$W$20*Lookup_Lists!$D$124)/(Lookup_Lists!$D$121+Lookup_Lists!$D$122+Lookup_Lists!$D$123+Lookup_Lists!$D$124),0)</f>
      </c>
      <c r="Y20" s="47">
        <f>MIN(100,MAX(IFERROR(INDEX(Lookup_Lists!$B$202:$M$211,MATCH(Brand_Profile!$D$25,Lookup_Lists!$A$202:$A$211,0),MATCH(KOL_Database!$AK$19,Lookup_Lists!$B$201:$M$201,0)),40),IF(KOL_Database!$AK$19=Brand_Profile!$D$41,95,0)))</f>
      </c>
      <c r="Z20" s="47">
        <f>IFERROR(INDEX(Lookup_Lists!$B$215:$K$222,MATCH(Brand_Profile!$D$27,Lookup_Lists!$A$215:$A$222,0),MATCH(KOL_Database!$AJ$19,Lookup_Lists!$B$214:$K$214,0)),45)</f>
      </c>
      <c r="AA20" s="47">
        <f>ROUND((IF(Brand_Profile!$D$80=0,Lookup_Lists!$D$150,ROUND((IF(Brand_Profile!$D$75="",0,IF(ISNUMBER(SEARCH(Brand_Profile!$D$75,KOL_Database!$AL$19)),1,0))+IF(Brand_Profile!$D$76="",0,IF(ISNUMBER(SEARCH(Brand_Profile!$D$76,KOL_Database!$AL$19)),1,0))+IF(Brand_Profile!$D$77="",0,IF(ISNUMBER(SEARCH(Brand_Profile!$D$77,KOL_Database!$AL$19)),1,0))+IF(Brand_Profile!$D$78="",0,IF(ISNUMBER(SEARCH(Brand_Profile!$D$78,KOL_Database!$AL$19)),1,0))+IF(Brand_Profile!$D$79="",0,IF(ISNUMBER(SEARCH(Brand_Profile!$D$79,KOL_Database!$AL$19)),1,0)))/Brand_Profile!$D$80*100,0))+IF(Brand_Profile!$D$92=0,Lookup_Lists!$D$150,ROUND((IF(Brand_Profile!$D$87="",0,IF(ISNUMBER(SEARCH(Brand_Profile!$D$87,KOL_Database!$AL$19)),1,0))+IF(Brand_Profile!$D$88="",0,IF(ISNUMBER(SEARCH(Brand_Profile!$D$88,KOL_Database!$AL$19)),1,0))+IF(Brand_Profile!$D$89="",0,IF(ISNUMBER(SEARCH(Brand_Profile!$D$89,KOL_Database!$AL$19)),1,0))+IF(Brand_Profile!$D$90="",0,IF(ISNUMBER(SEARCH(Brand_Profile!$D$90,KOL_Database!$AL$19)),1,0))+IF(Brand_Profile!$D$91="",0,IF(ISNUMBER(SEARCH(Brand_Profile!$D$91,KOL_Database!$AL$19)),1,0)))/Brand_Profile!$D$92*100,0)))/2,0)</f>
      </c>
      <c r="AB20" s="47">
        <f>IFERROR(INDEX(Lookup_Lists!$B$226:$K$233,MATCH(Brand_Profile!$D$30,Lookup_Lists!$A$226:$A$233,0),MATCH(KOL_Database!$AJ$19,Lookup_Lists!$B$225:$K$225,0)),45)</f>
      </c>
      <c r="AC20" s="47">
        <f>ROUND((Matching_Engine!$Y$20*Lookup_Lists!$D$125+Matching_Engine!$Z$20*Lookup_Lists!$D$126+Matching_Engine!$AA$20*Lookup_Lists!$D$127+Matching_Engine!$AB$20*Lookup_Lists!$D$128)/(Lookup_Lists!$D$125+Lookup_Lists!$D$126+Lookup_Lists!$D$127+Lookup_Lists!$D$128),0)</f>
      </c>
      <c r="AD20" s="47">
        <f>IF(KOL_Database!$K$19="",0,MIN(100,ROUND(KOL_Database!$K$19/Lookup_Lists!$D$141*100,0)))</f>
      </c>
      <c r="AE20" s="47">
        <f>IF(KOL_Database!$R$19="",0,MIN(100,MAX(0,KOL_Database!$R$19)))</f>
      </c>
      <c r="AF20" s="47">
        <f>IF(KOL_Database!$P$19="",0,MIN(100,MAX(0,KOL_Database!$P$19)))</f>
      </c>
      <c r="AG20" s="47">
        <f>IF(KOL_Database!$Q$19="",0,MIN(100,MAX(0,KOL_Database!$Q$19)))</f>
      </c>
      <c r="AH20" s="47">
        <f>IF(OR(KOL_Database!$J$19="",KOL_Database!$J$19=0,KOL_Database!$L$19=""),0,MIN(100,ROUND(KOL_Database!$L$19/KOL_Database!$J$19/Lookup_Lists!$D$144*100,0)))</f>
      </c>
      <c r="AI20" s="47">
        <f>IF(KOL_Database!$N$19="",0,MIN(100,MAX(0,ROUND((KOL_Database!$N$19+2)/(Lookup_Lists!$D$145+2)*100,0))))</f>
      </c>
      <c r="AJ20" s="47">
        <f>ROUND((Matching_Engine!$AD$20*Lookup_Lists!$D$129+Matching_Engine!$AE$20*Lookup_Lists!$D$130+Matching_Engine!$AF$20*Lookup_Lists!$D$131+Matching_Engine!$AG$20*Lookup_Lists!$D$132+Matching_Engine!$AH$20*Lookup_Lists!$D$133+Matching_Engine!$AI$20*Lookup_Lists!$D$134)/(Lookup_Lists!$D$129+Lookup_Lists!$D$130+Lookup_Lists!$D$131+Lookup_Lists!$D$132+Lookup_Lists!$D$133+Lookup_Lists!$D$134),0)</f>
      </c>
      <c r="AK20" s="47">
        <f>IF(KOL_Database!$AT$19="",0,MIN(100,MAX(0,KOL_Database!$AT$19)))</f>
      </c>
      <c r="AL20" s="47">
        <f>IF(KOL_Database!$AU$19="",0,KOL_Database!$AU$19)</f>
      </c>
      <c r="AM20" s="44">
        <f>IF(KOL_Database!$AV$19="","None",KOL_Database!$AV$19)</f>
      </c>
      <c r="AN20" s="48">
        <f>IF(Matching_Engine!$AM$20="High",Lookup_Lists!$D$137,IF(Matching_Engine!$AM$20="Medium",Lookup_Lists!$D$138,IF(Matching_Engine!$AM$20="Low",Lookup_Lists!$D$139,Lookup_Lists!$D$140)))</f>
      </c>
      <c r="AO20" s="47">
        <f>ROUND(MIN(100,MAX(0,(Matching_Engine!$AK$20*Lookup_Lists!$D$135+(100-Matching_Engine!$AL$20)*Lookup_Lists!$D$136)/(Lookup_Lists!$D$135+Lookup_Lists!$D$136)*Matching_Engine!$AN$20)),0)</f>
      </c>
      <c r="AP20" s="49">
        <f>ROUND((Matching_Engine!$N$20*Lookup_Lists!$D$104+Matching_Engine!$S$20*Lookup_Lists!$D$105+Matching_Engine!$X$20*Lookup_Lists!$D$106+Matching_Engine!$AC$20*Lookup_Lists!$D$107+Matching_Engine!$AJ$20*Lookup_Lists!$D$108+Matching_Engine!$AO$20*Lookup_Lists!$D$109)/MAX(1,(Lookup_Lists!$D$104+Lookup_Lists!$D$105+Lookup_Lists!$D$106+Lookup_Lists!$D$107+Lookup_Lists!$D$108+Lookup_Lists!$D$109)),0)</f>
      </c>
      <c r="AQ20" s="44">
        <f>IF(Matching_Engine!$AP$20&gt;=Lookup_Lists!$D$152,"Excellent Match",IF(Matching_Engine!$AP$20&gt;=Lookup_Lists!$D$153,"Strong Match",IF(Matching_Engine!$AP$20&gt;=Lookup_Lists!$D$154,"Good Match",IF(Matching_Engine!$AP$20&gt;=Lookup_Lists!$D$155,"Moderate Match","Low Match"))))</f>
      </c>
      <c r="AR20" s="47">
        <f>KOL_Database!$BE$19</f>
      </c>
      <c r="AS20" s="44">
        <f>IF(Matching_Engine!$AR$20&gt;=Lookup_Lists!$D$159,"High",IF(Matching_Engine!$AR$20&gt;=Lookup_Lists!$D$160,"Medium","Limited Data"))</f>
      </c>
      <c r="AT20" s="47">
        <f>ROUND((Matching_Engine!$N$20+Matching_Engine!$X$20+Matching_Engine!$AC$20)/3,0)</f>
      </c>
      <c r="AU20" s="47">
        <f>ROUND(((100-Matching_Engine!$AL$20)*Lookup_Lists!$D$162+IF(KOL_Database!$BD$19="",Lookup_Lists!$D$150,KOL_Database!$BD$19)*Lookup_Lists!$D$163+Matching_Engine!$AI$20*Lookup_Lists!$D$164+Matching_Engine!$AD$20*Lookup_Lists!$D$165)/(Lookup_Lists!$D$162+Lookup_Lists!$D$163+Lookup_Lists!$D$164+Lookup_Lists!$D$165),0)</f>
      </c>
      <c r="AV20" s="44">
        <f>IF(Matching_Engine!$AW$20="","PASS","EXCLUDED")</f>
      </c>
      <c r="AW20" s="44">
        <f>IF(ISERROR(SEARCH(KOL_Database!$D$19,Brand_Profile!$D$32)),"Platform not in Preferred Platform",IF(AND(Brand_Profile!$D$36&gt;0,KOL_Database!$J$19&lt;Brand_Profile!$D$36),"Followers below Preferred Follower Range",IF(AND(Brand_Profile!$D$37&gt;0,KOL_Database!$J$19&gt;Brand_Profile!$D$37),"Followers above Preferred Follower Range",IF(AND(Brand_Profile!$D$38&gt;0,IF(KOL_Database!$K$19="",0,KOL_Database!$K$19)&lt;Brand_Profile!$D$38),"Engagement Rate below Minimum Engagement Rate",IF(ISERROR(SEARCH(KOL_Database!$G$19,Brand_Profile!$D$35)),"Tier not in Preferred Tier",IF(AND(Brand_Profile!$D$43&gt;0,Matching_Engine!$AE$20&lt;Brand_Profile!$D$43),"Audience Quality below Minimum Audience Quality",IF(AND(Brand_Profile!$D$44&gt;0,Matching_Engine!$AK$20&lt;Brand_Profile!$D$44),"Brand Safety below Minimum Brand Safety",IF(AND(Brand_Profile!$D$47="Yes",KOL_Database!$AD$19&lt;&gt;Brand_Profile!$D$19),"Audience Country does not match Target Country",IF(AND(Brand_Profile!$D$46="Yes",KOL_Database!$E$19&lt;&gt;Brand_Profile!$D$33),"Category is not the Preferred Category",IF(AND(Brand_Profile!$D$48&gt;0,Matching_Engine!$AL$20&gt;Brand_Profile!$D$48),"Competitor Saturation above Max Competitor Saturation",IF(AND(Brand_Profile!$D$50="Yes",KOL_Database!$AW$19="Yes"),"Already Selected",IF(AND(Brand_Profile!$D$51="Yes",KOL_Database!$AX$19="Yes"),"Already in Cart",IF(AND(Brand_Profile!$D$52="Yes",KOL_Database!$AY$19="Yes"),"Existing Partner",IF(AND(Brand_Profile!$D$53="Yes",KOL_Database!$AZ$19="Yes"),"Excluded Creator",IF(AND(Brand_Profile!$D$49&gt;0,Matching_Engine!$AP$20&lt;Brand_Profile!$D$49),"Brand Match below Minimum Brand Match","")))))))))))))))</f>
      </c>
      <c r="AX20" s="44">
        <f>IF(Matching_Engine!$AV$20="EXCLUDED","Excluded",IF(Matching_Engine!$AP$20&gt;=Lookup_Lists!$D$156,"Highly Recommended",IF(Matching_Engine!$AP$20&gt;=Lookup_Lists!$D$157,"Recommended",IF(Matching_Engine!$AP$20&gt;=Lookup_Lists!$D$158,"Consider","Low Priority"))))</f>
      </c>
      <c r="AY20" s="47">
        <f>IF(Matching_Engine!$AV$20="PASS",Matching_Engine!$AP$20,"")</f>
      </c>
      <c r="AZ20" s="44">
        <f>Matching_Engine!$A$20&amp;"|"&amp;Matching_Engine!$C$20</f>
      </c>
      <c r="BA20" s="44">
        <f>IFERROR(INDEX(Lookup_Lists!$B$51:$B$92,MATCH(Brand_Profile!$D$12,Lookup_Lists!$A$51:$A$92,0)),"")</f>
      </c>
      <c r="BB20" s="44">
        <f>IFERROR(INDEX(Lookup_Lists!$B$51:$B$92,MATCH(KOL_Database!$F$19,Lookup_Lists!$A$51:$A$92,0)),"")</f>
      </c>
      <c r="BC20" s="47">
        <f>IFERROR(INDEX(Lookup_Lists!$B$185:$O$198,MATCH(Matching_Engine!$BA$20,Lookup_Lists!$A$185:$A$198,0),MATCH(KOL_Database!$E$19,Lookup_Lists!$B$184:$O$184,0)),Lookup_Lists!$D$151)</f>
      </c>
      <c r="BD20" s="47">
        <f>IFERROR(INDEX(Lookup_Lists!$B$185:$O$198,MATCH(Brand_Profile!$D$33,Lookup_Lists!$A$185:$A$198,0),MATCH(KOL_Database!$E$19,Lookup_Lists!$B$184:$O$184,0)),Lookup_Lists!$D$151)</f>
      </c>
      <c r="BE20" s="44">
        <f>IFERROR(INDEX(Lookup_Lists!$B$51:$B$92,MATCH(Brand_Profile!$D$34,Lookup_Lists!$A$51:$A$92,0)),"")</f>
      </c>
      <c r="BF20" s="44">
        <f>KOL_Database!$AI$19&amp;", "&amp;KOL_Database!$AG$19&amp;", "&amp;KOL_Database!$F$19&amp;", "&amp;KOL_Database!$E$19</f>
      </c>
      <c r="BG20" s="44">
        <f>KOL_Database!$AI$19&amp;", "&amp;KOL_Database!$AG$19</f>
      </c>
    </row>
    <row r="21" spans="1:59" x14ac:dyDescent="0.25">
      <c r="A21" s="43" t="s">
        <v>71</v>
      </c>
      <c r="B21" s="44">
        <f>Brand_Profile!$D$9</f>
      </c>
      <c r="C21" s="44">
        <f>KOL_Database!$A$20</f>
      </c>
      <c r="D21" s="44">
        <f>KOL_Database!$B$20</f>
      </c>
      <c r="E21" s="44">
        <f>KOL_Database!$C$20</f>
      </c>
      <c r="F21" s="44">
        <f>KOL_Database!$D$20</f>
      </c>
      <c r="G21" s="44">
        <f>KOL_Database!$E$20</f>
      </c>
      <c r="H21" s="44">
        <f>KOL_Database!$G$20</f>
      </c>
      <c r="I21" s="45">
        <f>KOL_Database!$J$20</f>
      </c>
      <c r="J21" s="46">
        <f>KOL_Database!$K$20</f>
      </c>
      <c r="K21" s="47">
        <f>IFERROR(INDEX(Lookup_Lists!$B$170:$O$181,MATCH(Brand_Profile!$D$10,Lookup_Lists!$A$170:$A$181,0),MATCH(KOL_Database!$E$20,Lookup_Lists!$B$169:$O$169,0)),Lookup_Lists!$D$151)</f>
      </c>
      <c r="L21" s="47">
        <f>IF(KOL_Database!$F$20="",Matching_Engine!$BC$21,IF(Brand_Profile!$D$12=KOL_Database!$F$20,100,IF(Matching_Engine!$BA$21=KOL_Database!$E$20,80,IF(Matching_Engine!$BC$21&gt;=80,60,IF(Matching_Engine!$BC$21&gt;=60,40,Lookup_Lists!$D$151)))))</f>
      </c>
      <c r="M21" s="47">
        <f>ROUND((IF(Brand_Profile!$D$62=0,Lookup_Lists!$D$150,ROUND((IF(Brand_Profile!$D$57="",0,IF(ISNUMBER(SEARCH(Brand_Profile!$D$57,Matching_Engine!$BF$21)),1,0))+IF(Brand_Profile!$D$58="",0,IF(ISNUMBER(SEARCH(Brand_Profile!$D$58,Matching_Engine!$BF$21)),1,0))+IF(Brand_Profile!$D$59="",0,IF(ISNUMBER(SEARCH(Brand_Profile!$D$59,Matching_Engine!$BF$21)),1,0))+IF(Brand_Profile!$D$60="",0,IF(ISNUMBER(SEARCH(Brand_Profile!$D$60,Matching_Engine!$BF$21)),1,0))+IF(Brand_Profile!$D$61="",0,IF(ISNUMBER(SEARCH(Brand_Profile!$D$61,Matching_Engine!$BF$21)),1,0)))/Brand_Profile!$D$62*100,0))+IF(Brand_Profile!$D$74=0,Lookup_Lists!$D$150,ROUND((IF(Brand_Profile!$D$69="",0,IF(ISNUMBER(SEARCH(Brand_Profile!$D$69,Matching_Engine!$BF$21)),1,0))+IF(Brand_Profile!$D$70="",0,IF(ISNUMBER(SEARCH(Brand_Profile!$D$70,Matching_Engine!$BF$21)),1,0))+IF(Brand_Profile!$D$71="",0,IF(ISNUMBER(SEARCH(Brand_Profile!$D$71,Matching_Engine!$BF$21)),1,0))+IF(Brand_Profile!$D$72="",0,IF(ISNUMBER(SEARCH(Brand_Profile!$D$72,Matching_Engine!$BF$21)),1,0))+IF(Brand_Profile!$D$73="",0,IF(ISNUMBER(SEARCH(Brand_Profile!$D$73,Matching_Engine!$BF$21)),1,0)))/Brand_Profile!$D$74*100,0)))/2,0)</f>
      </c>
      <c r="N21" s="47">
        <f>ROUND((Matching_Engine!$K$21*Lookup_Lists!$D$110+Matching_Engine!$L$21*Lookup_Lists!$D$111+Matching_Engine!$M$21*Lookup_Lists!$D$112)/(Lookup_Lists!$D$110+Lookup_Lists!$D$111+Lookup_Lists!$D$112),0)</f>
      </c>
      <c r="O21" s="47">
        <f>IF(Brand_Profile!$D$16="",Lookup_Lists!$D$150,MIN(100,ROUND((IFERROR(INDEX(KOL_Database!$W$20:KOL_Database!$AA$20,1,MATCH(Brand_Profile!$D$16,Lookup_Lists!$F$6:$F$10,0)),0)+0.5*IFERROR(INDEX(KOL_Database!$W$20:KOL_Database!$AA$20,1,MATCH(Brand_Profile!$D$17,Lookup_Lists!$F$6:$F$10,0)),0))/Lookup_Lists!$D$142*100,0)))</f>
      </c>
      <c r="P21" s="47">
        <f>IF(OR(Brand_Profile!$D$18="",Brand_Profile!$D$18="Any"),100,IF(Brand_Profile!$D$18="Female",MIN(100,ROUND(KOL_Database!$AB$20/Lookup_Lists!$D$143*100,0)),IF(Brand_Profile!$D$18="Male",MIN(100,ROUND(KOL_Database!$AC$20/Lookup_Lists!$D$143*100,0)),MAX(0,ROUND(100-ABS(KOL_Database!$AB$20-50)*2,0)))))</f>
      </c>
      <c r="Q21" s="47">
        <f>ROUND((IF(Brand_Profile!$D$19="",100,IF(KOL_Database!$AD$20=Brand_Profile!$D$19,100,Lookup_Lists!$D$151))*Lookup_Lists!$D$118+IF(OR(Brand_Profile!$D$20="",Brand_Profile!$D$20="Nasional"),100,IF(KOL_Database!$AE$20="",Lookup_Lists!$D$150,IF(KOL_Database!$AE$20=Brand_Profile!$D$20,100,IF(KOL_Database!$AD$20=Brand_Profile!$D$19,40,Lookup_Lists!$D$151))))*Lookup_Lists!$D$119+IF(OR(Brand_Profile!$D$21="",Brand_Profile!$D$21="Nasional"),100,IF(KOL_Database!$AF$20="",Lookup_Lists!$D$150,IF(KOL_Database!$AF$20=Brand_Profile!$D$21,100,IF(KOL_Database!$AE$20=Brand_Profile!$D$20,60,Lookup_Lists!$D$151))))*Lookup_Lists!$D$120)/(Lookup_Lists!$D$118+Lookup_Lists!$D$119+Lookup_Lists!$D$120),0)</f>
      </c>
      <c r="R21" s="47">
        <f>IF(Brand_Profile!$D$68=0,Lookup_Lists!$D$150,ROUND((IF(Brand_Profile!$D$63="",0,IF(ISNUMBER(SEARCH(Brand_Profile!$D$63,KOL_Database!$AG$20)),1,0))+IF(Brand_Profile!$D$64="",0,IF(ISNUMBER(SEARCH(Brand_Profile!$D$64,KOL_Database!$AG$20)),1,0))+IF(Brand_Profile!$D$65="",0,IF(ISNUMBER(SEARCH(Brand_Profile!$D$65,KOL_Database!$AG$20)),1,0))+IF(Brand_Profile!$D$66="",0,IF(ISNUMBER(SEARCH(Brand_Profile!$D$66,KOL_Database!$AG$20)),1,0))+IF(Brand_Profile!$D$67="",0,IF(ISNUMBER(SEARCH(Brand_Profile!$D$67,KOL_Database!$AG$20)),1,0)))/Brand_Profile!$D$68*100,0))</f>
      </c>
      <c r="S21" s="47">
        <f>ROUND((Matching_Engine!$O$21*Brand_Profile!$D$96+Matching_Engine!$P$21*Brand_Profile!$D$97+Matching_Engine!$Q$21*Brand_Profile!$D$98+Matching_Engine!$R$21*Brand_Profile!$D$99)/MAX(1,Brand_Profile!$D$96+Brand_Profile!$D$97+Brand_Profile!$D$98+Brand_Profile!$D$99),0)</f>
      </c>
      <c r="T21" s="47">
        <f>IF(Brand_Profile!$D$33="",Lookup_Lists!$D$150,Matching_Engine!$BD$21)</f>
      </c>
      <c r="U21" s="47">
        <f>IF(Brand_Profile!$D$34="",Lookup_Lists!$D$150,IF(Brand_Profile!$D$34=KOL_Database!$F$20,100,IF(Matching_Engine!$BE$21=KOL_Database!$E$20,75,IF(Matching_Engine!$BD$21&gt;=80,Lookup_Lists!$D$150,IF(Matching_Engine!$BD$21&gt;=60,35,Lookup_Lists!$D$151)))))</f>
      </c>
      <c r="V21" s="47">
        <f>IF(Brand_Profile!$D$86=0,Lookup_Lists!$D$150,ROUND((IF(Brand_Profile!$D$81="",0,IF(ISNUMBER(SEARCH(Brand_Profile!$D$81,Matching_Engine!$BG$21)),1,0))+IF(Brand_Profile!$D$82="",0,IF(ISNUMBER(SEARCH(Brand_Profile!$D$82,Matching_Engine!$BG$21)),1,0))+IF(Brand_Profile!$D$83="",0,IF(ISNUMBER(SEARCH(Brand_Profile!$D$83,Matching_Engine!$BG$21)),1,0))+IF(Brand_Profile!$D$84="",0,IF(ISNUMBER(SEARCH(Brand_Profile!$D$84,Matching_Engine!$BG$21)),1,0))+IF(Brand_Profile!$D$85="",0,IF(ISNUMBER(SEARCH(Brand_Profile!$D$85,Matching_Engine!$BG$21)),1,0)))/Brand_Profile!$D$86*100,0))</f>
      </c>
      <c r="W21" s="47">
        <f>IF(Brand_Profile!$D$39="",Lookup_Lists!$D$150,IFERROR(INDEX(Lookup_Lists!$B$237:$K$246,MATCH(Brand_Profile!$D$39,Lookup_Lists!$A$237:$A$246,0),MATCH(KOL_Database!$AJ$20,Lookup_Lists!$B$236:$K$236,0)),45))</f>
      </c>
      <c r="X21" s="47">
        <f>ROUND((Matching_Engine!$T$21*Lookup_Lists!$D$121+Matching_Engine!$U$21*Lookup_Lists!$D$122+Matching_Engine!$V$21*Lookup_Lists!$D$123+Matching_Engine!$W$21*Lookup_Lists!$D$124)/(Lookup_Lists!$D$121+Lookup_Lists!$D$122+Lookup_Lists!$D$123+Lookup_Lists!$D$124),0)</f>
      </c>
      <c r="Y21" s="47">
        <f>MIN(100,MAX(IFERROR(INDEX(Lookup_Lists!$B$202:$M$211,MATCH(Brand_Profile!$D$25,Lookup_Lists!$A$202:$A$211,0),MATCH(KOL_Database!$AK$20,Lookup_Lists!$B$201:$M$201,0)),40),IF(KOL_Database!$AK$20=Brand_Profile!$D$41,95,0)))</f>
      </c>
      <c r="Z21" s="47">
        <f>IFERROR(INDEX(Lookup_Lists!$B$215:$K$222,MATCH(Brand_Profile!$D$27,Lookup_Lists!$A$215:$A$222,0),MATCH(KOL_Database!$AJ$20,Lookup_Lists!$B$214:$K$214,0)),45)</f>
      </c>
      <c r="AA21" s="47">
        <f>ROUND((IF(Brand_Profile!$D$80=0,Lookup_Lists!$D$150,ROUND((IF(Brand_Profile!$D$75="",0,IF(ISNUMBER(SEARCH(Brand_Profile!$D$75,KOL_Database!$AL$20)),1,0))+IF(Brand_Profile!$D$76="",0,IF(ISNUMBER(SEARCH(Brand_Profile!$D$76,KOL_Database!$AL$20)),1,0))+IF(Brand_Profile!$D$77="",0,IF(ISNUMBER(SEARCH(Brand_Profile!$D$77,KOL_Database!$AL$20)),1,0))+IF(Brand_Profile!$D$78="",0,IF(ISNUMBER(SEARCH(Brand_Profile!$D$78,KOL_Database!$AL$20)),1,0))+IF(Brand_Profile!$D$79="",0,IF(ISNUMBER(SEARCH(Brand_Profile!$D$79,KOL_Database!$AL$20)),1,0)))/Brand_Profile!$D$80*100,0))+IF(Brand_Profile!$D$92=0,Lookup_Lists!$D$150,ROUND((IF(Brand_Profile!$D$87="",0,IF(ISNUMBER(SEARCH(Brand_Profile!$D$87,KOL_Database!$AL$20)),1,0))+IF(Brand_Profile!$D$88="",0,IF(ISNUMBER(SEARCH(Brand_Profile!$D$88,KOL_Database!$AL$20)),1,0))+IF(Brand_Profile!$D$89="",0,IF(ISNUMBER(SEARCH(Brand_Profile!$D$89,KOL_Database!$AL$20)),1,0))+IF(Brand_Profile!$D$90="",0,IF(ISNUMBER(SEARCH(Brand_Profile!$D$90,KOL_Database!$AL$20)),1,0))+IF(Brand_Profile!$D$91="",0,IF(ISNUMBER(SEARCH(Brand_Profile!$D$91,KOL_Database!$AL$20)),1,0)))/Brand_Profile!$D$92*100,0)))/2,0)</f>
      </c>
      <c r="AB21" s="47">
        <f>IFERROR(INDEX(Lookup_Lists!$B$226:$K$233,MATCH(Brand_Profile!$D$30,Lookup_Lists!$A$226:$A$233,0),MATCH(KOL_Database!$AJ$20,Lookup_Lists!$B$225:$K$225,0)),45)</f>
      </c>
      <c r="AC21" s="47">
        <f>ROUND((Matching_Engine!$Y$21*Lookup_Lists!$D$125+Matching_Engine!$Z$21*Lookup_Lists!$D$126+Matching_Engine!$AA$21*Lookup_Lists!$D$127+Matching_Engine!$AB$21*Lookup_Lists!$D$128)/(Lookup_Lists!$D$125+Lookup_Lists!$D$126+Lookup_Lists!$D$127+Lookup_Lists!$D$128),0)</f>
      </c>
      <c r="AD21" s="47">
        <f>IF(KOL_Database!$K$20="",0,MIN(100,ROUND(KOL_Database!$K$20/Lookup_Lists!$D$141*100,0)))</f>
      </c>
      <c r="AE21" s="47">
        <f>IF(KOL_Database!$R$20="",0,MIN(100,MAX(0,KOL_Database!$R$20)))</f>
      </c>
      <c r="AF21" s="47">
        <f>IF(KOL_Database!$P$20="",0,MIN(100,MAX(0,KOL_Database!$P$20)))</f>
      </c>
      <c r="AG21" s="47">
        <f>IF(KOL_Database!$Q$20="",0,MIN(100,MAX(0,KOL_Database!$Q$20)))</f>
      </c>
      <c r="AH21" s="47">
        <f>IF(OR(KOL_Database!$J$20="",KOL_Database!$J$20=0,KOL_Database!$L$20=""),0,MIN(100,ROUND(KOL_Database!$L$20/KOL_Database!$J$20/Lookup_Lists!$D$144*100,0)))</f>
      </c>
      <c r="AI21" s="47">
        <f>IF(KOL_Database!$N$20="",0,MIN(100,MAX(0,ROUND((KOL_Database!$N$20+2)/(Lookup_Lists!$D$145+2)*100,0))))</f>
      </c>
      <c r="AJ21" s="47">
        <f>ROUND((Matching_Engine!$AD$21*Lookup_Lists!$D$129+Matching_Engine!$AE$21*Lookup_Lists!$D$130+Matching_Engine!$AF$21*Lookup_Lists!$D$131+Matching_Engine!$AG$21*Lookup_Lists!$D$132+Matching_Engine!$AH$21*Lookup_Lists!$D$133+Matching_Engine!$AI$21*Lookup_Lists!$D$134)/(Lookup_Lists!$D$129+Lookup_Lists!$D$130+Lookup_Lists!$D$131+Lookup_Lists!$D$132+Lookup_Lists!$D$133+Lookup_Lists!$D$134),0)</f>
      </c>
      <c r="AK21" s="47">
        <f>IF(KOL_Database!$AT$20="",0,MIN(100,MAX(0,KOL_Database!$AT$20)))</f>
      </c>
      <c r="AL21" s="47">
        <f>IF(KOL_Database!$AU$20="",0,KOL_Database!$AU$20)</f>
      </c>
      <c r="AM21" s="44">
        <f>IF(KOL_Database!$AV$20="","None",KOL_Database!$AV$20)</f>
      </c>
      <c r="AN21" s="48">
        <f>IF(Matching_Engine!$AM$21="High",Lookup_Lists!$D$137,IF(Matching_Engine!$AM$21="Medium",Lookup_Lists!$D$138,IF(Matching_Engine!$AM$21="Low",Lookup_Lists!$D$139,Lookup_Lists!$D$140)))</f>
      </c>
      <c r="AO21" s="47">
        <f>ROUND(MIN(100,MAX(0,(Matching_Engine!$AK$21*Lookup_Lists!$D$135+(100-Matching_Engine!$AL$21)*Lookup_Lists!$D$136)/(Lookup_Lists!$D$135+Lookup_Lists!$D$136)*Matching_Engine!$AN$21)),0)</f>
      </c>
      <c r="AP21" s="49">
        <f>ROUND((Matching_Engine!$N$21*Lookup_Lists!$D$104+Matching_Engine!$S$21*Lookup_Lists!$D$105+Matching_Engine!$X$21*Lookup_Lists!$D$106+Matching_Engine!$AC$21*Lookup_Lists!$D$107+Matching_Engine!$AJ$21*Lookup_Lists!$D$108+Matching_Engine!$AO$21*Lookup_Lists!$D$109)/MAX(1,(Lookup_Lists!$D$104+Lookup_Lists!$D$105+Lookup_Lists!$D$106+Lookup_Lists!$D$107+Lookup_Lists!$D$108+Lookup_Lists!$D$109)),0)</f>
      </c>
      <c r="AQ21" s="44">
        <f>IF(Matching_Engine!$AP$21&gt;=Lookup_Lists!$D$152,"Excellent Match",IF(Matching_Engine!$AP$21&gt;=Lookup_Lists!$D$153,"Strong Match",IF(Matching_Engine!$AP$21&gt;=Lookup_Lists!$D$154,"Good Match",IF(Matching_Engine!$AP$21&gt;=Lookup_Lists!$D$155,"Moderate Match","Low Match"))))</f>
      </c>
      <c r="AR21" s="47">
        <f>KOL_Database!$BE$20</f>
      </c>
      <c r="AS21" s="44">
        <f>IF(Matching_Engine!$AR$21&gt;=Lookup_Lists!$D$159,"High",IF(Matching_Engine!$AR$21&gt;=Lookup_Lists!$D$160,"Medium","Limited Data"))</f>
      </c>
      <c r="AT21" s="47">
        <f>ROUND((Matching_Engine!$N$21+Matching_Engine!$X$21+Matching_Engine!$AC$21)/3,0)</f>
      </c>
      <c r="AU21" s="47">
        <f>ROUND(((100-Matching_Engine!$AL$21)*Lookup_Lists!$D$162+IF(KOL_Database!$BD$20="",Lookup_Lists!$D$150,KOL_Database!$BD$20)*Lookup_Lists!$D$163+Matching_Engine!$AI$21*Lookup_Lists!$D$164+Matching_Engine!$AD$21*Lookup_Lists!$D$165)/(Lookup_Lists!$D$162+Lookup_Lists!$D$163+Lookup_Lists!$D$164+Lookup_Lists!$D$165),0)</f>
      </c>
      <c r="AV21" s="44">
        <f>IF(Matching_Engine!$AW$21="","PASS","EXCLUDED")</f>
      </c>
      <c r="AW21" s="44">
        <f>IF(ISERROR(SEARCH(KOL_Database!$D$20,Brand_Profile!$D$32)),"Platform not in Preferred Platform",IF(AND(Brand_Profile!$D$36&gt;0,KOL_Database!$J$20&lt;Brand_Profile!$D$36),"Followers below Preferred Follower Range",IF(AND(Brand_Profile!$D$37&gt;0,KOL_Database!$J$20&gt;Brand_Profile!$D$37),"Followers above Preferred Follower Range",IF(AND(Brand_Profile!$D$38&gt;0,IF(KOL_Database!$K$20="",0,KOL_Database!$K$20)&lt;Brand_Profile!$D$38),"Engagement Rate below Minimum Engagement Rate",IF(ISERROR(SEARCH(KOL_Database!$G$20,Brand_Profile!$D$35)),"Tier not in Preferred Tier",IF(AND(Brand_Profile!$D$43&gt;0,Matching_Engine!$AE$21&lt;Brand_Profile!$D$43),"Audience Quality below Minimum Audience Quality",IF(AND(Brand_Profile!$D$44&gt;0,Matching_Engine!$AK$21&lt;Brand_Profile!$D$44),"Brand Safety below Minimum Brand Safety",IF(AND(Brand_Profile!$D$47="Yes",KOL_Database!$AD$20&lt;&gt;Brand_Profile!$D$19),"Audience Country does not match Target Country",IF(AND(Brand_Profile!$D$46="Yes",KOL_Database!$E$20&lt;&gt;Brand_Profile!$D$33),"Category is not the Preferred Category",IF(AND(Brand_Profile!$D$48&gt;0,Matching_Engine!$AL$21&gt;Brand_Profile!$D$48),"Competitor Saturation above Max Competitor Saturation",IF(AND(Brand_Profile!$D$50="Yes",KOL_Database!$AW$20="Yes"),"Already Selected",IF(AND(Brand_Profile!$D$51="Yes",KOL_Database!$AX$20="Yes"),"Already in Cart",IF(AND(Brand_Profile!$D$52="Yes",KOL_Database!$AY$20="Yes"),"Existing Partner",IF(AND(Brand_Profile!$D$53="Yes",KOL_Database!$AZ$20="Yes"),"Excluded Creator",IF(AND(Brand_Profile!$D$49&gt;0,Matching_Engine!$AP$21&lt;Brand_Profile!$D$49),"Brand Match below Minimum Brand Match","")))))))))))))))</f>
      </c>
      <c r="AX21" s="44">
        <f>IF(Matching_Engine!$AV$21="EXCLUDED","Excluded",IF(Matching_Engine!$AP$21&gt;=Lookup_Lists!$D$156,"Highly Recommended",IF(Matching_Engine!$AP$21&gt;=Lookup_Lists!$D$157,"Recommended",IF(Matching_Engine!$AP$21&gt;=Lookup_Lists!$D$158,"Consider","Low Priority"))))</f>
      </c>
      <c r="AY21" s="47">
        <f>IF(Matching_Engine!$AV$21="PASS",Matching_Engine!$AP$21,"")</f>
      </c>
      <c r="AZ21" s="44">
        <f>Matching_Engine!$A$21&amp;"|"&amp;Matching_Engine!$C$21</f>
      </c>
      <c r="BA21" s="44">
        <f>IFERROR(INDEX(Lookup_Lists!$B$51:$B$92,MATCH(Brand_Profile!$D$12,Lookup_Lists!$A$51:$A$92,0)),"")</f>
      </c>
      <c r="BB21" s="44">
        <f>IFERROR(INDEX(Lookup_Lists!$B$51:$B$92,MATCH(KOL_Database!$F$20,Lookup_Lists!$A$51:$A$92,0)),"")</f>
      </c>
      <c r="BC21" s="47">
        <f>IFERROR(INDEX(Lookup_Lists!$B$185:$O$198,MATCH(Matching_Engine!$BA$21,Lookup_Lists!$A$185:$A$198,0),MATCH(KOL_Database!$E$20,Lookup_Lists!$B$184:$O$184,0)),Lookup_Lists!$D$151)</f>
      </c>
      <c r="BD21" s="47">
        <f>IFERROR(INDEX(Lookup_Lists!$B$185:$O$198,MATCH(Brand_Profile!$D$33,Lookup_Lists!$A$185:$A$198,0),MATCH(KOL_Database!$E$20,Lookup_Lists!$B$184:$O$184,0)),Lookup_Lists!$D$151)</f>
      </c>
      <c r="BE21" s="44">
        <f>IFERROR(INDEX(Lookup_Lists!$B$51:$B$92,MATCH(Brand_Profile!$D$34,Lookup_Lists!$A$51:$A$92,0)),"")</f>
      </c>
      <c r="BF21" s="44">
        <f>KOL_Database!$AI$20&amp;", "&amp;KOL_Database!$AG$20&amp;", "&amp;KOL_Database!$F$20&amp;", "&amp;KOL_Database!$E$20</f>
      </c>
      <c r="BG21" s="44">
        <f>KOL_Database!$AI$20&amp;", "&amp;KOL_Database!$AG$20</f>
      </c>
    </row>
    <row r="22" spans="1:59" x14ac:dyDescent="0.25">
      <c r="A22" s="43" t="s">
        <v>71</v>
      </c>
      <c r="B22" s="44">
        <f>Brand_Profile!$D$9</f>
      </c>
      <c r="C22" s="44">
        <f>KOL_Database!$A$21</f>
      </c>
      <c r="D22" s="44">
        <f>KOL_Database!$B$21</f>
      </c>
      <c r="E22" s="44">
        <f>KOL_Database!$C$21</f>
      </c>
      <c r="F22" s="44">
        <f>KOL_Database!$D$21</f>
      </c>
      <c r="G22" s="44">
        <f>KOL_Database!$E$21</f>
      </c>
      <c r="H22" s="44">
        <f>KOL_Database!$G$21</f>
      </c>
      <c r="I22" s="45">
        <f>KOL_Database!$J$21</f>
      </c>
      <c r="J22" s="46">
        <f>KOL_Database!$K$21</f>
      </c>
      <c r="K22" s="47">
        <f>IFERROR(INDEX(Lookup_Lists!$B$170:$O$181,MATCH(Brand_Profile!$D$10,Lookup_Lists!$A$170:$A$181,0),MATCH(KOL_Database!$E$21,Lookup_Lists!$B$169:$O$169,0)),Lookup_Lists!$D$151)</f>
      </c>
      <c r="L22" s="47">
        <f>IF(KOL_Database!$F$21="",Matching_Engine!$BC$22,IF(Brand_Profile!$D$12=KOL_Database!$F$21,100,IF(Matching_Engine!$BA$22=KOL_Database!$E$21,80,IF(Matching_Engine!$BC$22&gt;=80,60,IF(Matching_Engine!$BC$22&gt;=60,40,Lookup_Lists!$D$151)))))</f>
      </c>
      <c r="M22" s="47">
        <f>ROUND((IF(Brand_Profile!$D$62=0,Lookup_Lists!$D$150,ROUND((IF(Brand_Profile!$D$57="",0,IF(ISNUMBER(SEARCH(Brand_Profile!$D$57,Matching_Engine!$BF$22)),1,0))+IF(Brand_Profile!$D$58="",0,IF(ISNUMBER(SEARCH(Brand_Profile!$D$58,Matching_Engine!$BF$22)),1,0))+IF(Brand_Profile!$D$59="",0,IF(ISNUMBER(SEARCH(Brand_Profile!$D$59,Matching_Engine!$BF$22)),1,0))+IF(Brand_Profile!$D$60="",0,IF(ISNUMBER(SEARCH(Brand_Profile!$D$60,Matching_Engine!$BF$22)),1,0))+IF(Brand_Profile!$D$61="",0,IF(ISNUMBER(SEARCH(Brand_Profile!$D$61,Matching_Engine!$BF$22)),1,0)))/Brand_Profile!$D$62*100,0))+IF(Brand_Profile!$D$74=0,Lookup_Lists!$D$150,ROUND((IF(Brand_Profile!$D$69="",0,IF(ISNUMBER(SEARCH(Brand_Profile!$D$69,Matching_Engine!$BF$22)),1,0))+IF(Brand_Profile!$D$70="",0,IF(ISNUMBER(SEARCH(Brand_Profile!$D$70,Matching_Engine!$BF$22)),1,0))+IF(Brand_Profile!$D$71="",0,IF(ISNUMBER(SEARCH(Brand_Profile!$D$71,Matching_Engine!$BF$22)),1,0))+IF(Brand_Profile!$D$72="",0,IF(ISNUMBER(SEARCH(Brand_Profile!$D$72,Matching_Engine!$BF$22)),1,0))+IF(Brand_Profile!$D$73="",0,IF(ISNUMBER(SEARCH(Brand_Profile!$D$73,Matching_Engine!$BF$22)),1,0)))/Brand_Profile!$D$74*100,0)))/2,0)</f>
      </c>
      <c r="N22" s="47">
        <f>ROUND((Matching_Engine!$K$22*Lookup_Lists!$D$110+Matching_Engine!$L$22*Lookup_Lists!$D$111+Matching_Engine!$M$22*Lookup_Lists!$D$112)/(Lookup_Lists!$D$110+Lookup_Lists!$D$111+Lookup_Lists!$D$112),0)</f>
      </c>
      <c r="O22" s="47">
        <f>IF(Brand_Profile!$D$16="",Lookup_Lists!$D$150,MIN(100,ROUND((IFERROR(INDEX(KOL_Database!$W$21:KOL_Database!$AA$21,1,MATCH(Brand_Profile!$D$16,Lookup_Lists!$F$6:$F$10,0)),0)+0.5*IFERROR(INDEX(KOL_Database!$W$21:KOL_Database!$AA$21,1,MATCH(Brand_Profile!$D$17,Lookup_Lists!$F$6:$F$10,0)),0))/Lookup_Lists!$D$142*100,0)))</f>
      </c>
      <c r="P22" s="47">
        <f>IF(OR(Brand_Profile!$D$18="",Brand_Profile!$D$18="Any"),100,IF(Brand_Profile!$D$18="Female",MIN(100,ROUND(KOL_Database!$AB$21/Lookup_Lists!$D$143*100,0)),IF(Brand_Profile!$D$18="Male",MIN(100,ROUND(KOL_Database!$AC$21/Lookup_Lists!$D$143*100,0)),MAX(0,ROUND(100-ABS(KOL_Database!$AB$21-50)*2,0)))))</f>
      </c>
      <c r="Q22" s="47">
        <f>ROUND((IF(Brand_Profile!$D$19="",100,IF(KOL_Database!$AD$21=Brand_Profile!$D$19,100,Lookup_Lists!$D$151))*Lookup_Lists!$D$118+IF(OR(Brand_Profile!$D$20="",Brand_Profile!$D$20="Nasional"),100,IF(KOL_Database!$AE$21="",Lookup_Lists!$D$150,IF(KOL_Database!$AE$21=Brand_Profile!$D$20,100,IF(KOL_Database!$AD$21=Brand_Profile!$D$19,40,Lookup_Lists!$D$151))))*Lookup_Lists!$D$119+IF(OR(Brand_Profile!$D$21="",Brand_Profile!$D$21="Nasional"),100,IF(KOL_Database!$AF$21="",Lookup_Lists!$D$150,IF(KOL_Database!$AF$21=Brand_Profile!$D$21,100,IF(KOL_Database!$AE$21=Brand_Profile!$D$20,60,Lookup_Lists!$D$151))))*Lookup_Lists!$D$120)/(Lookup_Lists!$D$118+Lookup_Lists!$D$119+Lookup_Lists!$D$120),0)</f>
      </c>
      <c r="R22" s="47">
        <f>IF(Brand_Profile!$D$68=0,Lookup_Lists!$D$150,ROUND((IF(Brand_Profile!$D$63="",0,IF(ISNUMBER(SEARCH(Brand_Profile!$D$63,KOL_Database!$AG$21)),1,0))+IF(Brand_Profile!$D$64="",0,IF(ISNUMBER(SEARCH(Brand_Profile!$D$64,KOL_Database!$AG$21)),1,0))+IF(Brand_Profile!$D$65="",0,IF(ISNUMBER(SEARCH(Brand_Profile!$D$65,KOL_Database!$AG$21)),1,0))+IF(Brand_Profile!$D$66="",0,IF(ISNUMBER(SEARCH(Brand_Profile!$D$66,KOL_Database!$AG$21)),1,0))+IF(Brand_Profile!$D$67="",0,IF(ISNUMBER(SEARCH(Brand_Profile!$D$67,KOL_Database!$AG$21)),1,0)))/Brand_Profile!$D$68*100,0))</f>
      </c>
      <c r="S22" s="47">
        <f>ROUND((Matching_Engine!$O$22*Brand_Profile!$D$96+Matching_Engine!$P$22*Brand_Profile!$D$97+Matching_Engine!$Q$22*Brand_Profile!$D$98+Matching_Engine!$R$22*Brand_Profile!$D$99)/MAX(1,Brand_Profile!$D$96+Brand_Profile!$D$97+Brand_Profile!$D$98+Brand_Profile!$D$99),0)</f>
      </c>
      <c r="T22" s="47">
        <f>IF(Brand_Profile!$D$33="",Lookup_Lists!$D$150,Matching_Engine!$BD$22)</f>
      </c>
      <c r="U22" s="47">
        <f>IF(Brand_Profile!$D$34="",Lookup_Lists!$D$150,IF(Brand_Profile!$D$34=KOL_Database!$F$21,100,IF(Matching_Engine!$BE$22=KOL_Database!$E$21,75,IF(Matching_Engine!$BD$22&gt;=80,Lookup_Lists!$D$150,IF(Matching_Engine!$BD$22&gt;=60,35,Lookup_Lists!$D$151)))))</f>
      </c>
      <c r="V22" s="47">
        <f>IF(Brand_Profile!$D$86=0,Lookup_Lists!$D$150,ROUND((IF(Brand_Profile!$D$81="",0,IF(ISNUMBER(SEARCH(Brand_Profile!$D$81,Matching_Engine!$BG$22)),1,0))+IF(Brand_Profile!$D$82="",0,IF(ISNUMBER(SEARCH(Brand_Profile!$D$82,Matching_Engine!$BG$22)),1,0))+IF(Brand_Profile!$D$83="",0,IF(ISNUMBER(SEARCH(Brand_Profile!$D$83,Matching_Engine!$BG$22)),1,0))+IF(Brand_Profile!$D$84="",0,IF(ISNUMBER(SEARCH(Brand_Profile!$D$84,Matching_Engine!$BG$22)),1,0))+IF(Brand_Profile!$D$85="",0,IF(ISNUMBER(SEARCH(Brand_Profile!$D$85,Matching_Engine!$BG$22)),1,0)))/Brand_Profile!$D$86*100,0))</f>
      </c>
      <c r="W22" s="47">
        <f>IF(Brand_Profile!$D$39="",Lookup_Lists!$D$150,IFERROR(INDEX(Lookup_Lists!$B$237:$K$246,MATCH(Brand_Profile!$D$39,Lookup_Lists!$A$237:$A$246,0),MATCH(KOL_Database!$AJ$21,Lookup_Lists!$B$236:$K$236,0)),45))</f>
      </c>
      <c r="X22" s="47">
        <f>ROUND((Matching_Engine!$T$22*Lookup_Lists!$D$121+Matching_Engine!$U$22*Lookup_Lists!$D$122+Matching_Engine!$V$22*Lookup_Lists!$D$123+Matching_Engine!$W$22*Lookup_Lists!$D$124)/(Lookup_Lists!$D$121+Lookup_Lists!$D$122+Lookup_Lists!$D$123+Lookup_Lists!$D$124),0)</f>
      </c>
      <c r="Y22" s="47">
        <f>MIN(100,MAX(IFERROR(INDEX(Lookup_Lists!$B$202:$M$211,MATCH(Brand_Profile!$D$25,Lookup_Lists!$A$202:$A$211,0),MATCH(KOL_Database!$AK$21,Lookup_Lists!$B$201:$M$201,0)),40),IF(KOL_Database!$AK$21=Brand_Profile!$D$41,95,0)))</f>
      </c>
      <c r="Z22" s="47">
        <f>IFERROR(INDEX(Lookup_Lists!$B$215:$K$222,MATCH(Brand_Profile!$D$27,Lookup_Lists!$A$215:$A$222,0),MATCH(KOL_Database!$AJ$21,Lookup_Lists!$B$214:$K$214,0)),45)</f>
      </c>
      <c r="AA22" s="47">
        <f>ROUND((IF(Brand_Profile!$D$80=0,Lookup_Lists!$D$150,ROUND((IF(Brand_Profile!$D$75="",0,IF(ISNUMBER(SEARCH(Brand_Profile!$D$75,KOL_Database!$AL$21)),1,0))+IF(Brand_Profile!$D$76="",0,IF(ISNUMBER(SEARCH(Brand_Profile!$D$76,KOL_Database!$AL$21)),1,0))+IF(Brand_Profile!$D$77="",0,IF(ISNUMBER(SEARCH(Brand_Profile!$D$77,KOL_Database!$AL$21)),1,0))+IF(Brand_Profile!$D$78="",0,IF(ISNUMBER(SEARCH(Brand_Profile!$D$78,KOL_Database!$AL$21)),1,0))+IF(Brand_Profile!$D$79="",0,IF(ISNUMBER(SEARCH(Brand_Profile!$D$79,KOL_Database!$AL$21)),1,0)))/Brand_Profile!$D$80*100,0))+IF(Brand_Profile!$D$92=0,Lookup_Lists!$D$150,ROUND((IF(Brand_Profile!$D$87="",0,IF(ISNUMBER(SEARCH(Brand_Profile!$D$87,KOL_Database!$AL$21)),1,0))+IF(Brand_Profile!$D$88="",0,IF(ISNUMBER(SEARCH(Brand_Profile!$D$88,KOL_Database!$AL$21)),1,0))+IF(Brand_Profile!$D$89="",0,IF(ISNUMBER(SEARCH(Brand_Profile!$D$89,KOL_Database!$AL$21)),1,0))+IF(Brand_Profile!$D$90="",0,IF(ISNUMBER(SEARCH(Brand_Profile!$D$90,KOL_Database!$AL$21)),1,0))+IF(Brand_Profile!$D$91="",0,IF(ISNUMBER(SEARCH(Brand_Profile!$D$91,KOL_Database!$AL$21)),1,0)))/Brand_Profile!$D$92*100,0)))/2,0)</f>
      </c>
      <c r="AB22" s="47">
        <f>IFERROR(INDEX(Lookup_Lists!$B$226:$K$233,MATCH(Brand_Profile!$D$30,Lookup_Lists!$A$226:$A$233,0),MATCH(KOL_Database!$AJ$21,Lookup_Lists!$B$225:$K$225,0)),45)</f>
      </c>
      <c r="AC22" s="47">
        <f>ROUND((Matching_Engine!$Y$22*Lookup_Lists!$D$125+Matching_Engine!$Z$22*Lookup_Lists!$D$126+Matching_Engine!$AA$22*Lookup_Lists!$D$127+Matching_Engine!$AB$22*Lookup_Lists!$D$128)/(Lookup_Lists!$D$125+Lookup_Lists!$D$126+Lookup_Lists!$D$127+Lookup_Lists!$D$128),0)</f>
      </c>
      <c r="AD22" s="47">
        <f>IF(KOL_Database!$K$21="",0,MIN(100,ROUND(KOL_Database!$K$21/Lookup_Lists!$D$141*100,0)))</f>
      </c>
      <c r="AE22" s="47">
        <f>IF(KOL_Database!$R$21="",0,MIN(100,MAX(0,KOL_Database!$R$21)))</f>
      </c>
      <c r="AF22" s="47">
        <f>IF(KOL_Database!$P$21="",0,MIN(100,MAX(0,KOL_Database!$P$21)))</f>
      </c>
      <c r="AG22" s="47">
        <f>IF(KOL_Database!$Q$21="",0,MIN(100,MAX(0,KOL_Database!$Q$21)))</f>
      </c>
      <c r="AH22" s="47">
        <f>IF(OR(KOL_Database!$J$21="",KOL_Database!$J$21=0,KOL_Database!$L$21=""),0,MIN(100,ROUND(KOL_Database!$L$21/KOL_Database!$J$21/Lookup_Lists!$D$144*100,0)))</f>
      </c>
      <c r="AI22" s="47">
        <f>IF(KOL_Database!$N$21="",0,MIN(100,MAX(0,ROUND((KOL_Database!$N$21+2)/(Lookup_Lists!$D$145+2)*100,0))))</f>
      </c>
      <c r="AJ22" s="47">
        <f>ROUND((Matching_Engine!$AD$22*Lookup_Lists!$D$129+Matching_Engine!$AE$22*Lookup_Lists!$D$130+Matching_Engine!$AF$22*Lookup_Lists!$D$131+Matching_Engine!$AG$22*Lookup_Lists!$D$132+Matching_Engine!$AH$22*Lookup_Lists!$D$133+Matching_Engine!$AI$22*Lookup_Lists!$D$134)/(Lookup_Lists!$D$129+Lookup_Lists!$D$130+Lookup_Lists!$D$131+Lookup_Lists!$D$132+Lookup_Lists!$D$133+Lookup_Lists!$D$134),0)</f>
      </c>
      <c r="AK22" s="47">
        <f>IF(KOL_Database!$AT$21="",0,MIN(100,MAX(0,KOL_Database!$AT$21)))</f>
      </c>
      <c r="AL22" s="47">
        <f>IF(KOL_Database!$AU$21="",0,KOL_Database!$AU$21)</f>
      </c>
      <c r="AM22" s="44">
        <f>IF(KOL_Database!$AV$21="","None",KOL_Database!$AV$21)</f>
      </c>
      <c r="AN22" s="48">
        <f>IF(Matching_Engine!$AM$22="High",Lookup_Lists!$D$137,IF(Matching_Engine!$AM$22="Medium",Lookup_Lists!$D$138,IF(Matching_Engine!$AM$22="Low",Lookup_Lists!$D$139,Lookup_Lists!$D$140)))</f>
      </c>
      <c r="AO22" s="47">
        <f>ROUND(MIN(100,MAX(0,(Matching_Engine!$AK$22*Lookup_Lists!$D$135+(100-Matching_Engine!$AL$22)*Lookup_Lists!$D$136)/(Lookup_Lists!$D$135+Lookup_Lists!$D$136)*Matching_Engine!$AN$22)),0)</f>
      </c>
      <c r="AP22" s="49">
        <f>ROUND((Matching_Engine!$N$22*Lookup_Lists!$D$104+Matching_Engine!$S$22*Lookup_Lists!$D$105+Matching_Engine!$X$22*Lookup_Lists!$D$106+Matching_Engine!$AC$22*Lookup_Lists!$D$107+Matching_Engine!$AJ$22*Lookup_Lists!$D$108+Matching_Engine!$AO$22*Lookup_Lists!$D$109)/MAX(1,(Lookup_Lists!$D$104+Lookup_Lists!$D$105+Lookup_Lists!$D$106+Lookup_Lists!$D$107+Lookup_Lists!$D$108+Lookup_Lists!$D$109)),0)</f>
      </c>
      <c r="AQ22" s="44">
        <f>IF(Matching_Engine!$AP$22&gt;=Lookup_Lists!$D$152,"Excellent Match",IF(Matching_Engine!$AP$22&gt;=Lookup_Lists!$D$153,"Strong Match",IF(Matching_Engine!$AP$22&gt;=Lookup_Lists!$D$154,"Good Match",IF(Matching_Engine!$AP$22&gt;=Lookup_Lists!$D$155,"Moderate Match","Low Match"))))</f>
      </c>
      <c r="AR22" s="47">
        <f>KOL_Database!$BE$21</f>
      </c>
      <c r="AS22" s="44">
        <f>IF(Matching_Engine!$AR$22&gt;=Lookup_Lists!$D$159,"High",IF(Matching_Engine!$AR$22&gt;=Lookup_Lists!$D$160,"Medium","Limited Data"))</f>
      </c>
      <c r="AT22" s="47">
        <f>ROUND((Matching_Engine!$N$22+Matching_Engine!$X$22+Matching_Engine!$AC$22)/3,0)</f>
      </c>
      <c r="AU22" s="47">
        <f>ROUND(((100-Matching_Engine!$AL$22)*Lookup_Lists!$D$162+IF(KOL_Database!$BD$21="",Lookup_Lists!$D$150,KOL_Database!$BD$21)*Lookup_Lists!$D$163+Matching_Engine!$AI$22*Lookup_Lists!$D$164+Matching_Engine!$AD$22*Lookup_Lists!$D$165)/(Lookup_Lists!$D$162+Lookup_Lists!$D$163+Lookup_Lists!$D$164+Lookup_Lists!$D$165),0)</f>
      </c>
      <c r="AV22" s="44">
        <f>IF(Matching_Engine!$AW$22="","PASS","EXCLUDED")</f>
      </c>
      <c r="AW22" s="44">
        <f>IF(ISERROR(SEARCH(KOL_Database!$D$21,Brand_Profile!$D$32)),"Platform not in Preferred Platform",IF(AND(Brand_Profile!$D$36&gt;0,KOL_Database!$J$21&lt;Brand_Profile!$D$36),"Followers below Preferred Follower Range",IF(AND(Brand_Profile!$D$37&gt;0,KOL_Database!$J$21&gt;Brand_Profile!$D$37),"Followers above Preferred Follower Range",IF(AND(Brand_Profile!$D$38&gt;0,IF(KOL_Database!$K$21="",0,KOL_Database!$K$21)&lt;Brand_Profile!$D$38),"Engagement Rate below Minimum Engagement Rate",IF(ISERROR(SEARCH(KOL_Database!$G$21,Brand_Profile!$D$35)),"Tier not in Preferred Tier",IF(AND(Brand_Profile!$D$43&gt;0,Matching_Engine!$AE$22&lt;Brand_Profile!$D$43),"Audience Quality below Minimum Audience Quality",IF(AND(Brand_Profile!$D$44&gt;0,Matching_Engine!$AK$22&lt;Brand_Profile!$D$44),"Brand Safety below Minimum Brand Safety",IF(AND(Brand_Profile!$D$47="Yes",KOL_Database!$AD$21&lt;&gt;Brand_Profile!$D$19),"Audience Country does not match Target Country",IF(AND(Brand_Profile!$D$46="Yes",KOL_Database!$E$21&lt;&gt;Brand_Profile!$D$33),"Category is not the Preferred Category",IF(AND(Brand_Profile!$D$48&gt;0,Matching_Engine!$AL$22&gt;Brand_Profile!$D$48),"Competitor Saturation above Max Competitor Saturation",IF(AND(Brand_Profile!$D$50="Yes",KOL_Database!$AW$21="Yes"),"Already Selected",IF(AND(Brand_Profile!$D$51="Yes",KOL_Database!$AX$21="Yes"),"Already in Cart",IF(AND(Brand_Profile!$D$52="Yes",KOL_Database!$AY$21="Yes"),"Existing Partner",IF(AND(Brand_Profile!$D$53="Yes",KOL_Database!$AZ$21="Yes"),"Excluded Creator",IF(AND(Brand_Profile!$D$49&gt;0,Matching_Engine!$AP$22&lt;Brand_Profile!$D$49),"Brand Match below Minimum Brand Match","")))))))))))))))</f>
      </c>
      <c r="AX22" s="44">
        <f>IF(Matching_Engine!$AV$22="EXCLUDED","Excluded",IF(Matching_Engine!$AP$22&gt;=Lookup_Lists!$D$156,"Highly Recommended",IF(Matching_Engine!$AP$22&gt;=Lookup_Lists!$D$157,"Recommended",IF(Matching_Engine!$AP$22&gt;=Lookup_Lists!$D$158,"Consider","Low Priority"))))</f>
      </c>
      <c r="AY22" s="47">
        <f>IF(Matching_Engine!$AV$22="PASS",Matching_Engine!$AP$22,"")</f>
      </c>
      <c r="AZ22" s="44">
        <f>Matching_Engine!$A$22&amp;"|"&amp;Matching_Engine!$C$22</f>
      </c>
      <c r="BA22" s="44">
        <f>IFERROR(INDEX(Lookup_Lists!$B$51:$B$92,MATCH(Brand_Profile!$D$12,Lookup_Lists!$A$51:$A$92,0)),"")</f>
      </c>
      <c r="BB22" s="44">
        <f>IFERROR(INDEX(Lookup_Lists!$B$51:$B$92,MATCH(KOL_Database!$F$21,Lookup_Lists!$A$51:$A$92,0)),"")</f>
      </c>
      <c r="BC22" s="47">
        <f>IFERROR(INDEX(Lookup_Lists!$B$185:$O$198,MATCH(Matching_Engine!$BA$22,Lookup_Lists!$A$185:$A$198,0),MATCH(KOL_Database!$E$21,Lookup_Lists!$B$184:$O$184,0)),Lookup_Lists!$D$151)</f>
      </c>
      <c r="BD22" s="47">
        <f>IFERROR(INDEX(Lookup_Lists!$B$185:$O$198,MATCH(Brand_Profile!$D$33,Lookup_Lists!$A$185:$A$198,0),MATCH(KOL_Database!$E$21,Lookup_Lists!$B$184:$O$184,0)),Lookup_Lists!$D$151)</f>
      </c>
      <c r="BE22" s="44">
        <f>IFERROR(INDEX(Lookup_Lists!$B$51:$B$92,MATCH(Brand_Profile!$D$34,Lookup_Lists!$A$51:$A$92,0)),"")</f>
      </c>
      <c r="BF22" s="44">
        <f>KOL_Database!$AI$21&amp;", "&amp;KOL_Database!$AG$21&amp;", "&amp;KOL_Database!$F$21&amp;", "&amp;KOL_Database!$E$21</f>
      </c>
      <c r="BG22" s="44">
        <f>KOL_Database!$AI$21&amp;", "&amp;KOL_Database!$AG$21</f>
      </c>
    </row>
    <row r="23" spans="1:59" x14ac:dyDescent="0.25">
      <c r="A23" s="43" t="s">
        <v>71</v>
      </c>
      <c r="B23" s="44">
        <f>Brand_Profile!$D$9</f>
      </c>
      <c r="C23" s="44">
        <f>KOL_Database!$A$22</f>
      </c>
      <c r="D23" s="44">
        <f>KOL_Database!$B$22</f>
      </c>
      <c r="E23" s="44">
        <f>KOL_Database!$C$22</f>
      </c>
      <c r="F23" s="44">
        <f>KOL_Database!$D$22</f>
      </c>
      <c r="G23" s="44">
        <f>KOL_Database!$E$22</f>
      </c>
      <c r="H23" s="44">
        <f>KOL_Database!$G$22</f>
      </c>
      <c r="I23" s="45">
        <f>KOL_Database!$J$22</f>
      </c>
      <c r="J23" s="46">
        <f>KOL_Database!$K$22</f>
      </c>
      <c r="K23" s="47">
        <f>IFERROR(INDEX(Lookup_Lists!$B$170:$O$181,MATCH(Brand_Profile!$D$10,Lookup_Lists!$A$170:$A$181,0),MATCH(KOL_Database!$E$22,Lookup_Lists!$B$169:$O$169,0)),Lookup_Lists!$D$151)</f>
      </c>
      <c r="L23" s="47">
        <f>IF(KOL_Database!$F$22="",Matching_Engine!$BC$23,IF(Brand_Profile!$D$12=KOL_Database!$F$22,100,IF(Matching_Engine!$BA$23=KOL_Database!$E$22,80,IF(Matching_Engine!$BC$23&gt;=80,60,IF(Matching_Engine!$BC$23&gt;=60,40,Lookup_Lists!$D$151)))))</f>
      </c>
      <c r="M23" s="47">
        <f>ROUND((IF(Brand_Profile!$D$62=0,Lookup_Lists!$D$150,ROUND((IF(Brand_Profile!$D$57="",0,IF(ISNUMBER(SEARCH(Brand_Profile!$D$57,Matching_Engine!$BF$23)),1,0))+IF(Brand_Profile!$D$58="",0,IF(ISNUMBER(SEARCH(Brand_Profile!$D$58,Matching_Engine!$BF$23)),1,0))+IF(Brand_Profile!$D$59="",0,IF(ISNUMBER(SEARCH(Brand_Profile!$D$59,Matching_Engine!$BF$23)),1,0))+IF(Brand_Profile!$D$60="",0,IF(ISNUMBER(SEARCH(Brand_Profile!$D$60,Matching_Engine!$BF$23)),1,0))+IF(Brand_Profile!$D$61="",0,IF(ISNUMBER(SEARCH(Brand_Profile!$D$61,Matching_Engine!$BF$23)),1,0)))/Brand_Profile!$D$62*100,0))+IF(Brand_Profile!$D$74=0,Lookup_Lists!$D$150,ROUND((IF(Brand_Profile!$D$69="",0,IF(ISNUMBER(SEARCH(Brand_Profile!$D$69,Matching_Engine!$BF$23)),1,0))+IF(Brand_Profile!$D$70="",0,IF(ISNUMBER(SEARCH(Brand_Profile!$D$70,Matching_Engine!$BF$23)),1,0))+IF(Brand_Profile!$D$71="",0,IF(ISNUMBER(SEARCH(Brand_Profile!$D$71,Matching_Engine!$BF$23)),1,0))+IF(Brand_Profile!$D$72="",0,IF(ISNUMBER(SEARCH(Brand_Profile!$D$72,Matching_Engine!$BF$23)),1,0))+IF(Brand_Profile!$D$73="",0,IF(ISNUMBER(SEARCH(Brand_Profile!$D$73,Matching_Engine!$BF$23)),1,0)))/Brand_Profile!$D$74*100,0)))/2,0)</f>
      </c>
      <c r="N23" s="47">
        <f>ROUND((Matching_Engine!$K$23*Lookup_Lists!$D$110+Matching_Engine!$L$23*Lookup_Lists!$D$111+Matching_Engine!$M$23*Lookup_Lists!$D$112)/(Lookup_Lists!$D$110+Lookup_Lists!$D$111+Lookup_Lists!$D$112),0)</f>
      </c>
      <c r="O23" s="47">
        <f>IF(Brand_Profile!$D$16="",Lookup_Lists!$D$150,MIN(100,ROUND((IFERROR(INDEX(KOL_Database!$W$22:KOL_Database!$AA$22,1,MATCH(Brand_Profile!$D$16,Lookup_Lists!$F$6:$F$10,0)),0)+0.5*IFERROR(INDEX(KOL_Database!$W$22:KOL_Database!$AA$22,1,MATCH(Brand_Profile!$D$17,Lookup_Lists!$F$6:$F$10,0)),0))/Lookup_Lists!$D$142*100,0)))</f>
      </c>
      <c r="P23" s="47">
        <f>IF(OR(Brand_Profile!$D$18="",Brand_Profile!$D$18="Any"),100,IF(Brand_Profile!$D$18="Female",MIN(100,ROUND(KOL_Database!$AB$22/Lookup_Lists!$D$143*100,0)),IF(Brand_Profile!$D$18="Male",MIN(100,ROUND(KOL_Database!$AC$22/Lookup_Lists!$D$143*100,0)),MAX(0,ROUND(100-ABS(KOL_Database!$AB$22-50)*2,0)))))</f>
      </c>
      <c r="Q23" s="47">
        <f>ROUND((IF(Brand_Profile!$D$19="",100,IF(KOL_Database!$AD$22=Brand_Profile!$D$19,100,Lookup_Lists!$D$151))*Lookup_Lists!$D$118+IF(OR(Brand_Profile!$D$20="",Brand_Profile!$D$20="Nasional"),100,IF(KOL_Database!$AE$22="",Lookup_Lists!$D$150,IF(KOL_Database!$AE$22=Brand_Profile!$D$20,100,IF(KOL_Database!$AD$22=Brand_Profile!$D$19,40,Lookup_Lists!$D$151))))*Lookup_Lists!$D$119+IF(OR(Brand_Profile!$D$21="",Brand_Profile!$D$21="Nasional"),100,IF(KOL_Database!$AF$22="",Lookup_Lists!$D$150,IF(KOL_Database!$AF$22=Brand_Profile!$D$21,100,IF(KOL_Database!$AE$22=Brand_Profile!$D$20,60,Lookup_Lists!$D$151))))*Lookup_Lists!$D$120)/(Lookup_Lists!$D$118+Lookup_Lists!$D$119+Lookup_Lists!$D$120),0)</f>
      </c>
      <c r="R23" s="47">
        <f>IF(Brand_Profile!$D$68=0,Lookup_Lists!$D$150,ROUND((IF(Brand_Profile!$D$63="",0,IF(ISNUMBER(SEARCH(Brand_Profile!$D$63,KOL_Database!$AG$22)),1,0))+IF(Brand_Profile!$D$64="",0,IF(ISNUMBER(SEARCH(Brand_Profile!$D$64,KOL_Database!$AG$22)),1,0))+IF(Brand_Profile!$D$65="",0,IF(ISNUMBER(SEARCH(Brand_Profile!$D$65,KOL_Database!$AG$22)),1,0))+IF(Brand_Profile!$D$66="",0,IF(ISNUMBER(SEARCH(Brand_Profile!$D$66,KOL_Database!$AG$22)),1,0))+IF(Brand_Profile!$D$67="",0,IF(ISNUMBER(SEARCH(Brand_Profile!$D$67,KOL_Database!$AG$22)),1,0)))/Brand_Profile!$D$68*100,0))</f>
      </c>
      <c r="S23" s="47">
        <f>ROUND((Matching_Engine!$O$23*Brand_Profile!$D$96+Matching_Engine!$P$23*Brand_Profile!$D$97+Matching_Engine!$Q$23*Brand_Profile!$D$98+Matching_Engine!$R$23*Brand_Profile!$D$99)/MAX(1,Brand_Profile!$D$96+Brand_Profile!$D$97+Brand_Profile!$D$98+Brand_Profile!$D$99),0)</f>
      </c>
      <c r="T23" s="47">
        <f>IF(Brand_Profile!$D$33="",Lookup_Lists!$D$150,Matching_Engine!$BD$23)</f>
      </c>
      <c r="U23" s="47">
        <f>IF(Brand_Profile!$D$34="",Lookup_Lists!$D$150,IF(Brand_Profile!$D$34=KOL_Database!$F$22,100,IF(Matching_Engine!$BE$23=KOL_Database!$E$22,75,IF(Matching_Engine!$BD$23&gt;=80,Lookup_Lists!$D$150,IF(Matching_Engine!$BD$23&gt;=60,35,Lookup_Lists!$D$151)))))</f>
      </c>
      <c r="V23" s="47">
        <f>IF(Brand_Profile!$D$86=0,Lookup_Lists!$D$150,ROUND((IF(Brand_Profile!$D$81="",0,IF(ISNUMBER(SEARCH(Brand_Profile!$D$81,Matching_Engine!$BG$23)),1,0))+IF(Brand_Profile!$D$82="",0,IF(ISNUMBER(SEARCH(Brand_Profile!$D$82,Matching_Engine!$BG$23)),1,0))+IF(Brand_Profile!$D$83="",0,IF(ISNUMBER(SEARCH(Brand_Profile!$D$83,Matching_Engine!$BG$23)),1,0))+IF(Brand_Profile!$D$84="",0,IF(ISNUMBER(SEARCH(Brand_Profile!$D$84,Matching_Engine!$BG$23)),1,0))+IF(Brand_Profile!$D$85="",0,IF(ISNUMBER(SEARCH(Brand_Profile!$D$85,Matching_Engine!$BG$23)),1,0)))/Brand_Profile!$D$86*100,0))</f>
      </c>
      <c r="W23" s="47">
        <f>IF(Brand_Profile!$D$39="",Lookup_Lists!$D$150,IFERROR(INDEX(Lookup_Lists!$B$237:$K$246,MATCH(Brand_Profile!$D$39,Lookup_Lists!$A$237:$A$246,0),MATCH(KOL_Database!$AJ$22,Lookup_Lists!$B$236:$K$236,0)),45))</f>
      </c>
      <c r="X23" s="47">
        <f>ROUND((Matching_Engine!$T$23*Lookup_Lists!$D$121+Matching_Engine!$U$23*Lookup_Lists!$D$122+Matching_Engine!$V$23*Lookup_Lists!$D$123+Matching_Engine!$W$23*Lookup_Lists!$D$124)/(Lookup_Lists!$D$121+Lookup_Lists!$D$122+Lookup_Lists!$D$123+Lookup_Lists!$D$124),0)</f>
      </c>
      <c r="Y23" s="47">
        <f>MIN(100,MAX(IFERROR(INDEX(Lookup_Lists!$B$202:$M$211,MATCH(Brand_Profile!$D$25,Lookup_Lists!$A$202:$A$211,0),MATCH(KOL_Database!$AK$22,Lookup_Lists!$B$201:$M$201,0)),40),IF(KOL_Database!$AK$22=Brand_Profile!$D$41,95,0)))</f>
      </c>
      <c r="Z23" s="47">
        <f>IFERROR(INDEX(Lookup_Lists!$B$215:$K$222,MATCH(Brand_Profile!$D$27,Lookup_Lists!$A$215:$A$222,0),MATCH(KOL_Database!$AJ$22,Lookup_Lists!$B$214:$K$214,0)),45)</f>
      </c>
      <c r="AA23" s="47">
        <f>ROUND((IF(Brand_Profile!$D$80=0,Lookup_Lists!$D$150,ROUND((IF(Brand_Profile!$D$75="",0,IF(ISNUMBER(SEARCH(Brand_Profile!$D$75,KOL_Database!$AL$22)),1,0))+IF(Brand_Profile!$D$76="",0,IF(ISNUMBER(SEARCH(Brand_Profile!$D$76,KOL_Database!$AL$22)),1,0))+IF(Brand_Profile!$D$77="",0,IF(ISNUMBER(SEARCH(Brand_Profile!$D$77,KOL_Database!$AL$22)),1,0))+IF(Brand_Profile!$D$78="",0,IF(ISNUMBER(SEARCH(Brand_Profile!$D$78,KOL_Database!$AL$22)),1,0))+IF(Brand_Profile!$D$79="",0,IF(ISNUMBER(SEARCH(Brand_Profile!$D$79,KOL_Database!$AL$22)),1,0)))/Brand_Profile!$D$80*100,0))+IF(Brand_Profile!$D$92=0,Lookup_Lists!$D$150,ROUND((IF(Brand_Profile!$D$87="",0,IF(ISNUMBER(SEARCH(Brand_Profile!$D$87,KOL_Database!$AL$22)),1,0))+IF(Brand_Profile!$D$88="",0,IF(ISNUMBER(SEARCH(Brand_Profile!$D$88,KOL_Database!$AL$22)),1,0))+IF(Brand_Profile!$D$89="",0,IF(ISNUMBER(SEARCH(Brand_Profile!$D$89,KOL_Database!$AL$22)),1,0))+IF(Brand_Profile!$D$90="",0,IF(ISNUMBER(SEARCH(Brand_Profile!$D$90,KOL_Database!$AL$22)),1,0))+IF(Brand_Profile!$D$91="",0,IF(ISNUMBER(SEARCH(Brand_Profile!$D$91,KOL_Database!$AL$22)),1,0)))/Brand_Profile!$D$92*100,0)))/2,0)</f>
      </c>
      <c r="AB23" s="47">
        <f>IFERROR(INDEX(Lookup_Lists!$B$226:$K$233,MATCH(Brand_Profile!$D$30,Lookup_Lists!$A$226:$A$233,0),MATCH(KOL_Database!$AJ$22,Lookup_Lists!$B$225:$K$225,0)),45)</f>
      </c>
      <c r="AC23" s="47">
        <f>ROUND((Matching_Engine!$Y$23*Lookup_Lists!$D$125+Matching_Engine!$Z$23*Lookup_Lists!$D$126+Matching_Engine!$AA$23*Lookup_Lists!$D$127+Matching_Engine!$AB$23*Lookup_Lists!$D$128)/(Lookup_Lists!$D$125+Lookup_Lists!$D$126+Lookup_Lists!$D$127+Lookup_Lists!$D$128),0)</f>
      </c>
      <c r="AD23" s="47">
        <f>IF(KOL_Database!$K$22="",0,MIN(100,ROUND(KOL_Database!$K$22/Lookup_Lists!$D$141*100,0)))</f>
      </c>
      <c r="AE23" s="47">
        <f>IF(KOL_Database!$R$22="",0,MIN(100,MAX(0,KOL_Database!$R$22)))</f>
      </c>
      <c r="AF23" s="47">
        <f>IF(KOL_Database!$P$22="",0,MIN(100,MAX(0,KOL_Database!$P$22)))</f>
      </c>
      <c r="AG23" s="47">
        <f>IF(KOL_Database!$Q$22="",0,MIN(100,MAX(0,KOL_Database!$Q$22)))</f>
      </c>
      <c r="AH23" s="47">
        <f>IF(OR(KOL_Database!$J$22="",KOL_Database!$J$22=0,KOL_Database!$L$22=""),0,MIN(100,ROUND(KOL_Database!$L$22/KOL_Database!$J$22/Lookup_Lists!$D$144*100,0)))</f>
      </c>
      <c r="AI23" s="47">
        <f>IF(KOL_Database!$N$22="",0,MIN(100,MAX(0,ROUND((KOL_Database!$N$22+2)/(Lookup_Lists!$D$145+2)*100,0))))</f>
      </c>
      <c r="AJ23" s="47">
        <f>ROUND((Matching_Engine!$AD$23*Lookup_Lists!$D$129+Matching_Engine!$AE$23*Lookup_Lists!$D$130+Matching_Engine!$AF$23*Lookup_Lists!$D$131+Matching_Engine!$AG$23*Lookup_Lists!$D$132+Matching_Engine!$AH$23*Lookup_Lists!$D$133+Matching_Engine!$AI$23*Lookup_Lists!$D$134)/(Lookup_Lists!$D$129+Lookup_Lists!$D$130+Lookup_Lists!$D$131+Lookup_Lists!$D$132+Lookup_Lists!$D$133+Lookup_Lists!$D$134),0)</f>
      </c>
      <c r="AK23" s="47">
        <f>IF(KOL_Database!$AT$22="",0,MIN(100,MAX(0,KOL_Database!$AT$22)))</f>
      </c>
      <c r="AL23" s="47">
        <f>IF(KOL_Database!$AU$22="",0,KOL_Database!$AU$22)</f>
      </c>
      <c r="AM23" s="44">
        <f>IF(KOL_Database!$AV$22="","None",KOL_Database!$AV$22)</f>
      </c>
      <c r="AN23" s="48">
        <f>IF(Matching_Engine!$AM$23="High",Lookup_Lists!$D$137,IF(Matching_Engine!$AM$23="Medium",Lookup_Lists!$D$138,IF(Matching_Engine!$AM$23="Low",Lookup_Lists!$D$139,Lookup_Lists!$D$140)))</f>
      </c>
      <c r="AO23" s="47">
        <f>ROUND(MIN(100,MAX(0,(Matching_Engine!$AK$23*Lookup_Lists!$D$135+(100-Matching_Engine!$AL$23)*Lookup_Lists!$D$136)/(Lookup_Lists!$D$135+Lookup_Lists!$D$136)*Matching_Engine!$AN$23)),0)</f>
      </c>
      <c r="AP23" s="49">
        <f>ROUND((Matching_Engine!$N$23*Lookup_Lists!$D$104+Matching_Engine!$S$23*Lookup_Lists!$D$105+Matching_Engine!$X$23*Lookup_Lists!$D$106+Matching_Engine!$AC$23*Lookup_Lists!$D$107+Matching_Engine!$AJ$23*Lookup_Lists!$D$108+Matching_Engine!$AO$23*Lookup_Lists!$D$109)/MAX(1,(Lookup_Lists!$D$104+Lookup_Lists!$D$105+Lookup_Lists!$D$106+Lookup_Lists!$D$107+Lookup_Lists!$D$108+Lookup_Lists!$D$109)),0)</f>
      </c>
      <c r="AQ23" s="44">
        <f>IF(Matching_Engine!$AP$23&gt;=Lookup_Lists!$D$152,"Excellent Match",IF(Matching_Engine!$AP$23&gt;=Lookup_Lists!$D$153,"Strong Match",IF(Matching_Engine!$AP$23&gt;=Lookup_Lists!$D$154,"Good Match",IF(Matching_Engine!$AP$23&gt;=Lookup_Lists!$D$155,"Moderate Match","Low Match"))))</f>
      </c>
      <c r="AR23" s="47">
        <f>KOL_Database!$BE$22</f>
      </c>
      <c r="AS23" s="44">
        <f>IF(Matching_Engine!$AR$23&gt;=Lookup_Lists!$D$159,"High",IF(Matching_Engine!$AR$23&gt;=Lookup_Lists!$D$160,"Medium","Limited Data"))</f>
      </c>
      <c r="AT23" s="47">
        <f>ROUND((Matching_Engine!$N$23+Matching_Engine!$X$23+Matching_Engine!$AC$23)/3,0)</f>
      </c>
      <c r="AU23" s="47">
        <f>ROUND(((100-Matching_Engine!$AL$23)*Lookup_Lists!$D$162+IF(KOL_Database!$BD$22="",Lookup_Lists!$D$150,KOL_Database!$BD$22)*Lookup_Lists!$D$163+Matching_Engine!$AI$23*Lookup_Lists!$D$164+Matching_Engine!$AD$23*Lookup_Lists!$D$165)/(Lookup_Lists!$D$162+Lookup_Lists!$D$163+Lookup_Lists!$D$164+Lookup_Lists!$D$165),0)</f>
      </c>
      <c r="AV23" s="44">
        <f>IF(Matching_Engine!$AW$23="","PASS","EXCLUDED")</f>
      </c>
      <c r="AW23" s="44">
        <f>IF(ISERROR(SEARCH(KOL_Database!$D$22,Brand_Profile!$D$32)),"Platform not in Preferred Platform",IF(AND(Brand_Profile!$D$36&gt;0,KOL_Database!$J$22&lt;Brand_Profile!$D$36),"Followers below Preferred Follower Range",IF(AND(Brand_Profile!$D$37&gt;0,KOL_Database!$J$22&gt;Brand_Profile!$D$37),"Followers above Preferred Follower Range",IF(AND(Brand_Profile!$D$38&gt;0,IF(KOL_Database!$K$22="",0,KOL_Database!$K$22)&lt;Brand_Profile!$D$38),"Engagement Rate below Minimum Engagement Rate",IF(ISERROR(SEARCH(KOL_Database!$G$22,Brand_Profile!$D$35)),"Tier not in Preferred Tier",IF(AND(Brand_Profile!$D$43&gt;0,Matching_Engine!$AE$23&lt;Brand_Profile!$D$43),"Audience Quality below Minimum Audience Quality",IF(AND(Brand_Profile!$D$44&gt;0,Matching_Engine!$AK$23&lt;Brand_Profile!$D$44),"Brand Safety below Minimum Brand Safety",IF(AND(Brand_Profile!$D$47="Yes",KOL_Database!$AD$22&lt;&gt;Brand_Profile!$D$19),"Audience Country does not match Target Country",IF(AND(Brand_Profile!$D$46="Yes",KOL_Database!$E$22&lt;&gt;Brand_Profile!$D$33),"Category is not the Preferred Category",IF(AND(Brand_Profile!$D$48&gt;0,Matching_Engine!$AL$23&gt;Brand_Profile!$D$48),"Competitor Saturation above Max Competitor Saturation",IF(AND(Brand_Profile!$D$50="Yes",KOL_Database!$AW$22="Yes"),"Already Selected",IF(AND(Brand_Profile!$D$51="Yes",KOL_Database!$AX$22="Yes"),"Already in Cart",IF(AND(Brand_Profile!$D$52="Yes",KOL_Database!$AY$22="Yes"),"Existing Partner",IF(AND(Brand_Profile!$D$53="Yes",KOL_Database!$AZ$22="Yes"),"Excluded Creator",IF(AND(Brand_Profile!$D$49&gt;0,Matching_Engine!$AP$23&lt;Brand_Profile!$D$49),"Brand Match below Minimum Brand Match","")))))))))))))))</f>
      </c>
      <c r="AX23" s="44">
        <f>IF(Matching_Engine!$AV$23="EXCLUDED","Excluded",IF(Matching_Engine!$AP$23&gt;=Lookup_Lists!$D$156,"Highly Recommended",IF(Matching_Engine!$AP$23&gt;=Lookup_Lists!$D$157,"Recommended",IF(Matching_Engine!$AP$23&gt;=Lookup_Lists!$D$158,"Consider","Low Priority"))))</f>
      </c>
      <c r="AY23" s="47">
        <f>IF(Matching_Engine!$AV$23="PASS",Matching_Engine!$AP$23,"")</f>
      </c>
      <c r="AZ23" s="44">
        <f>Matching_Engine!$A$23&amp;"|"&amp;Matching_Engine!$C$23</f>
      </c>
      <c r="BA23" s="44">
        <f>IFERROR(INDEX(Lookup_Lists!$B$51:$B$92,MATCH(Brand_Profile!$D$12,Lookup_Lists!$A$51:$A$92,0)),"")</f>
      </c>
      <c r="BB23" s="44">
        <f>IFERROR(INDEX(Lookup_Lists!$B$51:$B$92,MATCH(KOL_Database!$F$22,Lookup_Lists!$A$51:$A$92,0)),"")</f>
      </c>
      <c r="BC23" s="47">
        <f>IFERROR(INDEX(Lookup_Lists!$B$185:$O$198,MATCH(Matching_Engine!$BA$23,Lookup_Lists!$A$185:$A$198,0),MATCH(KOL_Database!$E$22,Lookup_Lists!$B$184:$O$184,0)),Lookup_Lists!$D$151)</f>
      </c>
      <c r="BD23" s="47">
        <f>IFERROR(INDEX(Lookup_Lists!$B$185:$O$198,MATCH(Brand_Profile!$D$33,Lookup_Lists!$A$185:$A$198,0),MATCH(KOL_Database!$E$22,Lookup_Lists!$B$184:$O$184,0)),Lookup_Lists!$D$151)</f>
      </c>
      <c r="BE23" s="44">
        <f>IFERROR(INDEX(Lookup_Lists!$B$51:$B$92,MATCH(Brand_Profile!$D$34,Lookup_Lists!$A$51:$A$92,0)),"")</f>
      </c>
      <c r="BF23" s="44">
        <f>KOL_Database!$AI$22&amp;", "&amp;KOL_Database!$AG$22&amp;", "&amp;KOL_Database!$F$22&amp;", "&amp;KOL_Database!$E$22</f>
      </c>
      <c r="BG23" s="44">
        <f>KOL_Database!$AI$22&amp;", "&amp;KOL_Database!$AG$22</f>
      </c>
    </row>
    <row r="24" spans="1:59" x14ac:dyDescent="0.25">
      <c r="A24" s="43" t="s">
        <v>71</v>
      </c>
      <c r="B24" s="44">
        <f>Brand_Profile!$D$9</f>
      </c>
      <c r="C24" s="44">
        <f>KOL_Database!$A$23</f>
      </c>
      <c r="D24" s="44">
        <f>KOL_Database!$B$23</f>
      </c>
      <c r="E24" s="44">
        <f>KOL_Database!$C$23</f>
      </c>
      <c r="F24" s="44">
        <f>KOL_Database!$D$23</f>
      </c>
      <c r="G24" s="44">
        <f>KOL_Database!$E$23</f>
      </c>
      <c r="H24" s="44">
        <f>KOL_Database!$G$23</f>
      </c>
      <c r="I24" s="45">
        <f>KOL_Database!$J$23</f>
      </c>
      <c r="J24" s="46">
        <f>KOL_Database!$K$23</f>
      </c>
      <c r="K24" s="47">
        <f>IFERROR(INDEX(Lookup_Lists!$B$170:$O$181,MATCH(Brand_Profile!$D$10,Lookup_Lists!$A$170:$A$181,0),MATCH(KOL_Database!$E$23,Lookup_Lists!$B$169:$O$169,0)),Lookup_Lists!$D$151)</f>
      </c>
      <c r="L24" s="47">
        <f>IF(KOL_Database!$F$23="",Matching_Engine!$BC$24,IF(Brand_Profile!$D$12=KOL_Database!$F$23,100,IF(Matching_Engine!$BA$24=KOL_Database!$E$23,80,IF(Matching_Engine!$BC$24&gt;=80,60,IF(Matching_Engine!$BC$24&gt;=60,40,Lookup_Lists!$D$151)))))</f>
      </c>
      <c r="M24" s="47">
        <f>ROUND((IF(Brand_Profile!$D$62=0,Lookup_Lists!$D$150,ROUND((IF(Brand_Profile!$D$57="",0,IF(ISNUMBER(SEARCH(Brand_Profile!$D$57,Matching_Engine!$BF$24)),1,0))+IF(Brand_Profile!$D$58="",0,IF(ISNUMBER(SEARCH(Brand_Profile!$D$58,Matching_Engine!$BF$24)),1,0))+IF(Brand_Profile!$D$59="",0,IF(ISNUMBER(SEARCH(Brand_Profile!$D$59,Matching_Engine!$BF$24)),1,0))+IF(Brand_Profile!$D$60="",0,IF(ISNUMBER(SEARCH(Brand_Profile!$D$60,Matching_Engine!$BF$24)),1,0))+IF(Brand_Profile!$D$61="",0,IF(ISNUMBER(SEARCH(Brand_Profile!$D$61,Matching_Engine!$BF$24)),1,0)))/Brand_Profile!$D$62*100,0))+IF(Brand_Profile!$D$74=0,Lookup_Lists!$D$150,ROUND((IF(Brand_Profile!$D$69="",0,IF(ISNUMBER(SEARCH(Brand_Profile!$D$69,Matching_Engine!$BF$24)),1,0))+IF(Brand_Profile!$D$70="",0,IF(ISNUMBER(SEARCH(Brand_Profile!$D$70,Matching_Engine!$BF$24)),1,0))+IF(Brand_Profile!$D$71="",0,IF(ISNUMBER(SEARCH(Brand_Profile!$D$71,Matching_Engine!$BF$24)),1,0))+IF(Brand_Profile!$D$72="",0,IF(ISNUMBER(SEARCH(Brand_Profile!$D$72,Matching_Engine!$BF$24)),1,0))+IF(Brand_Profile!$D$73="",0,IF(ISNUMBER(SEARCH(Brand_Profile!$D$73,Matching_Engine!$BF$24)),1,0)))/Brand_Profile!$D$74*100,0)))/2,0)</f>
      </c>
      <c r="N24" s="47">
        <f>ROUND((Matching_Engine!$K$24*Lookup_Lists!$D$110+Matching_Engine!$L$24*Lookup_Lists!$D$111+Matching_Engine!$M$24*Lookup_Lists!$D$112)/(Lookup_Lists!$D$110+Lookup_Lists!$D$111+Lookup_Lists!$D$112),0)</f>
      </c>
      <c r="O24" s="47">
        <f>IF(Brand_Profile!$D$16="",Lookup_Lists!$D$150,MIN(100,ROUND((IFERROR(INDEX(KOL_Database!$W$23:KOL_Database!$AA$23,1,MATCH(Brand_Profile!$D$16,Lookup_Lists!$F$6:$F$10,0)),0)+0.5*IFERROR(INDEX(KOL_Database!$W$23:KOL_Database!$AA$23,1,MATCH(Brand_Profile!$D$17,Lookup_Lists!$F$6:$F$10,0)),0))/Lookup_Lists!$D$142*100,0)))</f>
      </c>
      <c r="P24" s="47">
        <f>IF(OR(Brand_Profile!$D$18="",Brand_Profile!$D$18="Any"),100,IF(Brand_Profile!$D$18="Female",MIN(100,ROUND(KOL_Database!$AB$23/Lookup_Lists!$D$143*100,0)),IF(Brand_Profile!$D$18="Male",MIN(100,ROUND(KOL_Database!$AC$23/Lookup_Lists!$D$143*100,0)),MAX(0,ROUND(100-ABS(KOL_Database!$AB$23-50)*2,0)))))</f>
      </c>
      <c r="Q24" s="47">
        <f>ROUND((IF(Brand_Profile!$D$19="",100,IF(KOL_Database!$AD$23=Brand_Profile!$D$19,100,Lookup_Lists!$D$151))*Lookup_Lists!$D$118+IF(OR(Brand_Profile!$D$20="",Brand_Profile!$D$20="Nasional"),100,IF(KOL_Database!$AE$23="",Lookup_Lists!$D$150,IF(KOL_Database!$AE$23=Brand_Profile!$D$20,100,IF(KOL_Database!$AD$23=Brand_Profile!$D$19,40,Lookup_Lists!$D$151))))*Lookup_Lists!$D$119+IF(OR(Brand_Profile!$D$21="",Brand_Profile!$D$21="Nasional"),100,IF(KOL_Database!$AF$23="",Lookup_Lists!$D$150,IF(KOL_Database!$AF$23=Brand_Profile!$D$21,100,IF(KOL_Database!$AE$23=Brand_Profile!$D$20,60,Lookup_Lists!$D$151))))*Lookup_Lists!$D$120)/(Lookup_Lists!$D$118+Lookup_Lists!$D$119+Lookup_Lists!$D$120),0)</f>
      </c>
      <c r="R24" s="47">
        <f>IF(Brand_Profile!$D$68=0,Lookup_Lists!$D$150,ROUND((IF(Brand_Profile!$D$63="",0,IF(ISNUMBER(SEARCH(Brand_Profile!$D$63,KOL_Database!$AG$23)),1,0))+IF(Brand_Profile!$D$64="",0,IF(ISNUMBER(SEARCH(Brand_Profile!$D$64,KOL_Database!$AG$23)),1,0))+IF(Brand_Profile!$D$65="",0,IF(ISNUMBER(SEARCH(Brand_Profile!$D$65,KOL_Database!$AG$23)),1,0))+IF(Brand_Profile!$D$66="",0,IF(ISNUMBER(SEARCH(Brand_Profile!$D$66,KOL_Database!$AG$23)),1,0))+IF(Brand_Profile!$D$67="",0,IF(ISNUMBER(SEARCH(Brand_Profile!$D$67,KOL_Database!$AG$23)),1,0)))/Brand_Profile!$D$68*100,0))</f>
      </c>
      <c r="S24" s="47">
        <f>ROUND((Matching_Engine!$O$24*Brand_Profile!$D$96+Matching_Engine!$P$24*Brand_Profile!$D$97+Matching_Engine!$Q$24*Brand_Profile!$D$98+Matching_Engine!$R$24*Brand_Profile!$D$99)/MAX(1,Brand_Profile!$D$96+Brand_Profile!$D$97+Brand_Profile!$D$98+Brand_Profile!$D$99),0)</f>
      </c>
      <c r="T24" s="47">
        <f>IF(Brand_Profile!$D$33="",Lookup_Lists!$D$150,Matching_Engine!$BD$24)</f>
      </c>
      <c r="U24" s="47">
        <f>IF(Brand_Profile!$D$34="",Lookup_Lists!$D$150,IF(Brand_Profile!$D$34=KOL_Database!$F$23,100,IF(Matching_Engine!$BE$24=KOL_Database!$E$23,75,IF(Matching_Engine!$BD$24&gt;=80,Lookup_Lists!$D$150,IF(Matching_Engine!$BD$24&gt;=60,35,Lookup_Lists!$D$151)))))</f>
      </c>
      <c r="V24" s="47">
        <f>IF(Brand_Profile!$D$86=0,Lookup_Lists!$D$150,ROUND((IF(Brand_Profile!$D$81="",0,IF(ISNUMBER(SEARCH(Brand_Profile!$D$81,Matching_Engine!$BG$24)),1,0))+IF(Brand_Profile!$D$82="",0,IF(ISNUMBER(SEARCH(Brand_Profile!$D$82,Matching_Engine!$BG$24)),1,0))+IF(Brand_Profile!$D$83="",0,IF(ISNUMBER(SEARCH(Brand_Profile!$D$83,Matching_Engine!$BG$24)),1,0))+IF(Brand_Profile!$D$84="",0,IF(ISNUMBER(SEARCH(Brand_Profile!$D$84,Matching_Engine!$BG$24)),1,0))+IF(Brand_Profile!$D$85="",0,IF(ISNUMBER(SEARCH(Brand_Profile!$D$85,Matching_Engine!$BG$24)),1,0)))/Brand_Profile!$D$86*100,0))</f>
      </c>
      <c r="W24" s="47">
        <f>IF(Brand_Profile!$D$39="",Lookup_Lists!$D$150,IFERROR(INDEX(Lookup_Lists!$B$237:$K$246,MATCH(Brand_Profile!$D$39,Lookup_Lists!$A$237:$A$246,0),MATCH(KOL_Database!$AJ$23,Lookup_Lists!$B$236:$K$236,0)),45))</f>
      </c>
      <c r="X24" s="47">
        <f>ROUND((Matching_Engine!$T$24*Lookup_Lists!$D$121+Matching_Engine!$U$24*Lookup_Lists!$D$122+Matching_Engine!$V$24*Lookup_Lists!$D$123+Matching_Engine!$W$24*Lookup_Lists!$D$124)/(Lookup_Lists!$D$121+Lookup_Lists!$D$122+Lookup_Lists!$D$123+Lookup_Lists!$D$124),0)</f>
      </c>
      <c r="Y24" s="47">
        <f>MIN(100,MAX(IFERROR(INDEX(Lookup_Lists!$B$202:$M$211,MATCH(Brand_Profile!$D$25,Lookup_Lists!$A$202:$A$211,0),MATCH(KOL_Database!$AK$23,Lookup_Lists!$B$201:$M$201,0)),40),IF(KOL_Database!$AK$23=Brand_Profile!$D$41,95,0)))</f>
      </c>
      <c r="Z24" s="47">
        <f>IFERROR(INDEX(Lookup_Lists!$B$215:$K$222,MATCH(Brand_Profile!$D$27,Lookup_Lists!$A$215:$A$222,0),MATCH(KOL_Database!$AJ$23,Lookup_Lists!$B$214:$K$214,0)),45)</f>
      </c>
      <c r="AA24" s="47">
        <f>ROUND((IF(Brand_Profile!$D$80=0,Lookup_Lists!$D$150,ROUND((IF(Brand_Profile!$D$75="",0,IF(ISNUMBER(SEARCH(Brand_Profile!$D$75,KOL_Database!$AL$23)),1,0))+IF(Brand_Profile!$D$76="",0,IF(ISNUMBER(SEARCH(Brand_Profile!$D$76,KOL_Database!$AL$23)),1,0))+IF(Brand_Profile!$D$77="",0,IF(ISNUMBER(SEARCH(Brand_Profile!$D$77,KOL_Database!$AL$23)),1,0))+IF(Brand_Profile!$D$78="",0,IF(ISNUMBER(SEARCH(Brand_Profile!$D$78,KOL_Database!$AL$23)),1,0))+IF(Brand_Profile!$D$79="",0,IF(ISNUMBER(SEARCH(Brand_Profile!$D$79,KOL_Database!$AL$23)),1,0)))/Brand_Profile!$D$80*100,0))+IF(Brand_Profile!$D$92=0,Lookup_Lists!$D$150,ROUND((IF(Brand_Profile!$D$87="",0,IF(ISNUMBER(SEARCH(Brand_Profile!$D$87,KOL_Database!$AL$23)),1,0))+IF(Brand_Profile!$D$88="",0,IF(ISNUMBER(SEARCH(Brand_Profile!$D$88,KOL_Database!$AL$23)),1,0))+IF(Brand_Profile!$D$89="",0,IF(ISNUMBER(SEARCH(Brand_Profile!$D$89,KOL_Database!$AL$23)),1,0))+IF(Brand_Profile!$D$90="",0,IF(ISNUMBER(SEARCH(Brand_Profile!$D$90,KOL_Database!$AL$23)),1,0))+IF(Brand_Profile!$D$91="",0,IF(ISNUMBER(SEARCH(Brand_Profile!$D$91,KOL_Database!$AL$23)),1,0)))/Brand_Profile!$D$92*100,0)))/2,0)</f>
      </c>
      <c r="AB24" s="47">
        <f>IFERROR(INDEX(Lookup_Lists!$B$226:$K$233,MATCH(Brand_Profile!$D$30,Lookup_Lists!$A$226:$A$233,0),MATCH(KOL_Database!$AJ$23,Lookup_Lists!$B$225:$K$225,0)),45)</f>
      </c>
      <c r="AC24" s="47">
        <f>ROUND((Matching_Engine!$Y$24*Lookup_Lists!$D$125+Matching_Engine!$Z$24*Lookup_Lists!$D$126+Matching_Engine!$AA$24*Lookup_Lists!$D$127+Matching_Engine!$AB$24*Lookup_Lists!$D$128)/(Lookup_Lists!$D$125+Lookup_Lists!$D$126+Lookup_Lists!$D$127+Lookup_Lists!$D$128),0)</f>
      </c>
      <c r="AD24" s="47">
        <f>IF(KOL_Database!$K$23="",0,MIN(100,ROUND(KOL_Database!$K$23/Lookup_Lists!$D$141*100,0)))</f>
      </c>
      <c r="AE24" s="47">
        <f>IF(KOL_Database!$R$23="",0,MIN(100,MAX(0,KOL_Database!$R$23)))</f>
      </c>
      <c r="AF24" s="47">
        <f>IF(KOL_Database!$P$23="",0,MIN(100,MAX(0,KOL_Database!$P$23)))</f>
      </c>
      <c r="AG24" s="47">
        <f>IF(KOL_Database!$Q$23="",0,MIN(100,MAX(0,KOL_Database!$Q$23)))</f>
      </c>
      <c r="AH24" s="47">
        <f>IF(OR(KOL_Database!$J$23="",KOL_Database!$J$23=0,KOL_Database!$L$23=""),0,MIN(100,ROUND(KOL_Database!$L$23/KOL_Database!$J$23/Lookup_Lists!$D$144*100,0)))</f>
      </c>
      <c r="AI24" s="47">
        <f>IF(KOL_Database!$N$23="",0,MIN(100,MAX(0,ROUND((KOL_Database!$N$23+2)/(Lookup_Lists!$D$145+2)*100,0))))</f>
      </c>
      <c r="AJ24" s="47">
        <f>ROUND((Matching_Engine!$AD$24*Lookup_Lists!$D$129+Matching_Engine!$AE$24*Lookup_Lists!$D$130+Matching_Engine!$AF$24*Lookup_Lists!$D$131+Matching_Engine!$AG$24*Lookup_Lists!$D$132+Matching_Engine!$AH$24*Lookup_Lists!$D$133+Matching_Engine!$AI$24*Lookup_Lists!$D$134)/(Lookup_Lists!$D$129+Lookup_Lists!$D$130+Lookup_Lists!$D$131+Lookup_Lists!$D$132+Lookup_Lists!$D$133+Lookup_Lists!$D$134),0)</f>
      </c>
      <c r="AK24" s="47">
        <f>IF(KOL_Database!$AT$23="",0,MIN(100,MAX(0,KOL_Database!$AT$23)))</f>
      </c>
      <c r="AL24" s="47">
        <f>IF(KOL_Database!$AU$23="",0,KOL_Database!$AU$23)</f>
      </c>
      <c r="AM24" s="44">
        <f>IF(KOL_Database!$AV$23="","None",KOL_Database!$AV$23)</f>
      </c>
      <c r="AN24" s="48">
        <f>IF(Matching_Engine!$AM$24="High",Lookup_Lists!$D$137,IF(Matching_Engine!$AM$24="Medium",Lookup_Lists!$D$138,IF(Matching_Engine!$AM$24="Low",Lookup_Lists!$D$139,Lookup_Lists!$D$140)))</f>
      </c>
      <c r="AO24" s="47">
        <f>ROUND(MIN(100,MAX(0,(Matching_Engine!$AK$24*Lookup_Lists!$D$135+(100-Matching_Engine!$AL$24)*Lookup_Lists!$D$136)/(Lookup_Lists!$D$135+Lookup_Lists!$D$136)*Matching_Engine!$AN$24)),0)</f>
      </c>
      <c r="AP24" s="49">
        <f>ROUND((Matching_Engine!$N$24*Lookup_Lists!$D$104+Matching_Engine!$S$24*Lookup_Lists!$D$105+Matching_Engine!$X$24*Lookup_Lists!$D$106+Matching_Engine!$AC$24*Lookup_Lists!$D$107+Matching_Engine!$AJ$24*Lookup_Lists!$D$108+Matching_Engine!$AO$24*Lookup_Lists!$D$109)/MAX(1,(Lookup_Lists!$D$104+Lookup_Lists!$D$105+Lookup_Lists!$D$106+Lookup_Lists!$D$107+Lookup_Lists!$D$108+Lookup_Lists!$D$109)),0)</f>
      </c>
      <c r="AQ24" s="44">
        <f>IF(Matching_Engine!$AP$24&gt;=Lookup_Lists!$D$152,"Excellent Match",IF(Matching_Engine!$AP$24&gt;=Lookup_Lists!$D$153,"Strong Match",IF(Matching_Engine!$AP$24&gt;=Lookup_Lists!$D$154,"Good Match",IF(Matching_Engine!$AP$24&gt;=Lookup_Lists!$D$155,"Moderate Match","Low Match"))))</f>
      </c>
      <c r="AR24" s="47">
        <f>KOL_Database!$BE$23</f>
      </c>
      <c r="AS24" s="44">
        <f>IF(Matching_Engine!$AR$24&gt;=Lookup_Lists!$D$159,"High",IF(Matching_Engine!$AR$24&gt;=Lookup_Lists!$D$160,"Medium","Limited Data"))</f>
      </c>
      <c r="AT24" s="47">
        <f>ROUND((Matching_Engine!$N$24+Matching_Engine!$X$24+Matching_Engine!$AC$24)/3,0)</f>
      </c>
      <c r="AU24" s="47">
        <f>ROUND(((100-Matching_Engine!$AL$24)*Lookup_Lists!$D$162+IF(KOL_Database!$BD$23="",Lookup_Lists!$D$150,KOL_Database!$BD$23)*Lookup_Lists!$D$163+Matching_Engine!$AI$24*Lookup_Lists!$D$164+Matching_Engine!$AD$24*Lookup_Lists!$D$165)/(Lookup_Lists!$D$162+Lookup_Lists!$D$163+Lookup_Lists!$D$164+Lookup_Lists!$D$165),0)</f>
      </c>
      <c r="AV24" s="44">
        <f>IF(Matching_Engine!$AW$24="","PASS","EXCLUDED")</f>
      </c>
      <c r="AW24" s="44">
        <f>IF(ISERROR(SEARCH(KOL_Database!$D$23,Brand_Profile!$D$32)),"Platform not in Preferred Platform",IF(AND(Brand_Profile!$D$36&gt;0,KOL_Database!$J$23&lt;Brand_Profile!$D$36),"Followers below Preferred Follower Range",IF(AND(Brand_Profile!$D$37&gt;0,KOL_Database!$J$23&gt;Brand_Profile!$D$37),"Followers above Preferred Follower Range",IF(AND(Brand_Profile!$D$38&gt;0,IF(KOL_Database!$K$23="",0,KOL_Database!$K$23)&lt;Brand_Profile!$D$38),"Engagement Rate below Minimum Engagement Rate",IF(ISERROR(SEARCH(KOL_Database!$G$23,Brand_Profile!$D$35)),"Tier not in Preferred Tier",IF(AND(Brand_Profile!$D$43&gt;0,Matching_Engine!$AE$24&lt;Brand_Profile!$D$43),"Audience Quality below Minimum Audience Quality",IF(AND(Brand_Profile!$D$44&gt;0,Matching_Engine!$AK$24&lt;Brand_Profile!$D$44),"Brand Safety below Minimum Brand Safety",IF(AND(Brand_Profile!$D$47="Yes",KOL_Database!$AD$23&lt;&gt;Brand_Profile!$D$19),"Audience Country does not match Target Country",IF(AND(Brand_Profile!$D$46="Yes",KOL_Database!$E$23&lt;&gt;Brand_Profile!$D$33),"Category is not the Preferred Category",IF(AND(Brand_Profile!$D$48&gt;0,Matching_Engine!$AL$24&gt;Brand_Profile!$D$48),"Competitor Saturation above Max Competitor Saturation",IF(AND(Brand_Profile!$D$50="Yes",KOL_Database!$AW$23="Yes"),"Already Selected",IF(AND(Brand_Profile!$D$51="Yes",KOL_Database!$AX$23="Yes"),"Already in Cart",IF(AND(Brand_Profile!$D$52="Yes",KOL_Database!$AY$23="Yes"),"Existing Partner",IF(AND(Brand_Profile!$D$53="Yes",KOL_Database!$AZ$23="Yes"),"Excluded Creator",IF(AND(Brand_Profile!$D$49&gt;0,Matching_Engine!$AP$24&lt;Brand_Profile!$D$49),"Brand Match below Minimum Brand Match","")))))))))))))))</f>
      </c>
      <c r="AX24" s="44">
        <f>IF(Matching_Engine!$AV$24="EXCLUDED","Excluded",IF(Matching_Engine!$AP$24&gt;=Lookup_Lists!$D$156,"Highly Recommended",IF(Matching_Engine!$AP$24&gt;=Lookup_Lists!$D$157,"Recommended",IF(Matching_Engine!$AP$24&gt;=Lookup_Lists!$D$158,"Consider","Low Priority"))))</f>
      </c>
      <c r="AY24" s="47">
        <f>IF(Matching_Engine!$AV$24="PASS",Matching_Engine!$AP$24,"")</f>
      </c>
      <c r="AZ24" s="44">
        <f>Matching_Engine!$A$24&amp;"|"&amp;Matching_Engine!$C$24</f>
      </c>
      <c r="BA24" s="44">
        <f>IFERROR(INDEX(Lookup_Lists!$B$51:$B$92,MATCH(Brand_Profile!$D$12,Lookup_Lists!$A$51:$A$92,0)),"")</f>
      </c>
      <c r="BB24" s="44">
        <f>IFERROR(INDEX(Lookup_Lists!$B$51:$B$92,MATCH(KOL_Database!$F$23,Lookup_Lists!$A$51:$A$92,0)),"")</f>
      </c>
      <c r="BC24" s="47">
        <f>IFERROR(INDEX(Lookup_Lists!$B$185:$O$198,MATCH(Matching_Engine!$BA$24,Lookup_Lists!$A$185:$A$198,0),MATCH(KOL_Database!$E$23,Lookup_Lists!$B$184:$O$184,0)),Lookup_Lists!$D$151)</f>
      </c>
      <c r="BD24" s="47">
        <f>IFERROR(INDEX(Lookup_Lists!$B$185:$O$198,MATCH(Brand_Profile!$D$33,Lookup_Lists!$A$185:$A$198,0),MATCH(KOL_Database!$E$23,Lookup_Lists!$B$184:$O$184,0)),Lookup_Lists!$D$151)</f>
      </c>
      <c r="BE24" s="44">
        <f>IFERROR(INDEX(Lookup_Lists!$B$51:$B$92,MATCH(Brand_Profile!$D$34,Lookup_Lists!$A$51:$A$92,0)),"")</f>
      </c>
      <c r="BF24" s="44">
        <f>KOL_Database!$AI$23&amp;", "&amp;KOL_Database!$AG$23&amp;", "&amp;KOL_Database!$F$23&amp;", "&amp;KOL_Database!$E$23</f>
      </c>
      <c r="BG24" s="44">
        <f>KOL_Database!$AI$23&amp;", "&amp;KOL_Database!$AG$23</f>
      </c>
    </row>
    <row r="25" spans="1:59" x14ac:dyDescent="0.25">
      <c r="A25" s="43" t="s">
        <v>71</v>
      </c>
      <c r="B25" s="44">
        <f>Brand_Profile!$D$9</f>
      </c>
      <c r="C25" s="44">
        <f>KOL_Database!$A$24</f>
      </c>
      <c r="D25" s="44">
        <f>KOL_Database!$B$24</f>
      </c>
      <c r="E25" s="44">
        <f>KOL_Database!$C$24</f>
      </c>
      <c r="F25" s="44">
        <f>KOL_Database!$D$24</f>
      </c>
      <c r="G25" s="44">
        <f>KOL_Database!$E$24</f>
      </c>
      <c r="H25" s="44">
        <f>KOL_Database!$G$24</f>
      </c>
      <c r="I25" s="45">
        <f>KOL_Database!$J$24</f>
      </c>
      <c r="J25" s="46">
        <f>KOL_Database!$K$24</f>
      </c>
      <c r="K25" s="47">
        <f>IFERROR(INDEX(Lookup_Lists!$B$170:$O$181,MATCH(Brand_Profile!$D$10,Lookup_Lists!$A$170:$A$181,0),MATCH(KOL_Database!$E$24,Lookup_Lists!$B$169:$O$169,0)),Lookup_Lists!$D$151)</f>
      </c>
      <c r="L25" s="47">
        <f>IF(KOL_Database!$F$24="",Matching_Engine!$BC$25,IF(Brand_Profile!$D$12=KOL_Database!$F$24,100,IF(Matching_Engine!$BA$25=KOL_Database!$E$24,80,IF(Matching_Engine!$BC$25&gt;=80,60,IF(Matching_Engine!$BC$25&gt;=60,40,Lookup_Lists!$D$151)))))</f>
      </c>
      <c r="M25" s="47">
        <f>ROUND((IF(Brand_Profile!$D$62=0,Lookup_Lists!$D$150,ROUND((IF(Brand_Profile!$D$57="",0,IF(ISNUMBER(SEARCH(Brand_Profile!$D$57,Matching_Engine!$BF$25)),1,0))+IF(Brand_Profile!$D$58="",0,IF(ISNUMBER(SEARCH(Brand_Profile!$D$58,Matching_Engine!$BF$25)),1,0))+IF(Brand_Profile!$D$59="",0,IF(ISNUMBER(SEARCH(Brand_Profile!$D$59,Matching_Engine!$BF$25)),1,0))+IF(Brand_Profile!$D$60="",0,IF(ISNUMBER(SEARCH(Brand_Profile!$D$60,Matching_Engine!$BF$25)),1,0))+IF(Brand_Profile!$D$61="",0,IF(ISNUMBER(SEARCH(Brand_Profile!$D$61,Matching_Engine!$BF$25)),1,0)))/Brand_Profile!$D$62*100,0))+IF(Brand_Profile!$D$74=0,Lookup_Lists!$D$150,ROUND((IF(Brand_Profile!$D$69="",0,IF(ISNUMBER(SEARCH(Brand_Profile!$D$69,Matching_Engine!$BF$25)),1,0))+IF(Brand_Profile!$D$70="",0,IF(ISNUMBER(SEARCH(Brand_Profile!$D$70,Matching_Engine!$BF$25)),1,0))+IF(Brand_Profile!$D$71="",0,IF(ISNUMBER(SEARCH(Brand_Profile!$D$71,Matching_Engine!$BF$25)),1,0))+IF(Brand_Profile!$D$72="",0,IF(ISNUMBER(SEARCH(Brand_Profile!$D$72,Matching_Engine!$BF$25)),1,0))+IF(Brand_Profile!$D$73="",0,IF(ISNUMBER(SEARCH(Brand_Profile!$D$73,Matching_Engine!$BF$25)),1,0)))/Brand_Profile!$D$74*100,0)))/2,0)</f>
      </c>
      <c r="N25" s="47">
        <f>ROUND((Matching_Engine!$K$25*Lookup_Lists!$D$110+Matching_Engine!$L$25*Lookup_Lists!$D$111+Matching_Engine!$M$25*Lookup_Lists!$D$112)/(Lookup_Lists!$D$110+Lookup_Lists!$D$111+Lookup_Lists!$D$112),0)</f>
      </c>
      <c r="O25" s="47">
        <f>IF(Brand_Profile!$D$16="",Lookup_Lists!$D$150,MIN(100,ROUND((IFERROR(INDEX(KOL_Database!$W$24:KOL_Database!$AA$24,1,MATCH(Brand_Profile!$D$16,Lookup_Lists!$F$6:$F$10,0)),0)+0.5*IFERROR(INDEX(KOL_Database!$W$24:KOL_Database!$AA$24,1,MATCH(Brand_Profile!$D$17,Lookup_Lists!$F$6:$F$10,0)),0))/Lookup_Lists!$D$142*100,0)))</f>
      </c>
      <c r="P25" s="47">
        <f>IF(OR(Brand_Profile!$D$18="",Brand_Profile!$D$18="Any"),100,IF(Brand_Profile!$D$18="Female",MIN(100,ROUND(KOL_Database!$AB$24/Lookup_Lists!$D$143*100,0)),IF(Brand_Profile!$D$18="Male",MIN(100,ROUND(KOL_Database!$AC$24/Lookup_Lists!$D$143*100,0)),MAX(0,ROUND(100-ABS(KOL_Database!$AB$24-50)*2,0)))))</f>
      </c>
      <c r="Q25" s="47">
        <f>ROUND((IF(Brand_Profile!$D$19="",100,IF(KOL_Database!$AD$24=Brand_Profile!$D$19,100,Lookup_Lists!$D$151))*Lookup_Lists!$D$118+IF(OR(Brand_Profile!$D$20="",Brand_Profile!$D$20="Nasional"),100,IF(KOL_Database!$AE$24="",Lookup_Lists!$D$150,IF(KOL_Database!$AE$24=Brand_Profile!$D$20,100,IF(KOL_Database!$AD$24=Brand_Profile!$D$19,40,Lookup_Lists!$D$151))))*Lookup_Lists!$D$119+IF(OR(Brand_Profile!$D$21="",Brand_Profile!$D$21="Nasional"),100,IF(KOL_Database!$AF$24="",Lookup_Lists!$D$150,IF(KOL_Database!$AF$24=Brand_Profile!$D$21,100,IF(KOL_Database!$AE$24=Brand_Profile!$D$20,60,Lookup_Lists!$D$151))))*Lookup_Lists!$D$120)/(Lookup_Lists!$D$118+Lookup_Lists!$D$119+Lookup_Lists!$D$120),0)</f>
      </c>
      <c r="R25" s="47">
        <f>IF(Brand_Profile!$D$68=0,Lookup_Lists!$D$150,ROUND((IF(Brand_Profile!$D$63="",0,IF(ISNUMBER(SEARCH(Brand_Profile!$D$63,KOL_Database!$AG$24)),1,0))+IF(Brand_Profile!$D$64="",0,IF(ISNUMBER(SEARCH(Brand_Profile!$D$64,KOL_Database!$AG$24)),1,0))+IF(Brand_Profile!$D$65="",0,IF(ISNUMBER(SEARCH(Brand_Profile!$D$65,KOL_Database!$AG$24)),1,0))+IF(Brand_Profile!$D$66="",0,IF(ISNUMBER(SEARCH(Brand_Profile!$D$66,KOL_Database!$AG$24)),1,0))+IF(Brand_Profile!$D$67="",0,IF(ISNUMBER(SEARCH(Brand_Profile!$D$67,KOL_Database!$AG$24)),1,0)))/Brand_Profile!$D$68*100,0))</f>
      </c>
      <c r="S25" s="47">
        <f>ROUND((Matching_Engine!$O$25*Brand_Profile!$D$96+Matching_Engine!$P$25*Brand_Profile!$D$97+Matching_Engine!$Q$25*Brand_Profile!$D$98+Matching_Engine!$R$25*Brand_Profile!$D$99)/MAX(1,Brand_Profile!$D$96+Brand_Profile!$D$97+Brand_Profile!$D$98+Brand_Profile!$D$99),0)</f>
      </c>
      <c r="T25" s="47">
        <f>IF(Brand_Profile!$D$33="",Lookup_Lists!$D$150,Matching_Engine!$BD$25)</f>
      </c>
      <c r="U25" s="47">
        <f>IF(Brand_Profile!$D$34="",Lookup_Lists!$D$150,IF(Brand_Profile!$D$34=KOL_Database!$F$24,100,IF(Matching_Engine!$BE$25=KOL_Database!$E$24,75,IF(Matching_Engine!$BD$25&gt;=80,Lookup_Lists!$D$150,IF(Matching_Engine!$BD$25&gt;=60,35,Lookup_Lists!$D$151)))))</f>
      </c>
      <c r="V25" s="47">
        <f>IF(Brand_Profile!$D$86=0,Lookup_Lists!$D$150,ROUND((IF(Brand_Profile!$D$81="",0,IF(ISNUMBER(SEARCH(Brand_Profile!$D$81,Matching_Engine!$BG$25)),1,0))+IF(Brand_Profile!$D$82="",0,IF(ISNUMBER(SEARCH(Brand_Profile!$D$82,Matching_Engine!$BG$25)),1,0))+IF(Brand_Profile!$D$83="",0,IF(ISNUMBER(SEARCH(Brand_Profile!$D$83,Matching_Engine!$BG$25)),1,0))+IF(Brand_Profile!$D$84="",0,IF(ISNUMBER(SEARCH(Brand_Profile!$D$84,Matching_Engine!$BG$25)),1,0))+IF(Brand_Profile!$D$85="",0,IF(ISNUMBER(SEARCH(Brand_Profile!$D$85,Matching_Engine!$BG$25)),1,0)))/Brand_Profile!$D$86*100,0))</f>
      </c>
      <c r="W25" s="47">
        <f>IF(Brand_Profile!$D$39="",Lookup_Lists!$D$150,IFERROR(INDEX(Lookup_Lists!$B$237:$K$246,MATCH(Brand_Profile!$D$39,Lookup_Lists!$A$237:$A$246,0),MATCH(KOL_Database!$AJ$24,Lookup_Lists!$B$236:$K$236,0)),45))</f>
      </c>
      <c r="X25" s="47">
        <f>ROUND((Matching_Engine!$T$25*Lookup_Lists!$D$121+Matching_Engine!$U$25*Lookup_Lists!$D$122+Matching_Engine!$V$25*Lookup_Lists!$D$123+Matching_Engine!$W$25*Lookup_Lists!$D$124)/(Lookup_Lists!$D$121+Lookup_Lists!$D$122+Lookup_Lists!$D$123+Lookup_Lists!$D$124),0)</f>
      </c>
      <c r="Y25" s="47">
        <f>MIN(100,MAX(IFERROR(INDEX(Lookup_Lists!$B$202:$M$211,MATCH(Brand_Profile!$D$25,Lookup_Lists!$A$202:$A$211,0),MATCH(KOL_Database!$AK$24,Lookup_Lists!$B$201:$M$201,0)),40),IF(KOL_Database!$AK$24=Brand_Profile!$D$41,95,0)))</f>
      </c>
      <c r="Z25" s="47">
        <f>IFERROR(INDEX(Lookup_Lists!$B$215:$K$222,MATCH(Brand_Profile!$D$27,Lookup_Lists!$A$215:$A$222,0),MATCH(KOL_Database!$AJ$24,Lookup_Lists!$B$214:$K$214,0)),45)</f>
      </c>
      <c r="AA25" s="47">
        <f>ROUND((IF(Brand_Profile!$D$80=0,Lookup_Lists!$D$150,ROUND((IF(Brand_Profile!$D$75="",0,IF(ISNUMBER(SEARCH(Brand_Profile!$D$75,KOL_Database!$AL$24)),1,0))+IF(Brand_Profile!$D$76="",0,IF(ISNUMBER(SEARCH(Brand_Profile!$D$76,KOL_Database!$AL$24)),1,0))+IF(Brand_Profile!$D$77="",0,IF(ISNUMBER(SEARCH(Brand_Profile!$D$77,KOL_Database!$AL$24)),1,0))+IF(Brand_Profile!$D$78="",0,IF(ISNUMBER(SEARCH(Brand_Profile!$D$78,KOL_Database!$AL$24)),1,0))+IF(Brand_Profile!$D$79="",0,IF(ISNUMBER(SEARCH(Brand_Profile!$D$79,KOL_Database!$AL$24)),1,0)))/Brand_Profile!$D$80*100,0))+IF(Brand_Profile!$D$92=0,Lookup_Lists!$D$150,ROUND((IF(Brand_Profile!$D$87="",0,IF(ISNUMBER(SEARCH(Brand_Profile!$D$87,KOL_Database!$AL$24)),1,0))+IF(Brand_Profile!$D$88="",0,IF(ISNUMBER(SEARCH(Brand_Profile!$D$88,KOL_Database!$AL$24)),1,0))+IF(Brand_Profile!$D$89="",0,IF(ISNUMBER(SEARCH(Brand_Profile!$D$89,KOL_Database!$AL$24)),1,0))+IF(Brand_Profile!$D$90="",0,IF(ISNUMBER(SEARCH(Brand_Profile!$D$90,KOL_Database!$AL$24)),1,0))+IF(Brand_Profile!$D$91="",0,IF(ISNUMBER(SEARCH(Brand_Profile!$D$91,KOL_Database!$AL$24)),1,0)))/Brand_Profile!$D$92*100,0)))/2,0)</f>
      </c>
      <c r="AB25" s="47">
        <f>IFERROR(INDEX(Lookup_Lists!$B$226:$K$233,MATCH(Brand_Profile!$D$30,Lookup_Lists!$A$226:$A$233,0),MATCH(KOL_Database!$AJ$24,Lookup_Lists!$B$225:$K$225,0)),45)</f>
      </c>
      <c r="AC25" s="47">
        <f>ROUND((Matching_Engine!$Y$25*Lookup_Lists!$D$125+Matching_Engine!$Z$25*Lookup_Lists!$D$126+Matching_Engine!$AA$25*Lookup_Lists!$D$127+Matching_Engine!$AB$25*Lookup_Lists!$D$128)/(Lookup_Lists!$D$125+Lookup_Lists!$D$126+Lookup_Lists!$D$127+Lookup_Lists!$D$128),0)</f>
      </c>
      <c r="AD25" s="47">
        <f>IF(KOL_Database!$K$24="",0,MIN(100,ROUND(KOL_Database!$K$24/Lookup_Lists!$D$141*100,0)))</f>
      </c>
      <c r="AE25" s="47">
        <f>IF(KOL_Database!$R$24="",0,MIN(100,MAX(0,KOL_Database!$R$24)))</f>
      </c>
      <c r="AF25" s="47">
        <f>IF(KOL_Database!$P$24="",0,MIN(100,MAX(0,KOL_Database!$P$24)))</f>
      </c>
      <c r="AG25" s="47">
        <f>IF(KOL_Database!$Q$24="",0,MIN(100,MAX(0,KOL_Database!$Q$24)))</f>
      </c>
      <c r="AH25" s="47">
        <f>IF(OR(KOL_Database!$J$24="",KOL_Database!$J$24=0,KOL_Database!$L$24=""),0,MIN(100,ROUND(KOL_Database!$L$24/KOL_Database!$J$24/Lookup_Lists!$D$144*100,0)))</f>
      </c>
      <c r="AI25" s="47">
        <f>IF(KOL_Database!$N$24="",0,MIN(100,MAX(0,ROUND((KOL_Database!$N$24+2)/(Lookup_Lists!$D$145+2)*100,0))))</f>
      </c>
      <c r="AJ25" s="47">
        <f>ROUND((Matching_Engine!$AD$25*Lookup_Lists!$D$129+Matching_Engine!$AE$25*Lookup_Lists!$D$130+Matching_Engine!$AF$25*Lookup_Lists!$D$131+Matching_Engine!$AG$25*Lookup_Lists!$D$132+Matching_Engine!$AH$25*Lookup_Lists!$D$133+Matching_Engine!$AI$25*Lookup_Lists!$D$134)/(Lookup_Lists!$D$129+Lookup_Lists!$D$130+Lookup_Lists!$D$131+Lookup_Lists!$D$132+Lookup_Lists!$D$133+Lookup_Lists!$D$134),0)</f>
      </c>
      <c r="AK25" s="47">
        <f>IF(KOL_Database!$AT$24="",0,MIN(100,MAX(0,KOL_Database!$AT$24)))</f>
      </c>
      <c r="AL25" s="47">
        <f>IF(KOL_Database!$AU$24="",0,KOL_Database!$AU$24)</f>
      </c>
      <c r="AM25" s="44">
        <f>IF(KOL_Database!$AV$24="","None",KOL_Database!$AV$24)</f>
      </c>
      <c r="AN25" s="48">
        <f>IF(Matching_Engine!$AM$25="High",Lookup_Lists!$D$137,IF(Matching_Engine!$AM$25="Medium",Lookup_Lists!$D$138,IF(Matching_Engine!$AM$25="Low",Lookup_Lists!$D$139,Lookup_Lists!$D$140)))</f>
      </c>
      <c r="AO25" s="47">
        <f>ROUND(MIN(100,MAX(0,(Matching_Engine!$AK$25*Lookup_Lists!$D$135+(100-Matching_Engine!$AL$25)*Lookup_Lists!$D$136)/(Lookup_Lists!$D$135+Lookup_Lists!$D$136)*Matching_Engine!$AN$25)),0)</f>
      </c>
      <c r="AP25" s="49">
        <f>ROUND((Matching_Engine!$N$25*Lookup_Lists!$D$104+Matching_Engine!$S$25*Lookup_Lists!$D$105+Matching_Engine!$X$25*Lookup_Lists!$D$106+Matching_Engine!$AC$25*Lookup_Lists!$D$107+Matching_Engine!$AJ$25*Lookup_Lists!$D$108+Matching_Engine!$AO$25*Lookup_Lists!$D$109)/MAX(1,(Lookup_Lists!$D$104+Lookup_Lists!$D$105+Lookup_Lists!$D$106+Lookup_Lists!$D$107+Lookup_Lists!$D$108+Lookup_Lists!$D$109)),0)</f>
      </c>
      <c r="AQ25" s="44">
        <f>IF(Matching_Engine!$AP$25&gt;=Lookup_Lists!$D$152,"Excellent Match",IF(Matching_Engine!$AP$25&gt;=Lookup_Lists!$D$153,"Strong Match",IF(Matching_Engine!$AP$25&gt;=Lookup_Lists!$D$154,"Good Match",IF(Matching_Engine!$AP$25&gt;=Lookup_Lists!$D$155,"Moderate Match","Low Match"))))</f>
      </c>
      <c r="AR25" s="47">
        <f>KOL_Database!$BE$24</f>
      </c>
      <c r="AS25" s="44">
        <f>IF(Matching_Engine!$AR$25&gt;=Lookup_Lists!$D$159,"High",IF(Matching_Engine!$AR$25&gt;=Lookup_Lists!$D$160,"Medium","Limited Data"))</f>
      </c>
      <c r="AT25" s="47">
        <f>ROUND((Matching_Engine!$N$25+Matching_Engine!$X$25+Matching_Engine!$AC$25)/3,0)</f>
      </c>
      <c r="AU25" s="47">
        <f>ROUND(((100-Matching_Engine!$AL$25)*Lookup_Lists!$D$162+IF(KOL_Database!$BD$24="",Lookup_Lists!$D$150,KOL_Database!$BD$24)*Lookup_Lists!$D$163+Matching_Engine!$AI$25*Lookup_Lists!$D$164+Matching_Engine!$AD$25*Lookup_Lists!$D$165)/(Lookup_Lists!$D$162+Lookup_Lists!$D$163+Lookup_Lists!$D$164+Lookup_Lists!$D$165),0)</f>
      </c>
      <c r="AV25" s="44">
        <f>IF(Matching_Engine!$AW$25="","PASS","EXCLUDED")</f>
      </c>
      <c r="AW25" s="44">
        <f>IF(ISERROR(SEARCH(KOL_Database!$D$24,Brand_Profile!$D$32)),"Platform not in Preferred Platform",IF(AND(Brand_Profile!$D$36&gt;0,KOL_Database!$J$24&lt;Brand_Profile!$D$36),"Followers below Preferred Follower Range",IF(AND(Brand_Profile!$D$37&gt;0,KOL_Database!$J$24&gt;Brand_Profile!$D$37),"Followers above Preferred Follower Range",IF(AND(Brand_Profile!$D$38&gt;0,IF(KOL_Database!$K$24="",0,KOL_Database!$K$24)&lt;Brand_Profile!$D$38),"Engagement Rate below Minimum Engagement Rate",IF(ISERROR(SEARCH(KOL_Database!$G$24,Brand_Profile!$D$35)),"Tier not in Preferred Tier",IF(AND(Brand_Profile!$D$43&gt;0,Matching_Engine!$AE$25&lt;Brand_Profile!$D$43),"Audience Quality below Minimum Audience Quality",IF(AND(Brand_Profile!$D$44&gt;0,Matching_Engine!$AK$25&lt;Brand_Profile!$D$44),"Brand Safety below Minimum Brand Safety",IF(AND(Brand_Profile!$D$47="Yes",KOL_Database!$AD$24&lt;&gt;Brand_Profile!$D$19),"Audience Country does not match Target Country",IF(AND(Brand_Profile!$D$46="Yes",KOL_Database!$E$24&lt;&gt;Brand_Profile!$D$33),"Category is not the Preferred Category",IF(AND(Brand_Profile!$D$48&gt;0,Matching_Engine!$AL$25&gt;Brand_Profile!$D$48),"Competitor Saturation above Max Competitor Saturation",IF(AND(Brand_Profile!$D$50="Yes",KOL_Database!$AW$24="Yes"),"Already Selected",IF(AND(Brand_Profile!$D$51="Yes",KOL_Database!$AX$24="Yes"),"Already in Cart",IF(AND(Brand_Profile!$D$52="Yes",KOL_Database!$AY$24="Yes"),"Existing Partner",IF(AND(Brand_Profile!$D$53="Yes",KOL_Database!$AZ$24="Yes"),"Excluded Creator",IF(AND(Brand_Profile!$D$49&gt;0,Matching_Engine!$AP$25&lt;Brand_Profile!$D$49),"Brand Match below Minimum Brand Match","")))))))))))))))</f>
      </c>
      <c r="AX25" s="44">
        <f>IF(Matching_Engine!$AV$25="EXCLUDED","Excluded",IF(Matching_Engine!$AP$25&gt;=Lookup_Lists!$D$156,"Highly Recommended",IF(Matching_Engine!$AP$25&gt;=Lookup_Lists!$D$157,"Recommended",IF(Matching_Engine!$AP$25&gt;=Lookup_Lists!$D$158,"Consider","Low Priority"))))</f>
      </c>
      <c r="AY25" s="47">
        <f>IF(Matching_Engine!$AV$25="PASS",Matching_Engine!$AP$25,"")</f>
      </c>
      <c r="AZ25" s="44">
        <f>Matching_Engine!$A$25&amp;"|"&amp;Matching_Engine!$C$25</f>
      </c>
      <c r="BA25" s="44">
        <f>IFERROR(INDEX(Lookup_Lists!$B$51:$B$92,MATCH(Brand_Profile!$D$12,Lookup_Lists!$A$51:$A$92,0)),"")</f>
      </c>
      <c r="BB25" s="44">
        <f>IFERROR(INDEX(Lookup_Lists!$B$51:$B$92,MATCH(KOL_Database!$F$24,Lookup_Lists!$A$51:$A$92,0)),"")</f>
      </c>
      <c r="BC25" s="47">
        <f>IFERROR(INDEX(Lookup_Lists!$B$185:$O$198,MATCH(Matching_Engine!$BA$25,Lookup_Lists!$A$185:$A$198,0),MATCH(KOL_Database!$E$24,Lookup_Lists!$B$184:$O$184,0)),Lookup_Lists!$D$151)</f>
      </c>
      <c r="BD25" s="47">
        <f>IFERROR(INDEX(Lookup_Lists!$B$185:$O$198,MATCH(Brand_Profile!$D$33,Lookup_Lists!$A$185:$A$198,0),MATCH(KOL_Database!$E$24,Lookup_Lists!$B$184:$O$184,0)),Lookup_Lists!$D$151)</f>
      </c>
      <c r="BE25" s="44">
        <f>IFERROR(INDEX(Lookup_Lists!$B$51:$B$92,MATCH(Brand_Profile!$D$34,Lookup_Lists!$A$51:$A$92,0)),"")</f>
      </c>
      <c r="BF25" s="44">
        <f>KOL_Database!$AI$24&amp;", "&amp;KOL_Database!$AG$24&amp;", "&amp;KOL_Database!$F$24&amp;", "&amp;KOL_Database!$E$24</f>
      </c>
      <c r="BG25" s="44">
        <f>KOL_Database!$AI$24&amp;", "&amp;KOL_Database!$AG$24</f>
      </c>
    </row>
    <row r="26" spans="1:59" x14ac:dyDescent="0.25">
      <c r="A26" s="43" t="s">
        <v>71</v>
      </c>
      <c r="B26" s="44">
        <f>Brand_Profile!$D$9</f>
      </c>
      <c r="C26" s="44">
        <f>KOL_Database!$A$25</f>
      </c>
      <c r="D26" s="44">
        <f>KOL_Database!$B$25</f>
      </c>
      <c r="E26" s="44">
        <f>KOL_Database!$C$25</f>
      </c>
      <c r="F26" s="44">
        <f>KOL_Database!$D$25</f>
      </c>
      <c r="G26" s="44">
        <f>KOL_Database!$E$25</f>
      </c>
      <c r="H26" s="44">
        <f>KOL_Database!$G$25</f>
      </c>
      <c r="I26" s="45">
        <f>KOL_Database!$J$25</f>
      </c>
      <c r="J26" s="46">
        <f>KOL_Database!$K$25</f>
      </c>
      <c r="K26" s="47">
        <f>IFERROR(INDEX(Lookup_Lists!$B$170:$O$181,MATCH(Brand_Profile!$D$10,Lookup_Lists!$A$170:$A$181,0),MATCH(KOL_Database!$E$25,Lookup_Lists!$B$169:$O$169,0)),Lookup_Lists!$D$151)</f>
      </c>
      <c r="L26" s="47">
        <f>IF(KOL_Database!$F$25="",Matching_Engine!$BC$26,IF(Brand_Profile!$D$12=KOL_Database!$F$25,100,IF(Matching_Engine!$BA$26=KOL_Database!$E$25,80,IF(Matching_Engine!$BC$26&gt;=80,60,IF(Matching_Engine!$BC$26&gt;=60,40,Lookup_Lists!$D$151)))))</f>
      </c>
      <c r="M26" s="47">
        <f>ROUND((IF(Brand_Profile!$D$62=0,Lookup_Lists!$D$150,ROUND((IF(Brand_Profile!$D$57="",0,IF(ISNUMBER(SEARCH(Brand_Profile!$D$57,Matching_Engine!$BF$26)),1,0))+IF(Brand_Profile!$D$58="",0,IF(ISNUMBER(SEARCH(Brand_Profile!$D$58,Matching_Engine!$BF$26)),1,0))+IF(Brand_Profile!$D$59="",0,IF(ISNUMBER(SEARCH(Brand_Profile!$D$59,Matching_Engine!$BF$26)),1,0))+IF(Brand_Profile!$D$60="",0,IF(ISNUMBER(SEARCH(Brand_Profile!$D$60,Matching_Engine!$BF$26)),1,0))+IF(Brand_Profile!$D$61="",0,IF(ISNUMBER(SEARCH(Brand_Profile!$D$61,Matching_Engine!$BF$26)),1,0)))/Brand_Profile!$D$62*100,0))+IF(Brand_Profile!$D$74=0,Lookup_Lists!$D$150,ROUND((IF(Brand_Profile!$D$69="",0,IF(ISNUMBER(SEARCH(Brand_Profile!$D$69,Matching_Engine!$BF$26)),1,0))+IF(Brand_Profile!$D$70="",0,IF(ISNUMBER(SEARCH(Brand_Profile!$D$70,Matching_Engine!$BF$26)),1,0))+IF(Brand_Profile!$D$71="",0,IF(ISNUMBER(SEARCH(Brand_Profile!$D$71,Matching_Engine!$BF$26)),1,0))+IF(Brand_Profile!$D$72="",0,IF(ISNUMBER(SEARCH(Brand_Profile!$D$72,Matching_Engine!$BF$26)),1,0))+IF(Brand_Profile!$D$73="",0,IF(ISNUMBER(SEARCH(Brand_Profile!$D$73,Matching_Engine!$BF$26)),1,0)))/Brand_Profile!$D$74*100,0)))/2,0)</f>
      </c>
      <c r="N26" s="47">
        <f>ROUND((Matching_Engine!$K$26*Lookup_Lists!$D$110+Matching_Engine!$L$26*Lookup_Lists!$D$111+Matching_Engine!$M$26*Lookup_Lists!$D$112)/(Lookup_Lists!$D$110+Lookup_Lists!$D$111+Lookup_Lists!$D$112),0)</f>
      </c>
      <c r="O26" s="47">
        <f>IF(Brand_Profile!$D$16="",Lookup_Lists!$D$150,MIN(100,ROUND((IFERROR(INDEX(KOL_Database!$W$25:KOL_Database!$AA$25,1,MATCH(Brand_Profile!$D$16,Lookup_Lists!$F$6:$F$10,0)),0)+0.5*IFERROR(INDEX(KOL_Database!$W$25:KOL_Database!$AA$25,1,MATCH(Brand_Profile!$D$17,Lookup_Lists!$F$6:$F$10,0)),0))/Lookup_Lists!$D$142*100,0)))</f>
      </c>
      <c r="P26" s="47">
        <f>IF(OR(Brand_Profile!$D$18="",Brand_Profile!$D$18="Any"),100,IF(Brand_Profile!$D$18="Female",MIN(100,ROUND(KOL_Database!$AB$25/Lookup_Lists!$D$143*100,0)),IF(Brand_Profile!$D$18="Male",MIN(100,ROUND(KOL_Database!$AC$25/Lookup_Lists!$D$143*100,0)),MAX(0,ROUND(100-ABS(KOL_Database!$AB$25-50)*2,0)))))</f>
      </c>
      <c r="Q26" s="47">
        <f>ROUND((IF(Brand_Profile!$D$19="",100,IF(KOL_Database!$AD$25=Brand_Profile!$D$19,100,Lookup_Lists!$D$151))*Lookup_Lists!$D$118+IF(OR(Brand_Profile!$D$20="",Brand_Profile!$D$20="Nasional"),100,IF(KOL_Database!$AE$25="",Lookup_Lists!$D$150,IF(KOL_Database!$AE$25=Brand_Profile!$D$20,100,IF(KOL_Database!$AD$25=Brand_Profile!$D$19,40,Lookup_Lists!$D$151))))*Lookup_Lists!$D$119+IF(OR(Brand_Profile!$D$21="",Brand_Profile!$D$21="Nasional"),100,IF(KOL_Database!$AF$25="",Lookup_Lists!$D$150,IF(KOL_Database!$AF$25=Brand_Profile!$D$21,100,IF(KOL_Database!$AE$25=Brand_Profile!$D$20,60,Lookup_Lists!$D$151))))*Lookup_Lists!$D$120)/(Lookup_Lists!$D$118+Lookup_Lists!$D$119+Lookup_Lists!$D$120),0)</f>
      </c>
      <c r="R26" s="47">
        <f>IF(Brand_Profile!$D$68=0,Lookup_Lists!$D$150,ROUND((IF(Brand_Profile!$D$63="",0,IF(ISNUMBER(SEARCH(Brand_Profile!$D$63,KOL_Database!$AG$25)),1,0))+IF(Brand_Profile!$D$64="",0,IF(ISNUMBER(SEARCH(Brand_Profile!$D$64,KOL_Database!$AG$25)),1,0))+IF(Brand_Profile!$D$65="",0,IF(ISNUMBER(SEARCH(Brand_Profile!$D$65,KOL_Database!$AG$25)),1,0))+IF(Brand_Profile!$D$66="",0,IF(ISNUMBER(SEARCH(Brand_Profile!$D$66,KOL_Database!$AG$25)),1,0))+IF(Brand_Profile!$D$67="",0,IF(ISNUMBER(SEARCH(Brand_Profile!$D$67,KOL_Database!$AG$25)),1,0)))/Brand_Profile!$D$68*100,0))</f>
      </c>
      <c r="S26" s="47">
        <f>ROUND((Matching_Engine!$O$26*Brand_Profile!$D$96+Matching_Engine!$P$26*Brand_Profile!$D$97+Matching_Engine!$Q$26*Brand_Profile!$D$98+Matching_Engine!$R$26*Brand_Profile!$D$99)/MAX(1,Brand_Profile!$D$96+Brand_Profile!$D$97+Brand_Profile!$D$98+Brand_Profile!$D$99),0)</f>
      </c>
      <c r="T26" s="47">
        <f>IF(Brand_Profile!$D$33="",Lookup_Lists!$D$150,Matching_Engine!$BD$26)</f>
      </c>
      <c r="U26" s="47">
        <f>IF(Brand_Profile!$D$34="",Lookup_Lists!$D$150,IF(Brand_Profile!$D$34=KOL_Database!$F$25,100,IF(Matching_Engine!$BE$26=KOL_Database!$E$25,75,IF(Matching_Engine!$BD$26&gt;=80,Lookup_Lists!$D$150,IF(Matching_Engine!$BD$26&gt;=60,35,Lookup_Lists!$D$151)))))</f>
      </c>
      <c r="V26" s="47">
        <f>IF(Brand_Profile!$D$86=0,Lookup_Lists!$D$150,ROUND((IF(Brand_Profile!$D$81="",0,IF(ISNUMBER(SEARCH(Brand_Profile!$D$81,Matching_Engine!$BG$26)),1,0))+IF(Brand_Profile!$D$82="",0,IF(ISNUMBER(SEARCH(Brand_Profile!$D$82,Matching_Engine!$BG$26)),1,0))+IF(Brand_Profile!$D$83="",0,IF(ISNUMBER(SEARCH(Brand_Profile!$D$83,Matching_Engine!$BG$26)),1,0))+IF(Brand_Profile!$D$84="",0,IF(ISNUMBER(SEARCH(Brand_Profile!$D$84,Matching_Engine!$BG$26)),1,0))+IF(Brand_Profile!$D$85="",0,IF(ISNUMBER(SEARCH(Brand_Profile!$D$85,Matching_Engine!$BG$26)),1,0)))/Brand_Profile!$D$86*100,0))</f>
      </c>
      <c r="W26" s="47">
        <f>IF(Brand_Profile!$D$39="",Lookup_Lists!$D$150,IFERROR(INDEX(Lookup_Lists!$B$237:$K$246,MATCH(Brand_Profile!$D$39,Lookup_Lists!$A$237:$A$246,0),MATCH(KOL_Database!$AJ$25,Lookup_Lists!$B$236:$K$236,0)),45))</f>
      </c>
      <c r="X26" s="47">
        <f>ROUND((Matching_Engine!$T$26*Lookup_Lists!$D$121+Matching_Engine!$U$26*Lookup_Lists!$D$122+Matching_Engine!$V$26*Lookup_Lists!$D$123+Matching_Engine!$W$26*Lookup_Lists!$D$124)/(Lookup_Lists!$D$121+Lookup_Lists!$D$122+Lookup_Lists!$D$123+Lookup_Lists!$D$124),0)</f>
      </c>
      <c r="Y26" s="47">
        <f>MIN(100,MAX(IFERROR(INDEX(Lookup_Lists!$B$202:$M$211,MATCH(Brand_Profile!$D$25,Lookup_Lists!$A$202:$A$211,0),MATCH(KOL_Database!$AK$25,Lookup_Lists!$B$201:$M$201,0)),40),IF(KOL_Database!$AK$25=Brand_Profile!$D$41,95,0)))</f>
      </c>
      <c r="Z26" s="47">
        <f>IFERROR(INDEX(Lookup_Lists!$B$215:$K$222,MATCH(Brand_Profile!$D$27,Lookup_Lists!$A$215:$A$222,0),MATCH(KOL_Database!$AJ$25,Lookup_Lists!$B$214:$K$214,0)),45)</f>
      </c>
      <c r="AA26" s="47">
        <f>ROUND((IF(Brand_Profile!$D$80=0,Lookup_Lists!$D$150,ROUND((IF(Brand_Profile!$D$75="",0,IF(ISNUMBER(SEARCH(Brand_Profile!$D$75,KOL_Database!$AL$25)),1,0))+IF(Brand_Profile!$D$76="",0,IF(ISNUMBER(SEARCH(Brand_Profile!$D$76,KOL_Database!$AL$25)),1,0))+IF(Brand_Profile!$D$77="",0,IF(ISNUMBER(SEARCH(Brand_Profile!$D$77,KOL_Database!$AL$25)),1,0))+IF(Brand_Profile!$D$78="",0,IF(ISNUMBER(SEARCH(Brand_Profile!$D$78,KOL_Database!$AL$25)),1,0))+IF(Brand_Profile!$D$79="",0,IF(ISNUMBER(SEARCH(Brand_Profile!$D$79,KOL_Database!$AL$25)),1,0)))/Brand_Profile!$D$80*100,0))+IF(Brand_Profile!$D$92=0,Lookup_Lists!$D$150,ROUND((IF(Brand_Profile!$D$87="",0,IF(ISNUMBER(SEARCH(Brand_Profile!$D$87,KOL_Database!$AL$25)),1,0))+IF(Brand_Profile!$D$88="",0,IF(ISNUMBER(SEARCH(Brand_Profile!$D$88,KOL_Database!$AL$25)),1,0))+IF(Brand_Profile!$D$89="",0,IF(ISNUMBER(SEARCH(Brand_Profile!$D$89,KOL_Database!$AL$25)),1,0))+IF(Brand_Profile!$D$90="",0,IF(ISNUMBER(SEARCH(Brand_Profile!$D$90,KOL_Database!$AL$25)),1,0))+IF(Brand_Profile!$D$91="",0,IF(ISNUMBER(SEARCH(Brand_Profile!$D$91,KOL_Database!$AL$25)),1,0)))/Brand_Profile!$D$92*100,0)))/2,0)</f>
      </c>
      <c r="AB26" s="47">
        <f>IFERROR(INDEX(Lookup_Lists!$B$226:$K$233,MATCH(Brand_Profile!$D$30,Lookup_Lists!$A$226:$A$233,0),MATCH(KOL_Database!$AJ$25,Lookup_Lists!$B$225:$K$225,0)),45)</f>
      </c>
      <c r="AC26" s="47">
        <f>ROUND((Matching_Engine!$Y$26*Lookup_Lists!$D$125+Matching_Engine!$Z$26*Lookup_Lists!$D$126+Matching_Engine!$AA$26*Lookup_Lists!$D$127+Matching_Engine!$AB$26*Lookup_Lists!$D$128)/(Lookup_Lists!$D$125+Lookup_Lists!$D$126+Lookup_Lists!$D$127+Lookup_Lists!$D$128),0)</f>
      </c>
      <c r="AD26" s="47">
        <f>IF(KOL_Database!$K$25="",0,MIN(100,ROUND(KOL_Database!$K$25/Lookup_Lists!$D$141*100,0)))</f>
      </c>
      <c r="AE26" s="47">
        <f>IF(KOL_Database!$R$25="",0,MIN(100,MAX(0,KOL_Database!$R$25)))</f>
      </c>
      <c r="AF26" s="47">
        <f>IF(KOL_Database!$P$25="",0,MIN(100,MAX(0,KOL_Database!$P$25)))</f>
      </c>
      <c r="AG26" s="47">
        <f>IF(KOL_Database!$Q$25="",0,MIN(100,MAX(0,KOL_Database!$Q$25)))</f>
      </c>
      <c r="AH26" s="47">
        <f>IF(OR(KOL_Database!$J$25="",KOL_Database!$J$25=0,KOL_Database!$L$25=""),0,MIN(100,ROUND(KOL_Database!$L$25/KOL_Database!$J$25/Lookup_Lists!$D$144*100,0)))</f>
      </c>
      <c r="AI26" s="47">
        <f>IF(KOL_Database!$N$25="",0,MIN(100,MAX(0,ROUND((KOL_Database!$N$25+2)/(Lookup_Lists!$D$145+2)*100,0))))</f>
      </c>
      <c r="AJ26" s="47">
        <f>ROUND((Matching_Engine!$AD$26*Lookup_Lists!$D$129+Matching_Engine!$AE$26*Lookup_Lists!$D$130+Matching_Engine!$AF$26*Lookup_Lists!$D$131+Matching_Engine!$AG$26*Lookup_Lists!$D$132+Matching_Engine!$AH$26*Lookup_Lists!$D$133+Matching_Engine!$AI$26*Lookup_Lists!$D$134)/(Lookup_Lists!$D$129+Lookup_Lists!$D$130+Lookup_Lists!$D$131+Lookup_Lists!$D$132+Lookup_Lists!$D$133+Lookup_Lists!$D$134),0)</f>
      </c>
      <c r="AK26" s="47">
        <f>IF(KOL_Database!$AT$25="",0,MIN(100,MAX(0,KOL_Database!$AT$25)))</f>
      </c>
      <c r="AL26" s="47">
        <f>IF(KOL_Database!$AU$25="",0,KOL_Database!$AU$25)</f>
      </c>
      <c r="AM26" s="44">
        <f>IF(KOL_Database!$AV$25="","None",KOL_Database!$AV$25)</f>
      </c>
      <c r="AN26" s="48">
        <f>IF(Matching_Engine!$AM$26="High",Lookup_Lists!$D$137,IF(Matching_Engine!$AM$26="Medium",Lookup_Lists!$D$138,IF(Matching_Engine!$AM$26="Low",Lookup_Lists!$D$139,Lookup_Lists!$D$140)))</f>
      </c>
      <c r="AO26" s="47">
        <f>ROUND(MIN(100,MAX(0,(Matching_Engine!$AK$26*Lookup_Lists!$D$135+(100-Matching_Engine!$AL$26)*Lookup_Lists!$D$136)/(Lookup_Lists!$D$135+Lookup_Lists!$D$136)*Matching_Engine!$AN$26)),0)</f>
      </c>
      <c r="AP26" s="49">
        <f>ROUND((Matching_Engine!$N$26*Lookup_Lists!$D$104+Matching_Engine!$S$26*Lookup_Lists!$D$105+Matching_Engine!$X$26*Lookup_Lists!$D$106+Matching_Engine!$AC$26*Lookup_Lists!$D$107+Matching_Engine!$AJ$26*Lookup_Lists!$D$108+Matching_Engine!$AO$26*Lookup_Lists!$D$109)/MAX(1,(Lookup_Lists!$D$104+Lookup_Lists!$D$105+Lookup_Lists!$D$106+Lookup_Lists!$D$107+Lookup_Lists!$D$108+Lookup_Lists!$D$109)),0)</f>
      </c>
      <c r="AQ26" s="44">
        <f>IF(Matching_Engine!$AP$26&gt;=Lookup_Lists!$D$152,"Excellent Match",IF(Matching_Engine!$AP$26&gt;=Lookup_Lists!$D$153,"Strong Match",IF(Matching_Engine!$AP$26&gt;=Lookup_Lists!$D$154,"Good Match",IF(Matching_Engine!$AP$26&gt;=Lookup_Lists!$D$155,"Moderate Match","Low Match"))))</f>
      </c>
      <c r="AR26" s="47">
        <f>KOL_Database!$BE$25</f>
      </c>
      <c r="AS26" s="44">
        <f>IF(Matching_Engine!$AR$26&gt;=Lookup_Lists!$D$159,"High",IF(Matching_Engine!$AR$26&gt;=Lookup_Lists!$D$160,"Medium","Limited Data"))</f>
      </c>
      <c r="AT26" s="47">
        <f>ROUND((Matching_Engine!$N$26+Matching_Engine!$X$26+Matching_Engine!$AC$26)/3,0)</f>
      </c>
      <c r="AU26" s="47">
        <f>ROUND(((100-Matching_Engine!$AL$26)*Lookup_Lists!$D$162+IF(KOL_Database!$BD$25="",Lookup_Lists!$D$150,KOL_Database!$BD$25)*Lookup_Lists!$D$163+Matching_Engine!$AI$26*Lookup_Lists!$D$164+Matching_Engine!$AD$26*Lookup_Lists!$D$165)/(Lookup_Lists!$D$162+Lookup_Lists!$D$163+Lookup_Lists!$D$164+Lookup_Lists!$D$165),0)</f>
      </c>
      <c r="AV26" s="44">
        <f>IF(Matching_Engine!$AW$26="","PASS","EXCLUDED")</f>
      </c>
      <c r="AW26" s="44">
        <f>IF(ISERROR(SEARCH(KOL_Database!$D$25,Brand_Profile!$D$32)),"Platform not in Preferred Platform",IF(AND(Brand_Profile!$D$36&gt;0,KOL_Database!$J$25&lt;Brand_Profile!$D$36),"Followers below Preferred Follower Range",IF(AND(Brand_Profile!$D$37&gt;0,KOL_Database!$J$25&gt;Brand_Profile!$D$37),"Followers above Preferred Follower Range",IF(AND(Brand_Profile!$D$38&gt;0,IF(KOL_Database!$K$25="",0,KOL_Database!$K$25)&lt;Brand_Profile!$D$38),"Engagement Rate below Minimum Engagement Rate",IF(ISERROR(SEARCH(KOL_Database!$G$25,Brand_Profile!$D$35)),"Tier not in Preferred Tier",IF(AND(Brand_Profile!$D$43&gt;0,Matching_Engine!$AE$26&lt;Brand_Profile!$D$43),"Audience Quality below Minimum Audience Quality",IF(AND(Brand_Profile!$D$44&gt;0,Matching_Engine!$AK$26&lt;Brand_Profile!$D$44),"Brand Safety below Minimum Brand Safety",IF(AND(Brand_Profile!$D$47="Yes",KOL_Database!$AD$25&lt;&gt;Brand_Profile!$D$19),"Audience Country does not match Target Country",IF(AND(Brand_Profile!$D$46="Yes",KOL_Database!$E$25&lt;&gt;Brand_Profile!$D$33),"Category is not the Preferred Category",IF(AND(Brand_Profile!$D$48&gt;0,Matching_Engine!$AL$26&gt;Brand_Profile!$D$48),"Competitor Saturation above Max Competitor Saturation",IF(AND(Brand_Profile!$D$50="Yes",KOL_Database!$AW$25="Yes"),"Already Selected",IF(AND(Brand_Profile!$D$51="Yes",KOL_Database!$AX$25="Yes"),"Already in Cart",IF(AND(Brand_Profile!$D$52="Yes",KOL_Database!$AY$25="Yes"),"Existing Partner",IF(AND(Brand_Profile!$D$53="Yes",KOL_Database!$AZ$25="Yes"),"Excluded Creator",IF(AND(Brand_Profile!$D$49&gt;0,Matching_Engine!$AP$26&lt;Brand_Profile!$D$49),"Brand Match below Minimum Brand Match","")))))))))))))))</f>
      </c>
      <c r="AX26" s="44">
        <f>IF(Matching_Engine!$AV$26="EXCLUDED","Excluded",IF(Matching_Engine!$AP$26&gt;=Lookup_Lists!$D$156,"Highly Recommended",IF(Matching_Engine!$AP$26&gt;=Lookup_Lists!$D$157,"Recommended",IF(Matching_Engine!$AP$26&gt;=Lookup_Lists!$D$158,"Consider","Low Priority"))))</f>
      </c>
      <c r="AY26" s="47">
        <f>IF(Matching_Engine!$AV$26="PASS",Matching_Engine!$AP$26,"")</f>
      </c>
      <c r="AZ26" s="44">
        <f>Matching_Engine!$A$26&amp;"|"&amp;Matching_Engine!$C$26</f>
      </c>
      <c r="BA26" s="44">
        <f>IFERROR(INDEX(Lookup_Lists!$B$51:$B$92,MATCH(Brand_Profile!$D$12,Lookup_Lists!$A$51:$A$92,0)),"")</f>
      </c>
      <c r="BB26" s="44">
        <f>IFERROR(INDEX(Lookup_Lists!$B$51:$B$92,MATCH(KOL_Database!$F$25,Lookup_Lists!$A$51:$A$92,0)),"")</f>
      </c>
      <c r="BC26" s="47">
        <f>IFERROR(INDEX(Lookup_Lists!$B$185:$O$198,MATCH(Matching_Engine!$BA$26,Lookup_Lists!$A$185:$A$198,0),MATCH(KOL_Database!$E$25,Lookup_Lists!$B$184:$O$184,0)),Lookup_Lists!$D$151)</f>
      </c>
      <c r="BD26" s="47">
        <f>IFERROR(INDEX(Lookup_Lists!$B$185:$O$198,MATCH(Brand_Profile!$D$33,Lookup_Lists!$A$185:$A$198,0),MATCH(KOL_Database!$E$25,Lookup_Lists!$B$184:$O$184,0)),Lookup_Lists!$D$151)</f>
      </c>
      <c r="BE26" s="44">
        <f>IFERROR(INDEX(Lookup_Lists!$B$51:$B$92,MATCH(Brand_Profile!$D$34,Lookup_Lists!$A$51:$A$92,0)),"")</f>
      </c>
      <c r="BF26" s="44">
        <f>KOL_Database!$AI$25&amp;", "&amp;KOL_Database!$AG$25&amp;", "&amp;KOL_Database!$F$25&amp;", "&amp;KOL_Database!$E$25</f>
      </c>
      <c r="BG26" s="44">
        <f>KOL_Database!$AI$25&amp;", "&amp;KOL_Database!$AG$25</f>
      </c>
    </row>
    <row r="27" spans="1:59" x14ac:dyDescent="0.25">
      <c r="A27" s="43" t="s">
        <v>71</v>
      </c>
      <c r="B27" s="44">
        <f>Brand_Profile!$D$9</f>
      </c>
      <c r="C27" s="44">
        <f>KOL_Database!$A$26</f>
      </c>
      <c r="D27" s="44">
        <f>KOL_Database!$B$26</f>
      </c>
      <c r="E27" s="44">
        <f>KOL_Database!$C$26</f>
      </c>
      <c r="F27" s="44">
        <f>KOL_Database!$D$26</f>
      </c>
      <c r="G27" s="44">
        <f>KOL_Database!$E$26</f>
      </c>
      <c r="H27" s="44">
        <f>KOL_Database!$G$26</f>
      </c>
      <c r="I27" s="45">
        <f>KOL_Database!$J$26</f>
      </c>
      <c r="J27" s="46">
        <f>KOL_Database!$K$26</f>
      </c>
      <c r="K27" s="47">
        <f>IFERROR(INDEX(Lookup_Lists!$B$170:$O$181,MATCH(Brand_Profile!$D$10,Lookup_Lists!$A$170:$A$181,0),MATCH(KOL_Database!$E$26,Lookup_Lists!$B$169:$O$169,0)),Lookup_Lists!$D$151)</f>
      </c>
      <c r="L27" s="47">
        <f>IF(KOL_Database!$F$26="",Matching_Engine!$BC$27,IF(Brand_Profile!$D$12=KOL_Database!$F$26,100,IF(Matching_Engine!$BA$27=KOL_Database!$E$26,80,IF(Matching_Engine!$BC$27&gt;=80,60,IF(Matching_Engine!$BC$27&gt;=60,40,Lookup_Lists!$D$151)))))</f>
      </c>
      <c r="M27" s="47">
        <f>ROUND((IF(Brand_Profile!$D$62=0,Lookup_Lists!$D$150,ROUND((IF(Brand_Profile!$D$57="",0,IF(ISNUMBER(SEARCH(Brand_Profile!$D$57,Matching_Engine!$BF$27)),1,0))+IF(Brand_Profile!$D$58="",0,IF(ISNUMBER(SEARCH(Brand_Profile!$D$58,Matching_Engine!$BF$27)),1,0))+IF(Brand_Profile!$D$59="",0,IF(ISNUMBER(SEARCH(Brand_Profile!$D$59,Matching_Engine!$BF$27)),1,0))+IF(Brand_Profile!$D$60="",0,IF(ISNUMBER(SEARCH(Brand_Profile!$D$60,Matching_Engine!$BF$27)),1,0))+IF(Brand_Profile!$D$61="",0,IF(ISNUMBER(SEARCH(Brand_Profile!$D$61,Matching_Engine!$BF$27)),1,0)))/Brand_Profile!$D$62*100,0))+IF(Brand_Profile!$D$74=0,Lookup_Lists!$D$150,ROUND((IF(Brand_Profile!$D$69="",0,IF(ISNUMBER(SEARCH(Brand_Profile!$D$69,Matching_Engine!$BF$27)),1,0))+IF(Brand_Profile!$D$70="",0,IF(ISNUMBER(SEARCH(Brand_Profile!$D$70,Matching_Engine!$BF$27)),1,0))+IF(Brand_Profile!$D$71="",0,IF(ISNUMBER(SEARCH(Brand_Profile!$D$71,Matching_Engine!$BF$27)),1,0))+IF(Brand_Profile!$D$72="",0,IF(ISNUMBER(SEARCH(Brand_Profile!$D$72,Matching_Engine!$BF$27)),1,0))+IF(Brand_Profile!$D$73="",0,IF(ISNUMBER(SEARCH(Brand_Profile!$D$73,Matching_Engine!$BF$27)),1,0)))/Brand_Profile!$D$74*100,0)))/2,0)</f>
      </c>
      <c r="N27" s="47">
        <f>ROUND((Matching_Engine!$K$27*Lookup_Lists!$D$110+Matching_Engine!$L$27*Lookup_Lists!$D$111+Matching_Engine!$M$27*Lookup_Lists!$D$112)/(Lookup_Lists!$D$110+Lookup_Lists!$D$111+Lookup_Lists!$D$112),0)</f>
      </c>
      <c r="O27" s="47">
        <f>IF(Brand_Profile!$D$16="",Lookup_Lists!$D$150,MIN(100,ROUND((IFERROR(INDEX(KOL_Database!$W$26:KOL_Database!$AA$26,1,MATCH(Brand_Profile!$D$16,Lookup_Lists!$F$6:$F$10,0)),0)+0.5*IFERROR(INDEX(KOL_Database!$W$26:KOL_Database!$AA$26,1,MATCH(Brand_Profile!$D$17,Lookup_Lists!$F$6:$F$10,0)),0))/Lookup_Lists!$D$142*100,0)))</f>
      </c>
      <c r="P27" s="47">
        <f>IF(OR(Brand_Profile!$D$18="",Brand_Profile!$D$18="Any"),100,IF(Brand_Profile!$D$18="Female",MIN(100,ROUND(KOL_Database!$AB$26/Lookup_Lists!$D$143*100,0)),IF(Brand_Profile!$D$18="Male",MIN(100,ROUND(KOL_Database!$AC$26/Lookup_Lists!$D$143*100,0)),MAX(0,ROUND(100-ABS(KOL_Database!$AB$26-50)*2,0)))))</f>
      </c>
      <c r="Q27" s="47">
        <f>ROUND((IF(Brand_Profile!$D$19="",100,IF(KOL_Database!$AD$26=Brand_Profile!$D$19,100,Lookup_Lists!$D$151))*Lookup_Lists!$D$118+IF(OR(Brand_Profile!$D$20="",Brand_Profile!$D$20="Nasional"),100,IF(KOL_Database!$AE$26="",Lookup_Lists!$D$150,IF(KOL_Database!$AE$26=Brand_Profile!$D$20,100,IF(KOL_Database!$AD$26=Brand_Profile!$D$19,40,Lookup_Lists!$D$151))))*Lookup_Lists!$D$119+IF(OR(Brand_Profile!$D$21="",Brand_Profile!$D$21="Nasional"),100,IF(KOL_Database!$AF$26="",Lookup_Lists!$D$150,IF(KOL_Database!$AF$26=Brand_Profile!$D$21,100,IF(KOL_Database!$AE$26=Brand_Profile!$D$20,60,Lookup_Lists!$D$151))))*Lookup_Lists!$D$120)/(Lookup_Lists!$D$118+Lookup_Lists!$D$119+Lookup_Lists!$D$120),0)</f>
      </c>
      <c r="R27" s="47">
        <f>IF(Brand_Profile!$D$68=0,Lookup_Lists!$D$150,ROUND((IF(Brand_Profile!$D$63="",0,IF(ISNUMBER(SEARCH(Brand_Profile!$D$63,KOL_Database!$AG$26)),1,0))+IF(Brand_Profile!$D$64="",0,IF(ISNUMBER(SEARCH(Brand_Profile!$D$64,KOL_Database!$AG$26)),1,0))+IF(Brand_Profile!$D$65="",0,IF(ISNUMBER(SEARCH(Brand_Profile!$D$65,KOL_Database!$AG$26)),1,0))+IF(Brand_Profile!$D$66="",0,IF(ISNUMBER(SEARCH(Brand_Profile!$D$66,KOL_Database!$AG$26)),1,0))+IF(Brand_Profile!$D$67="",0,IF(ISNUMBER(SEARCH(Brand_Profile!$D$67,KOL_Database!$AG$26)),1,0)))/Brand_Profile!$D$68*100,0))</f>
      </c>
      <c r="S27" s="47">
        <f>ROUND((Matching_Engine!$O$27*Brand_Profile!$D$96+Matching_Engine!$P$27*Brand_Profile!$D$97+Matching_Engine!$Q$27*Brand_Profile!$D$98+Matching_Engine!$R$27*Brand_Profile!$D$99)/MAX(1,Brand_Profile!$D$96+Brand_Profile!$D$97+Brand_Profile!$D$98+Brand_Profile!$D$99),0)</f>
      </c>
      <c r="T27" s="47">
        <f>IF(Brand_Profile!$D$33="",Lookup_Lists!$D$150,Matching_Engine!$BD$27)</f>
      </c>
      <c r="U27" s="47">
        <f>IF(Brand_Profile!$D$34="",Lookup_Lists!$D$150,IF(Brand_Profile!$D$34=KOL_Database!$F$26,100,IF(Matching_Engine!$BE$27=KOL_Database!$E$26,75,IF(Matching_Engine!$BD$27&gt;=80,Lookup_Lists!$D$150,IF(Matching_Engine!$BD$27&gt;=60,35,Lookup_Lists!$D$151)))))</f>
      </c>
      <c r="V27" s="47">
        <f>IF(Brand_Profile!$D$86=0,Lookup_Lists!$D$150,ROUND((IF(Brand_Profile!$D$81="",0,IF(ISNUMBER(SEARCH(Brand_Profile!$D$81,Matching_Engine!$BG$27)),1,0))+IF(Brand_Profile!$D$82="",0,IF(ISNUMBER(SEARCH(Brand_Profile!$D$82,Matching_Engine!$BG$27)),1,0))+IF(Brand_Profile!$D$83="",0,IF(ISNUMBER(SEARCH(Brand_Profile!$D$83,Matching_Engine!$BG$27)),1,0))+IF(Brand_Profile!$D$84="",0,IF(ISNUMBER(SEARCH(Brand_Profile!$D$84,Matching_Engine!$BG$27)),1,0))+IF(Brand_Profile!$D$85="",0,IF(ISNUMBER(SEARCH(Brand_Profile!$D$85,Matching_Engine!$BG$27)),1,0)))/Brand_Profile!$D$86*100,0))</f>
      </c>
      <c r="W27" s="47">
        <f>IF(Brand_Profile!$D$39="",Lookup_Lists!$D$150,IFERROR(INDEX(Lookup_Lists!$B$237:$K$246,MATCH(Brand_Profile!$D$39,Lookup_Lists!$A$237:$A$246,0),MATCH(KOL_Database!$AJ$26,Lookup_Lists!$B$236:$K$236,0)),45))</f>
      </c>
      <c r="X27" s="47">
        <f>ROUND((Matching_Engine!$T$27*Lookup_Lists!$D$121+Matching_Engine!$U$27*Lookup_Lists!$D$122+Matching_Engine!$V$27*Lookup_Lists!$D$123+Matching_Engine!$W$27*Lookup_Lists!$D$124)/(Lookup_Lists!$D$121+Lookup_Lists!$D$122+Lookup_Lists!$D$123+Lookup_Lists!$D$124),0)</f>
      </c>
      <c r="Y27" s="47">
        <f>MIN(100,MAX(IFERROR(INDEX(Lookup_Lists!$B$202:$M$211,MATCH(Brand_Profile!$D$25,Lookup_Lists!$A$202:$A$211,0),MATCH(KOL_Database!$AK$26,Lookup_Lists!$B$201:$M$201,0)),40),IF(KOL_Database!$AK$26=Brand_Profile!$D$41,95,0)))</f>
      </c>
      <c r="Z27" s="47">
        <f>IFERROR(INDEX(Lookup_Lists!$B$215:$K$222,MATCH(Brand_Profile!$D$27,Lookup_Lists!$A$215:$A$222,0),MATCH(KOL_Database!$AJ$26,Lookup_Lists!$B$214:$K$214,0)),45)</f>
      </c>
      <c r="AA27" s="47">
        <f>ROUND((IF(Brand_Profile!$D$80=0,Lookup_Lists!$D$150,ROUND((IF(Brand_Profile!$D$75="",0,IF(ISNUMBER(SEARCH(Brand_Profile!$D$75,KOL_Database!$AL$26)),1,0))+IF(Brand_Profile!$D$76="",0,IF(ISNUMBER(SEARCH(Brand_Profile!$D$76,KOL_Database!$AL$26)),1,0))+IF(Brand_Profile!$D$77="",0,IF(ISNUMBER(SEARCH(Brand_Profile!$D$77,KOL_Database!$AL$26)),1,0))+IF(Brand_Profile!$D$78="",0,IF(ISNUMBER(SEARCH(Brand_Profile!$D$78,KOL_Database!$AL$26)),1,0))+IF(Brand_Profile!$D$79="",0,IF(ISNUMBER(SEARCH(Brand_Profile!$D$79,KOL_Database!$AL$26)),1,0)))/Brand_Profile!$D$80*100,0))+IF(Brand_Profile!$D$92=0,Lookup_Lists!$D$150,ROUND((IF(Brand_Profile!$D$87="",0,IF(ISNUMBER(SEARCH(Brand_Profile!$D$87,KOL_Database!$AL$26)),1,0))+IF(Brand_Profile!$D$88="",0,IF(ISNUMBER(SEARCH(Brand_Profile!$D$88,KOL_Database!$AL$26)),1,0))+IF(Brand_Profile!$D$89="",0,IF(ISNUMBER(SEARCH(Brand_Profile!$D$89,KOL_Database!$AL$26)),1,0))+IF(Brand_Profile!$D$90="",0,IF(ISNUMBER(SEARCH(Brand_Profile!$D$90,KOL_Database!$AL$26)),1,0))+IF(Brand_Profile!$D$91="",0,IF(ISNUMBER(SEARCH(Brand_Profile!$D$91,KOL_Database!$AL$26)),1,0)))/Brand_Profile!$D$92*100,0)))/2,0)</f>
      </c>
      <c r="AB27" s="47">
        <f>IFERROR(INDEX(Lookup_Lists!$B$226:$K$233,MATCH(Brand_Profile!$D$30,Lookup_Lists!$A$226:$A$233,0),MATCH(KOL_Database!$AJ$26,Lookup_Lists!$B$225:$K$225,0)),45)</f>
      </c>
      <c r="AC27" s="47">
        <f>ROUND((Matching_Engine!$Y$27*Lookup_Lists!$D$125+Matching_Engine!$Z$27*Lookup_Lists!$D$126+Matching_Engine!$AA$27*Lookup_Lists!$D$127+Matching_Engine!$AB$27*Lookup_Lists!$D$128)/(Lookup_Lists!$D$125+Lookup_Lists!$D$126+Lookup_Lists!$D$127+Lookup_Lists!$D$128),0)</f>
      </c>
      <c r="AD27" s="47">
        <f>IF(KOL_Database!$K$26="",0,MIN(100,ROUND(KOL_Database!$K$26/Lookup_Lists!$D$141*100,0)))</f>
      </c>
      <c r="AE27" s="47">
        <f>IF(KOL_Database!$R$26="",0,MIN(100,MAX(0,KOL_Database!$R$26)))</f>
      </c>
      <c r="AF27" s="47">
        <f>IF(KOL_Database!$P$26="",0,MIN(100,MAX(0,KOL_Database!$P$26)))</f>
      </c>
      <c r="AG27" s="47">
        <f>IF(KOL_Database!$Q$26="",0,MIN(100,MAX(0,KOL_Database!$Q$26)))</f>
      </c>
      <c r="AH27" s="47">
        <f>IF(OR(KOL_Database!$J$26="",KOL_Database!$J$26=0,KOL_Database!$L$26=""),0,MIN(100,ROUND(KOL_Database!$L$26/KOL_Database!$J$26/Lookup_Lists!$D$144*100,0)))</f>
      </c>
      <c r="AI27" s="47">
        <f>IF(KOL_Database!$N$26="",0,MIN(100,MAX(0,ROUND((KOL_Database!$N$26+2)/(Lookup_Lists!$D$145+2)*100,0))))</f>
      </c>
      <c r="AJ27" s="47">
        <f>ROUND((Matching_Engine!$AD$27*Lookup_Lists!$D$129+Matching_Engine!$AE$27*Lookup_Lists!$D$130+Matching_Engine!$AF$27*Lookup_Lists!$D$131+Matching_Engine!$AG$27*Lookup_Lists!$D$132+Matching_Engine!$AH$27*Lookup_Lists!$D$133+Matching_Engine!$AI$27*Lookup_Lists!$D$134)/(Lookup_Lists!$D$129+Lookup_Lists!$D$130+Lookup_Lists!$D$131+Lookup_Lists!$D$132+Lookup_Lists!$D$133+Lookup_Lists!$D$134),0)</f>
      </c>
      <c r="AK27" s="47">
        <f>IF(KOL_Database!$AT$26="",0,MIN(100,MAX(0,KOL_Database!$AT$26)))</f>
      </c>
      <c r="AL27" s="47">
        <f>IF(KOL_Database!$AU$26="",0,KOL_Database!$AU$26)</f>
      </c>
      <c r="AM27" s="44">
        <f>IF(KOL_Database!$AV$26="","None",KOL_Database!$AV$26)</f>
      </c>
      <c r="AN27" s="48">
        <f>IF(Matching_Engine!$AM$27="High",Lookup_Lists!$D$137,IF(Matching_Engine!$AM$27="Medium",Lookup_Lists!$D$138,IF(Matching_Engine!$AM$27="Low",Lookup_Lists!$D$139,Lookup_Lists!$D$140)))</f>
      </c>
      <c r="AO27" s="47">
        <f>ROUND(MIN(100,MAX(0,(Matching_Engine!$AK$27*Lookup_Lists!$D$135+(100-Matching_Engine!$AL$27)*Lookup_Lists!$D$136)/(Lookup_Lists!$D$135+Lookup_Lists!$D$136)*Matching_Engine!$AN$27)),0)</f>
      </c>
      <c r="AP27" s="49">
        <f>ROUND((Matching_Engine!$N$27*Lookup_Lists!$D$104+Matching_Engine!$S$27*Lookup_Lists!$D$105+Matching_Engine!$X$27*Lookup_Lists!$D$106+Matching_Engine!$AC$27*Lookup_Lists!$D$107+Matching_Engine!$AJ$27*Lookup_Lists!$D$108+Matching_Engine!$AO$27*Lookup_Lists!$D$109)/MAX(1,(Lookup_Lists!$D$104+Lookup_Lists!$D$105+Lookup_Lists!$D$106+Lookup_Lists!$D$107+Lookup_Lists!$D$108+Lookup_Lists!$D$109)),0)</f>
      </c>
      <c r="AQ27" s="44">
        <f>IF(Matching_Engine!$AP$27&gt;=Lookup_Lists!$D$152,"Excellent Match",IF(Matching_Engine!$AP$27&gt;=Lookup_Lists!$D$153,"Strong Match",IF(Matching_Engine!$AP$27&gt;=Lookup_Lists!$D$154,"Good Match",IF(Matching_Engine!$AP$27&gt;=Lookup_Lists!$D$155,"Moderate Match","Low Match"))))</f>
      </c>
      <c r="AR27" s="47">
        <f>KOL_Database!$BE$26</f>
      </c>
      <c r="AS27" s="44">
        <f>IF(Matching_Engine!$AR$27&gt;=Lookup_Lists!$D$159,"High",IF(Matching_Engine!$AR$27&gt;=Lookup_Lists!$D$160,"Medium","Limited Data"))</f>
      </c>
      <c r="AT27" s="47">
        <f>ROUND((Matching_Engine!$N$27+Matching_Engine!$X$27+Matching_Engine!$AC$27)/3,0)</f>
      </c>
      <c r="AU27" s="47">
        <f>ROUND(((100-Matching_Engine!$AL$27)*Lookup_Lists!$D$162+IF(KOL_Database!$BD$26="",Lookup_Lists!$D$150,KOL_Database!$BD$26)*Lookup_Lists!$D$163+Matching_Engine!$AI$27*Lookup_Lists!$D$164+Matching_Engine!$AD$27*Lookup_Lists!$D$165)/(Lookup_Lists!$D$162+Lookup_Lists!$D$163+Lookup_Lists!$D$164+Lookup_Lists!$D$165),0)</f>
      </c>
      <c r="AV27" s="44">
        <f>IF(Matching_Engine!$AW$27="","PASS","EXCLUDED")</f>
      </c>
      <c r="AW27" s="44">
        <f>IF(ISERROR(SEARCH(KOL_Database!$D$26,Brand_Profile!$D$32)),"Platform not in Preferred Platform",IF(AND(Brand_Profile!$D$36&gt;0,KOL_Database!$J$26&lt;Brand_Profile!$D$36),"Followers below Preferred Follower Range",IF(AND(Brand_Profile!$D$37&gt;0,KOL_Database!$J$26&gt;Brand_Profile!$D$37),"Followers above Preferred Follower Range",IF(AND(Brand_Profile!$D$38&gt;0,IF(KOL_Database!$K$26="",0,KOL_Database!$K$26)&lt;Brand_Profile!$D$38),"Engagement Rate below Minimum Engagement Rate",IF(ISERROR(SEARCH(KOL_Database!$G$26,Brand_Profile!$D$35)),"Tier not in Preferred Tier",IF(AND(Brand_Profile!$D$43&gt;0,Matching_Engine!$AE$27&lt;Brand_Profile!$D$43),"Audience Quality below Minimum Audience Quality",IF(AND(Brand_Profile!$D$44&gt;0,Matching_Engine!$AK$27&lt;Brand_Profile!$D$44),"Brand Safety below Minimum Brand Safety",IF(AND(Brand_Profile!$D$47="Yes",KOL_Database!$AD$26&lt;&gt;Brand_Profile!$D$19),"Audience Country does not match Target Country",IF(AND(Brand_Profile!$D$46="Yes",KOL_Database!$E$26&lt;&gt;Brand_Profile!$D$33),"Category is not the Preferred Category",IF(AND(Brand_Profile!$D$48&gt;0,Matching_Engine!$AL$27&gt;Brand_Profile!$D$48),"Competitor Saturation above Max Competitor Saturation",IF(AND(Brand_Profile!$D$50="Yes",KOL_Database!$AW$26="Yes"),"Already Selected",IF(AND(Brand_Profile!$D$51="Yes",KOL_Database!$AX$26="Yes"),"Already in Cart",IF(AND(Brand_Profile!$D$52="Yes",KOL_Database!$AY$26="Yes"),"Existing Partner",IF(AND(Brand_Profile!$D$53="Yes",KOL_Database!$AZ$26="Yes"),"Excluded Creator",IF(AND(Brand_Profile!$D$49&gt;0,Matching_Engine!$AP$27&lt;Brand_Profile!$D$49),"Brand Match below Minimum Brand Match","")))))))))))))))</f>
      </c>
      <c r="AX27" s="44">
        <f>IF(Matching_Engine!$AV$27="EXCLUDED","Excluded",IF(Matching_Engine!$AP$27&gt;=Lookup_Lists!$D$156,"Highly Recommended",IF(Matching_Engine!$AP$27&gt;=Lookup_Lists!$D$157,"Recommended",IF(Matching_Engine!$AP$27&gt;=Lookup_Lists!$D$158,"Consider","Low Priority"))))</f>
      </c>
      <c r="AY27" s="47">
        <f>IF(Matching_Engine!$AV$27="PASS",Matching_Engine!$AP$27,"")</f>
      </c>
      <c r="AZ27" s="44">
        <f>Matching_Engine!$A$27&amp;"|"&amp;Matching_Engine!$C$27</f>
      </c>
      <c r="BA27" s="44">
        <f>IFERROR(INDEX(Lookup_Lists!$B$51:$B$92,MATCH(Brand_Profile!$D$12,Lookup_Lists!$A$51:$A$92,0)),"")</f>
      </c>
      <c r="BB27" s="44">
        <f>IFERROR(INDEX(Lookup_Lists!$B$51:$B$92,MATCH(KOL_Database!$F$26,Lookup_Lists!$A$51:$A$92,0)),"")</f>
      </c>
      <c r="BC27" s="47">
        <f>IFERROR(INDEX(Lookup_Lists!$B$185:$O$198,MATCH(Matching_Engine!$BA$27,Lookup_Lists!$A$185:$A$198,0),MATCH(KOL_Database!$E$26,Lookup_Lists!$B$184:$O$184,0)),Lookup_Lists!$D$151)</f>
      </c>
      <c r="BD27" s="47">
        <f>IFERROR(INDEX(Lookup_Lists!$B$185:$O$198,MATCH(Brand_Profile!$D$33,Lookup_Lists!$A$185:$A$198,0),MATCH(KOL_Database!$E$26,Lookup_Lists!$B$184:$O$184,0)),Lookup_Lists!$D$151)</f>
      </c>
      <c r="BE27" s="44">
        <f>IFERROR(INDEX(Lookup_Lists!$B$51:$B$92,MATCH(Brand_Profile!$D$34,Lookup_Lists!$A$51:$A$92,0)),"")</f>
      </c>
      <c r="BF27" s="44">
        <f>KOL_Database!$AI$26&amp;", "&amp;KOL_Database!$AG$26&amp;", "&amp;KOL_Database!$F$26&amp;", "&amp;KOL_Database!$E$26</f>
      </c>
      <c r="BG27" s="44">
        <f>KOL_Database!$AI$26&amp;", "&amp;KOL_Database!$AG$26</f>
      </c>
    </row>
    <row r="28" spans="1:59" x14ac:dyDescent="0.25">
      <c r="A28" s="43" t="s">
        <v>71</v>
      </c>
      <c r="B28" s="44">
        <f>Brand_Profile!$D$9</f>
      </c>
      <c r="C28" s="44">
        <f>KOL_Database!$A$27</f>
      </c>
      <c r="D28" s="44">
        <f>KOL_Database!$B$27</f>
      </c>
      <c r="E28" s="44">
        <f>KOL_Database!$C$27</f>
      </c>
      <c r="F28" s="44">
        <f>KOL_Database!$D$27</f>
      </c>
      <c r="G28" s="44">
        <f>KOL_Database!$E$27</f>
      </c>
      <c r="H28" s="44">
        <f>KOL_Database!$G$27</f>
      </c>
      <c r="I28" s="45">
        <f>KOL_Database!$J$27</f>
      </c>
      <c r="J28" s="46">
        <f>KOL_Database!$K$27</f>
      </c>
      <c r="K28" s="47">
        <f>IFERROR(INDEX(Lookup_Lists!$B$170:$O$181,MATCH(Brand_Profile!$D$10,Lookup_Lists!$A$170:$A$181,0),MATCH(KOL_Database!$E$27,Lookup_Lists!$B$169:$O$169,0)),Lookup_Lists!$D$151)</f>
      </c>
      <c r="L28" s="47">
        <f>IF(KOL_Database!$F$27="",Matching_Engine!$BC$28,IF(Brand_Profile!$D$12=KOL_Database!$F$27,100,IF(Matching_Engine!$BA$28=KOL_Database!$E$27,80,IF(Matching_Engine!$BC$28&gt;=80,60,IF(Matching_Engine!$BC$28&gt;=60,40,Lookup_Lists!$D$151)))))</f>
      </c>
      <c r="M28" s="47">
        <f>ROUND((IF(Brand_Profile!$D$62=0,Lookup_Lists!$D$150,ROUND((IF(Brand_Profile!$D$57="",0,IF(ISNUMBER(SEARCH(Brand_Profile!$D$57,Matching_Engine!$BF$28)),1,0))+IF(Brand_Profile!$D$58="",0,IF(ISNUMBER(SEARCH(Brand_Profile!$D$58,Matching_Engine!$BF$28)),1,0))+IF(Brand_Profile!$D$59="",0,IF(ISNUMBER(SEARCH(Brand_Profile!$D$59,Matching_Engine!$BF$28)),1,0))+IF(Brand_Profile!$D$60="",0,IF(ISNUMBER(SEARCH(Brand_Profile!$D$60,Matching_Engine!$BF$28)),1,0))+IF(Brand_Profile!$D$61="",0,IF(ISNUMBER(SEARCH(Brand_Profile!$D$61,Matching_Engine!$BF$28)),1,0)))/Brand_Profile!$D$62*100,0))+IF(Brand_Profile!$D$74=0,Lookup_Lists!$D$150,ROUND((IF(Brand_Profile!$D$69="",0,IF(ISNUMBER(SEARCH(Brand_Profile!$D$69,Matching_Engine!$BF$28)),1,0))+IF(Brand_Profile!$D$70="",0,IF(ISNUMBER(SEARCH(Brand_Profile!$D$70,Matching_Engine!$BF$28)),1,0))+IF(Brand_Profile!$D$71="",0,IF(ISNUMBER(SEARCH(Brand_Profile!$D$71,Matching_Engine!$BF$28)),1,0))+IF(Brand_Profile!$D$72="",0,IF(ISNUMBER(SEARCH(Brand_Profile!$D$72,Matching_Engine!$BF$28)),1,0))+IF(Brand_Profile!$D$73="",0,IF(ISNUMBER(SEARCH(Brand_Profile!$D$73,Matching_Engine!$BF$28)),1,0)))/Brand_Profile!$D$74*100,0)))/2,0)</f>
      </c>
      <c r="N28" s="47">
        <f>ROUND((Matching_Engine!$K$28*Lookup_Lists!$D$110+Matching_Engine!$L$28*Lookup_Lists!$D$111+Matching_Engine!$M$28*Lookup_Lists!$D$112)/(Lookup_Lists!$D$110+Lookup_Lists!$D$111+Lookup_Lists!$D$112),0)</f>
      </c>
      <c r="O28" s="47">
        <f>IF(Brand_Profile!$D$16="",Lookup_Lists!$D$150,MIN(100,ROUND((IFERROR(INDEX(KOL_Database!$W$27:KOL_Database!$AA$27,1,MATCH(Brand_Profile!$D$16,Lookup_Lists!$F$6:$F$10,0)),0)+0.5*IFERROR(INDEX(KOL_Database!$W$27:KOL_Database!$AA$27,1,MATCH(Brand_Profile!$D$17,Lookup_Lists!$F$6:$F$10,0)),0))/Lookup_Lists!$D$142*100,0)))</f>
      </c>
      <c r="P28" s="47">
        <f>IF(OR(Brand_Profile!$D$18="",Brand_Profile!$D$18="Any"),100,IF(Brand_Profile!$D$18="Female",MIN(100,ROUND(KOL_Database!$AB$27/Lookup_Lists!$D$143*100,0)),IF(Brand_Profile!$D$18="Male",MIN(100,ROUND(KOL_Database!$AC$27/Lookup_Lists!$D$143*100,0)),MAX(0,ROUND(100-ABS(KOL_Database!$AB$27-50)*2,0)))))</f>
      </c>
      <c r="Q28" s="47">
        <f>ROUND((IF(Brand_Profile!$D$19="",100,IF(KOL_Database!$AD$27=Brand_Profile!$D$19,100,Lookup_Lists!$D$151))*Lookup_Lists!$D$118+IF(OR(Brand_Profile!$D$20="",Brand_Profile!$D$20="Nasional"),100,IF(KOL_Database!$AE$27="",Lookup_Lists!$D$150,IF(KOL_Database!$AE$27=Brand_Profile!$D$20,100,IF(KOL_Database!$AD$27=Brand_Profile!$D$19,40,Lookup_Lists!$D$151))))*Lookup_Lists!$D$119+IF(OR(Brand_Profile!$D$21="",Brand_Profile!$D$21="Nasional"),100,IF(KOL_Database!$AF$27="",Lookup_Lists!$D$150,IF(KOL_Database!$AF$27=Brand_Profile!$D$21,100,IF(KOL_Database!$AE$27=Brand_Profile!$D$20,60,Lookup_Lists!$D$151))))*Lookup_Lists!$D$120)/(Lookup_Lists!$D$118+Lookup_Lists!$D$119+Lookup_Lists!$D$120),0)</f>
      </c>
      <c r="R28" s="47">
        <f>IF(Brand_Profile!$D$68=0,Lookup_Lists!$D$150,ROUND((IF(Brand_Profile!$D$63="",0,IF(ISNUMBER(SEARCH(Brand_Profile!$D$63,KOL_Database!$AG$27)),1,0))+IF(Brand_Profile!$D$64="",0,IF(ISNUMBER(SEARCH(Brand_Profile!$D$64,KOL_Database!$AG$27)),1,0))+IF(Brand_Profile!$D$65="",0,IF(ISNUMBER(SEARCH(Brand_Profile!$D$65,KOL_Database!$AG$27)),1,0))+IF(Brand_Profile!$D$66="",0,IF(ISNUMBER(SEARCH(Brand_Profile!$D$66,KOL_Database!$AG$27)),1,0))+IF(Brand_Profile!$D$67="",0,IF(ISNUMBER(SEARCH(Brand_Profile!$D$67,KOL_Database!$AG$27)),1,0)))/Brand_Profile!$D$68*100,0))</f>
      </c>
      <c r="S28" s="47">
        <f>ROUND((Matching_Engine!$O$28*Brand_Profile!$D$96+Matching_Engine!$P$28*Brand_Profile!$D$97+Matching_Engine!$Q$28*Brand_Profile!$D$98+Matching_Engine!$R$28*Brand_Profile!$D$99)/MAX(1,Brand_Profile!$D$96+Brand_Profile!$D$97+Brand_Profile!$D$98+Brand_Profile!$D$99),0)</f>
      </c>
      <c r="T28" s="47">
        <f>IF(Brand_Profile!$D$33="",Lookup_Lists!$D$150,Matching_Engine!$BD$28)</f>
      </c>
      <c r="U28" s="47">
        <f>IF(Brand_Profile!$D$34="",Lookup_Lists!$D$150,IF(Brand_Profile!$D$34=KOL_Database!$F$27,100,IF(Matching_Engine!$BE$28=KOL_Database!$E$27,75,IF(Matching_Engine!$BD$28&gt;=80,Lookup_Lists!$D$150,IF(Matching_Engine!$BD$28&gt;=60,35,Lookup_Lists!$D$151)))))</f>
      </c>
      <c r="V28" s="47">
        <f>IF(Brand_Profile!$D$86=0,Lookup_Lists!$D$150,ROUND((IF(Brand_Profile!$D$81="",0,IF(ISNUMBER(SEARCH(Brand_Profile!$D$81,Matching_Engine!$BG$28)),1,0))+IF(Brand_Profile!$D$82="",0,IF(ISNUMBER(SEARCH(Brand_Profile!$D$82,Matching_Engine!$BG$28)),1,0))+IF(Brand_Profile!$D$83="",0,IF(ISNUMBER(SEARCH(Brand_Profile!$D$83,Matching_Engine!$BG$28)),1,0))+IF(Brand_Profile!$D$84="",0,IF(ISNUMBER(SEARCH(Brand_Profile!$D$84,Matching_Engine!$BG$28)),1,0))+IF(Brand_Profile!$D$85="",0,IF(ISNUMBER(SEARCH(Brand_Profile!$D$85,Matching_Engine!$BG$28)),1,0)))/Brand_Profile!$D$86*100,0))</f>
      </c>
      <c r="W28" s="47">
        <f>IF(Brand_Profile!$D$39="",Lookup_Lists!$D$150,IFERROR(INDEX(Lookup_Lists!$B$237:$K$246,MATCH(Brand_Profile!$D$39,Lookup_Lists!$A$237:$A$246,0),MATCH(KOL_Database!$AJ$27,Lookup_Lists!$B$236:$K$236,0)),45))</f>
      </c>
      <c r="X28" s="47">
        <f>ROUND((Matching_Engine!$T$28*Lookup_Lists!$D$121+Matching_Engine!$U$28*Lookup_Lists!$D$122+Matching_Engine!$V$28*Lookup_Lists!$D$123+Matching_Engine!$W$28*Lookup_Lists!$D$124)/(Lookup_Lists!$D$121+Lookup_Lists!$D$122+Lookup_Lists!$D$123+Lookup_Lists!$D$124),0)</f>
      </c>
      <c r="Y28" s="47">
        <f>MIN(100,MAX(IFERROR(INDEX(Lookup_Lists!$B$202:$M$211,MATCH(Brand_Profile!$D$25,Lookup_Lists!$A$202:$A$211,0),MATCH(KOL_Database!$AK$27,Lookup_Lists!$B$201:$M$201,0)),40),IF(KOL_Database!$AK$27=Brand_Profile!$D$41,95,0)))</f>
      </c>
      <c r="Z28" s="47">
        <f>IFERROR(INDEX(Lookup_Lists!$B$215:$K$222,MATCH(Brand_Profile!$D$27,Lookup_Lists!$A$215:$A$222,0),MATCH(KOL_Database!$AJ$27,Lookup_Lists!$B$214:$K$214,0)),45)</f>
      </c>
      <c r="AA28" s="47">
        <f>ROUND((IF(Brand_Profile!$D$80=0,Lookup_Lists!$D$150,ROUND((IF(Brand_Profile!$D$75="",0,IF(ISNUMBER(SEARCH(Brand_Profile!$D$75,KOL_Database!$AL$27)),1,0))+IF(Brand_Profile!$D$76="",0,IF(ISNUMBER(SEARCH(Brand_Profile!$D$76,KOL_Database!$AL$27)),1,0))+IF(Brand_Profile!$D$77="",0,IF(ISNUMBER(SEARCH(Brand_Profile!$D$77,KOL_Database!$AL$27)),1,0))+IF(Brand_Profile!$D$78="",0,IF(ISNUMBER(SEARCH(Brand_Profile!$D$78,KOL_Database!$AL$27)),1,0))+IF(Brand_Profile!$D$79="",0,IF(ISNUMBER(SEARCH(Brand_Profile!$D$79,KOL_Database!$AL$27)),1,0)))/Brand_Profile!$D$80*100,0))+IF(Brand_Profile!$D$92=0,Lookup_Lists!$D$150,ROUND((IF(Brand_Profile!$D$87="",0,IF(ISNUMBER(SEARCH(Brand_Profile!$D$87,KOL_Database!$AL$27)),1,0))+IF(Brand_Profile!$D$88="",0,IF(ISNUMBER(SEARCH(Brand_Profile!$D$88,KOL_Database!$AL$27)),1,0))+IF(Brand_Profile!$D$89="",0,IF(ISNUMBER(SEARCH(Brand_Profile!$D$89,KOL_Database!$AL$27)),1,0))+IF(Brand_Profile!$D$90="",0,IF(ISNUMBER(SEARCH(Brand_Profile!$D$90,KOL_Database!$AL$27)),1,0))+IF(Brand_Profile!$D$91="",0,IF(ISNUMBER(SEARCH(Brand_Profile!$D$91,KOL_Database!$AL$27)),1,0)))/Brand_Profile!$D$92*100,0)))/2,0)</f>
      </c>
      <c r="AB28" s="47">
        <f>IFERROR(INDEX(Lookup_Lists!$B$226:$K$233,MATCH(Brand_Profile!$D$30,Lookup_Lists!$A$226:$A$233,0),MATCH(KOL_Database!$AJ$27,Lookup_Lists!$B$225:$K$225,0)),45)</f>
      </c>
      <c r="AC28" s="47">
        <f>ROUND((Matching_Engine!$Y$28*Lookup_Lists!$D$125+Matching_Engine!$Z$28*Lookup_Lists!$D$126+Matching_Engine!$AA$28*Lookup_Lists!$D$127+Matching_Engine!$AB$28*Lookup_Lists!$D$128)/(Lookup_Lists!$D$125+Lookup_Lists!$D$126+Lookup_Lists!$D$127+Lookup_Lists!$D$128),0)</f>
      </c>
      <c r="AD28" s="47">
        <f>IF(KOL_Database!$K$27="",0,MIN(100,ROUND(KOL_Database!$K$27/Lookup_Lists!$D$141*100,0)))</f>
      </c>
      <c r="AE28" s="47">
        <f>IF(KOL_Database!$R$27="",0,MIN(100,MAX(0,KOL_Database!$R$27)))</f>
      </c>
      <c r="AF28" s="47">
        <f>IF(KOL_Database!$P$27="",0,MIN(100,MAX(0,KOL_Database!$P$27)))</f>
      </c>
      <c r="AG28" s="47">
        <f>IF(KOL_Database!$Q$27="",0,MIN(100,MAX(0,KOL_Database!$Q$27)))</f>
      </c>
      <c r="AH28" s="47">
        <f>IF(OR(KOL_Database!$J$27="",KOL_Database!$J$27=0,KOL_Database!$L$27=""),0,MIN(100,ROUND(KOL_Database!$L$27/KOL_Database!$J$27/Lookup_Lists!$D$144*100,0)))</f>
      </c>
      <c r="AI28" s="47">
        <f>IF(KOL_Database!$N$27="",0,MIN(100,MAX(0,ROUND((KOL_Database!$N$27+2)/(Lookup_Lists!$D$145+2)*100,0))))</f>
      </c>
      <c r="AJ28" s="47">
        <f>ROUND((Matching_Engine!$AD$28*Lookup_Lists!$D$129+Matching_Engine!$AE$28*Lookup_Lists!$D$130+Matching_Engine!$AF$28*Lookup_Lists!$D$131+Matching_Engine!$AG$28*Lookup_Lists!$D$132+Matching_Engine!$AH$28*Lookup_Lists!$D$133+Matching_Engine!$AI$28*Lookup_Lists!$D$134)/(Lookup_Lists!$D$129+Lookup_Lists!$D$130+Lookup_Lists!$D$131+Lookup_Lists!$D$132+Lookup_Lists!$D$133+Lookup_Lists!$D$134),0)</f>
      </c>
      <c r="AK28" s="47">
        <f>IF(KOL_Database!$AT$27="",0,MIN(100,MAX(0,KOL_Database!$AT$27)))</f>
      </c>
      <c r="AL28" s="47">
        <f>IF(KOL_Database!$AU$27="",0,KOL_Database!$AU$27)</f>
      </c>
      <c r="AM28" s="44">
        <f>IF(KOL_Database!$AV$27="","None",KOL_Database!$AV$27)</f>
      </c>
      <c r="AN28" s="48">
        <f>IF(Matching_Engine!$AM$28="High",Lookup_Lists!$D$137,IF(Matching_Engine!$AM$28="Medium",Lookup_Lists!$D$138,IF(Matching_Engine!$AM$28="Low",Lookup_Lists!$D$139,Lookup_Lists!$D$140)))</f>
      </c>
      <c r="AO28" s="47">
        <f>ROUND(MIN(100,MAX(0,(Matching_Engine!$AK$28*Lookup_Lists!$D$135+(100-Matching_Engine!$AL$28)*Lookup_Lists!$D$136)/(Lookup_Lists!$D$135+Lookup_Lists!$D$136)*Matching_Engine!$AN$28)),0)</f>
      </c>
      <c r="AP28" s="49">
        <f>ROUND((Matching_Engine!$N$28*Lookup_Lists!$D$104+Matching_Engine!$S$28*Lookup_Lists!$D$105+Matching_Engine!$X$28*Lookup_Lists!$D$106+Matching_Engine!$AC$28*Lookup_Lists!$D$107+Matching_Engine!$AJ$28*Lookup_Lists!$D$108+Matching_Engine!$AO$28*Lookup_Lists!$D$109)/MAX(1,(Lookup_Lists!$D$104+Lookup_Lists!$D$105+Lookup_Lists!$D$106+Lookup_Lists!$D$107+Lookup_Lists!$D$108+Lookup_Lists!$D$109)),0)</f>
      </c>
      <c r="AQ28" s="44">
        <f>IF(Matching_Engine!$AP$28&gt;=Lookup_Lists!$D$152,"Excellent Match",IF(Matching_Engine!$AP$28&gt;=Lookup_Lists!$D$153,"Strong Match",IF(Matching_Engine!$AP$28&gt;=Lookup_Lists!$D$154,"Good Match",IF(Matching_Engine!$AP$28&gt;=Lookup_Lists!$D$155,"Moderate Match","Low Match"))))</f>
      </c>
      <c r="AR28" s="47">
        <f>KOL_Database!$BE$27</f>
      </c>
      <c r="AS28" s="44">
        <f>IF(Matching_Engine!$AR$28&gt;=Lookup_Lists!$D$159,"High",IF(Matching_Engine!$AR$28&gt;=Lookup_Lists!$D$160,"Medium","Limited Data"))</f>
      </c>
      <c r="AT28" s="47">
        <f>ROUND((Matching_Engine!$N$28+Matching_Engine!$X$28+Matching_Engine!$AC$28)/3,0)</f>
      </c>
      <c r="AU28" s="47">
        <f>ROUND(((100-Matching_Engine!$AL$28)*Lookup_Lists!$D$162+IF(KOL_Database!$BD$27="",Lookup_Lists!$D$150,KOL_Database!$BD$27)*Lookup_Lists!$D$163+Matching_Engine!$AI$28*Lookup_Lists!$D$164+Matching_Engine!$AD$28*Lookup_Lists!$D$165)/(Lookup_Lists!$D$162+Lookup_Lists!$D$163+Lookup_Lists!$D$164+Lookup_Lists!$D$165),0)</f>
      </c>
      <c r="AV28" s="44">
        <f>IF(Matching_Engine!$AW$28="","PASS","EXCLUDED")</f>
      </c>
      <c r="AW28" s="44">
        <f>IF(ISERROR(SEARCH(KOL_Database!$D$27,Brand_Profile!$D$32)),"Platform not in Preferred Platform",IF(AND(Brand_Profile!$D$36&gt;0,KOL_Database!$J$27&lt;Brand_Profile!$D$36),"Followers below Preferred Follower Range",IF(AND(Brand_Profile!$D$37&gt;0,KOL_Database!$J$27&gt;Brand_Profile!$D$37),"Followers above Preferred Follower Range",IF(AND(Brand_Profile!$D$38&gt;0,IF(KOL_Database!$K$27="",0,KOL_Database!$K$27)&lt;Brand_Profile!$D$38),"Engagement Rate below Minimum Engagement Rate",IF(ISERROR(SEARCH(KOL_Database!$G$27,Brand_Profile!$D$35)),"Tier not in Preferred Tier",IF(AND(Brand_Profile!$D$43&gt;0,Matching_Engine!$AE$28&lt;Brand_Profile!$D$43),"Audience Quality below Minimum Audience Quality",IF(AND(Brand_Profile!$D$44&gt;0,Matching_Engine!$AK$28&lt;Brand_Profile!$D$44),"Brand Safety below Minimum Brand Safety",IF(AND(Brand_Profile!$D$47="Yes",KOL_Database!$AD$27&lt;&gt;Brand_Profile!$D$19),"Audience Country does not match Target Country",IF(AND(Brand_Profile!$D$46="Yes",KOL_Database!$E$27&lt;&gt;Brand_Profile!$D$33),"Category is not the Preferred Category",IF(AND(Brand_Profile!$D$48&gt;0,Matching_Engine!$AL$28&gt;Brand_Profile!$D$48),"Competitor Saturation above Max Competitor Saturation",IF(AND(Brand_Profile!$D$50="Yes",KOL_Database!$AW$27="Yes"),"Already Selected",IF(AND(Brand_Profile!$D$51="Yes",KOL_Database!$AX$27="Yes"),"Already in Cart",IF(AND(Brand_Profile!$D$52="Yes",KOL_Database!$AY$27="Yes"),"Existing Partner",IF(AND(Brand_Profile!$D$53="Yes",KOL_Database!$AZ$27="Yes"),"Excluded Creator",IF(AND(Brand_Profile!$D$49&gt;0,Matching_Engine!$AP$28&lt;Brand_Profile!$D$49),"Brand Match below Minimum Brand Match","")))))))))))))))</f>
      </c>
      <c r="AX28" s="44">
        <f>IF(Matching_Engine!$AV$28="EXCLUDED","Excluded",IF(Matching_Engine!$AP$28&gt;=Lookup_Lists!$D$156,"Highly Recommended",IF(Matching_Engine!$AP$28&gt;=Lookup_Lists!$D$157,"Recommended",IF(Matching_Engine!$AP$28&gt;=Lookup_Lists!$D$158,"Consider","Low Priority"))))</f>
      </c>
      <c r="AY28" s="47">
        <f>IF(Matching_Engine!$AV$28="PASS",Matching_Engine!$AP$28,"")</f>
      </c>
      <c r="AZ28" s="44">
        <f>Matching_Engine!$A$28&amp;"|"&amp;Matching_Engine!$C$28</f>
      </c>
      <c r="BA28" s="44">
        <f>IFERROR(INDEX(Lookup_Lists!$B$51:$B$92,MATCH(Brand_Profile!$D$12,Lookup_Lists!$A$51:$A$92,0)),"")</f>
      </c>
      <c r="BB28" s="44">
        <f>IFERROR(INDEX(Lookup_Lists!$B$51:$B$92,MATCH(KOL_Database!$F$27,Lookup_Lists!$A$51:$A$92,0)),"")</f>
      </c>
      <c r="BC28" s="47">
        <f>IFERROR(INDEX(Lookup_Lists!$B$185:$O$198,MATCH(Matching_Engine!$BA$28,Lookup_Lists!$A$185:$A$198,0),MATCH(KOL_Database!$E$27,Lookup_Lists!$B$184:$O$184,0)),Lookup_Lists!$D$151)</f>
      </c>
      <c r="BD28" s="47">
        <f>IFERROR(INDEX(Lookup_Lists!$B$185:$O$198,MATCH(Brand_Profile!$D$33,Lookup_Lists!$A$185:$A$198,0),MATCH(KOL_Database!$E$27,Lookup_Lists!$B$184:$O$184,0)),Lookup_Lists!$D$151)</f>
      </c>
      <c r="BE28" s="44">
        <f>IFERROR(INDEX(Lookup_Lists!$B$51:$B$92,MATCH(Brand_Profile!$D$34,Lookup_Lists!$A$51:$A$92,0)),"")</f>
      </c>
      <c r="BF28" s="44">
        <f>KOL_Database!$AI$27&amp;", "&amp;KOL_Database!$AG$27&amp;", "&amp;KOL_Database!$F$27&amp;", "&amp;KOL_Database!$E$27</f>
      </c>
      <c r="BG28" s="44">
        <f>KOL_Database!$AI$27&amp;", "&amp;KOL_Database!$AG$27</f>
      </c>
    </row>
    <row r="29" spans="1:59" x14ac:dyDescent="0.25">
      <c r="A29" s="43" t="s">
        <v>71</v>
      </c>
      <c r="B29" s="44">
        <f>Brand_Profile!$D$9</f>
      </c>
      <c r="C29" s="44">
        <f>KOL_Database!$A$28</f>
      </c>
      <c r="D29" s="44">
        <f>KOL_Database!$B$28</f>
      </c>
      <c r="E29" s="44">
        <f>KOL_Database!$C$28</f>
      </c>
      <c r="F29" s="44">
        <f>KOL_Database!$D$28</f>
      </c>
      <c r="G29" s="44">
        <f>KOL_Database!$E$28</f>
      </c>
      <c r="H29" s="44">
        <f>KOL_Database!$G$28</f>
      </c>
      <c r="I29" s="45">
        <f>KOL_Database!$J$28</f>
      </c>
      <c r="J29" s="46">
        <f>KOL_Database!$K$28</f>
      </c>
      <c r="K29" s="47">
        <f>IFERROR(INDEX(Lookup_Lists!$B$170:$O$181,MATCH(Brand_Profile!$D$10,Lookup_Lists!$A$170:$A$181,0),MATCH(KOL_Database!$E$28,Lookup_Lists!$B$169:$O$169,0)),Lookup_Lists!$D$151)</f>
      </c>
      <c r="L29" s="47">
        <f>IF(KOL_Database!$F$28="",Matching_Engine!$BC$29,IF(Brand_Profile!$D$12=KOL_Database!$F$28,100,IF(Matching_Engine!$BA$29=KOL_Database!$E$28,80,IF(Matching_Engine!$BC$29&gt;=80,60,IF(Matching_Engine!$BC$29&gt;=60,40,Lookup_Lists!$D$151)))))</f>
      </c>
      <c r="M29" s="47">
        <f>ROUND((IF(Brand_Profile!$D$62=0,Lookup_Lists!$D$150,ROUND((IF(Brand_Profile!$D$57="",0,IF(ISNUMBER(SEARCH(Brand_Profile!$D$57,Matching_Engine!$BF$29)),1,0))+IF(Brand_Profile!$D$58="",0,IF(ISNUMBER(SEARCH(Brand_Profile!$D$58,Matching_Engine!$BF$29)),1,0))+IF(Brand_Profile!$D$59="",0,IF(ISNUMBER(SEARCH(Brand_Profile!$D$59,Matching_Engine!$BF$29)),1,0))+IF(Brand_Profile!$D$60="",0,IF(ISNUMBER(SEARCH(Brand_Profile!$D$60,Matching_Engine!$BF$29)),1,0))+IF(Brand_Profile!$D$61="",0,IF(ISNUMBER(SEARCH(Brand_Profile!$D$61,Matching_Engine!$BF$29)),1,0)))/Brand_Profile!$D$62*100,0))+IF(Brand_Profile!$D$74=0,Lookup_Lists!$D$150,ROUND((IF(Brand_Profile!$D$69="",0,IF(ISNUMBER(SEARCH(Brand_Profile!$D$69,Matching_Engine!$BF$29)),1,0))+IF(Brand_Profile!$D$70="",0,IF(ISNUMBER(SEARCH(Brand_Profile!$D$70,Matching_Engine!$BF$29)),1,0))+IF(Brand_Profile!$D$71="",0,IF(ISNUMBER(SEARCH(Brand_Profile!$D$71,Matching_Engine!$BF$29)),1,0))+IF(Brand_Profile!$D$72="",0,IF(ISNUMBER(SEARCH(Brand_Profile!$D$72,Matching_Engine!$BF$29)),1,0))+IF(Brand_Profile!$D$73="",0,IF(ISNUMBER(SEARCH(Brand_Profile!$D$73,Matching_Engine!$BF$29)),1,0)))/Brand_Profile!$D$74*100,0)))/2,0)</f>
      </c>
      <c r="N29" s="47">
        <f>ROUND((Matching_Engine!$K$29*Lookup_Lists!$D$110+Matching_Engine!$L$29*Lookup_Lists!$D$111+Matching_Engine!$M$29*Lookup_Lists!$D$112)/(Lookup_Lists!$D$110+Lookup_Lists!$D$111+Lookup_Lists!$D$112),0)</f>
      </c>
      <c r="O29" s="47">
        <f>IF(Brand_Profile!$D$16="",Lookup_Lists!$D$150,MIN(100,ROUND((IFERROR(INDEX(KOL_Database!$W$28:KOL_Database!$AA$28,1,MATCH(Brand_Profile!$D$16,Lookup_Lists!$F$6:$F$10,0)),0)+0.5*IFERROR(INDEX(KOL_Database!$W$28:KOL_Database!$AA$28,1,MATCH(Brand_Profile!$D$17,Lookup_Lists!$F$6:$F$10,0)),0))/Lookup_Lists!$D$142*100,0)))</f>
      </c>
      <c r="P29" s="47">
        <f>IF(OR(Brand_Profile!$D$18="",Brand_Profile!$D$18="Any"),100,IF(Brand_Profile!$D$18="Female",MIN(100,ROUND(KOL_Database!$AB$28/Lookup_Lists!$D$143*100,0)),IF(Brand_Profile!$D$18="Male",MIN(100,ROUND(KOL_Database!$AC$28/Lookup_Lists!$D$143*100,0)),MAX(0,ROUND(100-ABS(KOL_Database!$AB$28-50)*2,0)))))</f>
      </c>
      <c r="Q29" s="47">
        <f>ROUND((IF(Brand_Profile!$D$19="",100,IF(KOL_Database!$AD$28=Brand_Profile!$D$19,100,Lookup_Lists!$D$151))*Lookup_Lists!$D$118+IF(OR(Brand_Profile!$D$20="",Brand_Profile!$D$20="Nasional"),100,IF(KOL_Database!$AE$28="",Lookup_Lists!$D$150,IF(KOL_Database!$AE$28=Brand_Profile!$D$20,100,IF(KOL_Database!$AD$28=Brand_Profile!$D$19,40,Lookup_Lists!$D$151))))*Lookup_Lists!$D$119+IF(OR(Brand_Profile!$D$21="",Brand_Profile!$D$21="Nasional"),100,IF(KOL_Database!$AF$28="",Lookup_Lists!$D$150,IF(KOL_Database!$AF$28=Brand_Profile!$D$21,100,IF(KOL_Database!$AE$28=Brand_Profile!$D$20,60,Lookup_Lists!$D$151))))*Lookup_Lists!$D$120)/(Lookup_Lists!$D$118+Lookup_Lists!$D$119+Lookup_Lists!$D$120),0)</f>
      </c>
      <c r="R29" s="47">
        <f>IF(Brand_Profile!$D$68=0,Lookup_Lists!$D$150,ROUND((IF(Brand_Profile!$D$63="",0,IF(ISNUMBER(SEARCH(Brand_Profile!$D$63,KOL_Database!$AG$28)),1,0))+IF(Brand_Profile!$D$64="",0,IF(ISNUMBER(SEARCH(Brand_Profile!$D$64,KOL_Database!$AG$28)),1,0))+IF(Brand_Profile!$D$65="",0,IF(ISNUMBER(SEARCH(Brand_Profile!$D$65,KOL_Database!$AG$28)),1,0))+IF(Brand_Profile!$D$66="",0,IF(ISNUMBER(SEARCH(Brand_Profile!$D$66,KOL_Database!$AG$28)),1,0))+IF(Brand_Profile!$D$67="",0,IF(ISNUMBER(SEARCH(Brand_Profile!$D$67,KOL_Database!$AG$28)),1,0)))/Brand_Profile!$D$68*100,0))</f>
      </c>
      <c r="S29" s="47">
        <f>ROUND((Matching_Engine!$O$29*Brand_Profile!$D$96+Matching_Engine!$P$29*Brand_Profile!$D$97+Matching_Engine!$Q$29*Brand_Profile!$D$98+Matching_Engine!$R$29*Brand_Profile!$D$99)/MAX(1,Brand_Profile!$D$96+Brand_Profile!$D$97+Brand_Profile!$D$98+Brand_Profile!$D$99),0)</f>
      </c>
      <c r="T29" s="47">
        <f>IF(Brand_Profile!$D$33="",Lookup_Lists!$D$150,Matching_Engine!$BD$29)</f>
      </c>
      <c r="U29" s="47">
        <f>IF(Brand_Profile!$D$34="",Lookup_Lists!$D$150,IF(Brand_Profile!$D$34=KOL_Database!$F$28,100,IF(Matching_Engine!$BE$29=KOL_Database!$E$28,75,IF(Matching_Engine!$BD$29&gt;=80,Lookup_Lists!$D$150,IF(Matching_Engine!$BD$29&gt;=60,35,Lookup_Lists!$D$151)))))</f>
      </c>
      <c r="V29" s="47">
        <f>IF(Brand_Profile!$D$86=0,Lookup_Lists!$D$150,ROUND((IF(Brand_Profile!$D$81="",0,IF(ISNUMBER(SEARCH(Brand_Profile!$D$81,Matching_Engine!$BG$29)),1,0))+IF(Brand_Profile!$D$82="",0,IF(ISNUMBER(SEARCH(Brand_Profile!$D$82,Matching_Engine!$BG$29)),1,0))+IF(Brand_Profile!$D$83="",0,IF(ISNUMBER(SEARCH(Brand_Profile!$D$83,Matching_Engine!$BG$29)),1,0))+IF(Brand_Profile!$D$84="",0,IF(ISNUMBER(SEARCH(Brand_Profile!$D$84,Matching_Engine!$BG$29)),1,0))+IF(Brand_Profile!$D$85="",0,IF(ISNUMBER(SEARCH(Brand_Profile!$D$85,Matching_Engine!$BG$29)),1,0)))/Brand_Profile!$D$86*100,0))</f>
      </c>
      <c r="W29" s="47">
        <f>IF(Brand_Profile!$D$39="",Lookup_Lists!$D$150,IFERROR(INDEX(Lookup_Lists!$B$237:$K$246,MATCH(Brand_Profile!$D$39,Lookup_Lists!$A$237:$A$246,0),MATCH(KOL_Database!$AJ$28,Lookup_Lists!$B$236:$K$236,0)),45))</f>
      </c>
      <c r="X29" s="47">
        <f>ROUND((Matching_Engine!$T$29*Lookup_Lists!$D$121+Matching_Engine!$U$29*Lookup_Lists!$D$122+Matching_Engine!$V$29*Lookup_Lists!$D$123+Matching_Engine!$W$29*Lookup_Lists!$D$124)/(Lookup_Lists!$D$121+Lookup_Lists!$D$122+Lookup_Lists!$D$123+Lookup_Lists!$D$124),0)</f>
      </c>
      <c r="Y29" s="47">
        <f>MIN(100,MAX(IFERROR(INDEX(Lookup_Lists!$B$202:$M$211,MATCH(Brand_Profile!$D$25,Lookup_Lists!$A$202:$A$211,0),MATCH(KOL_Database!$AK$28,Lookup_Lists!$B$201:$M$201,0)),40),IF(KOL_Database!$AK$28=Brand_Profile!$D$41,95,0)))</f>
      </c>
      <c r="Z29" s="47">
        <f>IFERROR(INDEX(Lookup_Lists!$B$215:$K$222,MATCH(Brand_Profile!$D$27,Lookup_Lists!$A$215:$A$222,0),MATCH(KOL_Database!$AJ$28,Lookup_Lists!$B$214:$K$214,0)),45)</f>
      </c>
      <c r="AA29" s="47">
        <f>ROUND((IF(Brand_Profile!$D$80=0,Lookup_Lists!$D$150,ROUND((IF(Brand_Profile!$D$75="",0,IF(ISNUMBER(SEARCH(Brand_Profile!$D$75,KOL_Database!$AL$28)),1,0))+IF(Brand_Profile!$D$76="",0,IF(ISNUMBER(SEARCH(Brand_Profile!$D$76,KOL_Database!$AL$28)),1,0))+IF(Brand_Profile!$D$77="",0,IF(ISNUMBER(SEARCH(Brand_Profile!$D$77,KOL_Database!$AL$28)),1,0))+IF(Brand_Profile!$D$78="",0,IF(ISNUMBER(SEARCH(Brand_Profile!$D$78,KOL_Database!$AL$28)),1,0))+IF(Brand_Profile!$D$79="",0,IF(ISNUMBER(SEARCH(Brand_Profile!$D$79,KOL_Database!$AL$28)),1,0)))/Brand_Profile!$D$80*100,0))+IF(Brand_Profile!$D$92=0,Lookup_Lists!$D$150,ROUND((IF(Brand_Profile!$D$87="",0,IF(ISNUMBER(SEARCH(Brand_Profile!$D$87,KOL_Database!$AL$28)),1,0))+IF(Brand_Profile!$D$88="",0,IF(ISNUMBER(SEARCH(Brand_Profile!$D$88,KOL_Database!$AL$28)),1,0))+IF(Brand_Profile!$D$89="",0,IF(ISNUMBER(SEARCH(Brand_Profile!$D$89,KOL_Database!$AL$28)),1,0))+IF(Brand_Profile!$D$90="",0,IF(ISNUMBER(SEARCH(Brand_Profile!$D$90,KOL_Database!$AL$28)),1,0))+IF(Brand_Profile!$D$91="",0,IF(ISNUMBER(SEARCH(Brand_Profile!$D$91,KOL_Database!$AL$28)),1,0)))/Brand_Profile!$D$92*100,0)))/2,0)</f>
      </c>
      <c r="AB29" s="47">
        <f>IFERROR(INDEX(Lookup_Lists!$B$226:$K$233,MATCH(Brand_Profile!$D$30,Lookup_Lists!$A$226:$A$233,0),MATCH(KOL_Database!$AJ$28,Lookup_Lists!$B$225:$K$225,0)),45)</f>
      </c>
      <c r="AC29" s="47">
        <f>ROUND((Matching_Engine!$Y$29*Lookup_Lists!$D$125+Matching_Engine!$Z$29*Lookup_Lists!$D$126+Matching_Engine!$AA$29*Lookup_Lists!$D$127+Matching_Engine!$AB$29*Lookup_Lists!$D$128)/(Lookup_Lists!$D$125+Lookup_Lists!$D$126+Lookup_Lists!$D$127+Lookup_Lists!$D$128),0)</f>
      </c>
      <c r="AD29" s="47">
        <f>IF(KOL_Database!$K$28="",0,MIN(100,ROUND(KOL_Database!$K$28/Lookup_Lists!$D$141*100,0)))</f>
      </c>
      <c r="AE29" s="47">
        <f>IF(KOL_Database!$R$28="",0,MIN(100,MAX(0,KOL_Database!$R$28)))</f>
      </c>
      <c r="AF29" s="47">
        <f>IF(KOL_Database!$P$28="",0,MIN(100,MAX(0,KOL_Database!$P$28)))</f>
      </c>
      <c r="AG29" s="47">
        <f>IF(KOL_Database!$Q$28="",0,MIN(100,MAX(0,KOL_Database!$Q$28)))</f>
      </c>
      <c r="AH29" s="47">
        <f>IF(OR(KOL_Database!$J$28="",KOL_Database!$J$28=0,KOL_Database!$L$28=""),0,MIN(100,ROUND(KOL_Database!$L$28/KOL_Database!$J$28/Lookup_Lists!$D$144*100,0)))</f>
      </c>
      <c r="AI29" s="47">
        <f>IF(KOL_Database!$N$28="",0,MIN(100,MAX(0,ROUND((KOL_Database!$N$28+2)/(Lookup_Lists!$D$145+2)*100,0))))</f>
      </c>
      <c r="AJ29" s="47">
        <f>ROUND((Matching_Engine!$AD$29*Lookup_Lists!$D$129+Matching_Engine!$AE$29*Lookup_Lists!$D$130+Matching_Engine!$AF$29*Lookup_Lists!$D$131+Matching_Engine!$AG$29*Lookup_Lists!$D$132+Matching_Engine!$AH$29*Lookup_Lists!$D$133+Matching_Engine!$AI$29*Lookup_Lists!$D$134)/(Lookup_Lists!$D$129+Lookup_Lists!$D$130+Lookup_Lists!$D$131+Lookup_Lists!$D$132+Lookup_Lists!$D$133+Lookup_Lists!$D$134),0)</f>
      </c>
      <c r="AK29" s="47">
        <f>IF(KOL_Database!$AT$28="",0,MIN(100,MAX(0,KOL_Database!$AT$28)))</f>
      </c>
      <c r="AL29" s="47">
        <f>IF(KOL_Database!$AU$28="",0,KOL_Database!$AU$28)</f>
      </c>
      <c r="AM29" s="44">
        <f>IF(KOL_Database!$AV$28="","None",KOL_Database!$AV$28)</f>
      </c>
      <c r="AN29" s="48">
        <f>IF(Matching_Engine!$AM$29="High",Lookup_Lists!$D$137,IF(Matching_Engine!$AM$29="Medium",Lookup_Lists!$D$138,IF(Matching_Engine!$AM$29="Low",Lookup_Lists!$D$139,Lookup_Lists!$D$140)))</f>
      </c>
      <c r="AO29" s="47">
        <f>ROUND(MIN(100,MAX(0,(Matching_Engine!$AK$29*Lookup_Lists!$D$135+(100-Matching_Engine!$AL$29)*Lookup_Lists!$D$136)/(Lookup_Lists!$D$135+Lookup_Lists!$D$136)*Matching_Engine!$AN$29)),0)</f>
      </c>
      <c r="AP29" s="49">
        <f>ROUND((Matching_Engine!$N$29*Lookup_Lists!$D$104+Matching_Engine!$S$29*Lookup_Lists!$D$105+Matching_Engine!$X$29*Lookup_Lists!$D$106+Matching_Engine!$AC$29*Lookup_Lists!$D$107+Matching_Engine!$AJ$29*Lookup_Lists!$D$108+Matching_Engine!$AO$29*Lookup_Lists!$D$109)/MAX(1,(Lookup_Lists!$D$104+Lookup_Lists!$D$105+Lookup_Lists!$D$106+Lookup_Lists!$D$107+Lookup_Lists!$D$108+Lookup_Lists!$D$109)),0)</f>
      </c>
      <c r="AQ29" s="44">
        <f>IF(Matching_Engine!$AP$29&gt;=Lookup_Lists!$D$152,"Excellent Match",IF(Matching_Engine!$AP$29&gt;=Lookup_Lists!$D$153,"Strong Match",IF(Matching_Engine!$AP$29&gt;=Lookup_Lists!$D$154,"Good Match",IF(Matching_Engine!$AP$29&gt;=Lookup_Lists!$D$155,"Moderate Match","Low Match"))))</f>
      </c>
      <c r="AR29" s="47">
        <f>KOL_Database!$BE$28</f>
      </c>
      <c r="AS29" s="44">
        <f>IF(Matching_Engine!$AR$29&gt;=Lookup_Lists!$D$159,"High",IF(Matching_Engine!$AR$29&gt;=Lookup_Lists!$D$160,"Medium","Limited Data"))</f>
      </c>
      <c r="AT29" s="47">
        <f>ROUND((Matching_Engine!$N$29+Matching_Engine!$X$29+Matching_Engine!$AC$29)/3,0)</f>
      </c>
      <c r="AU29" s="47">
        <f>ROUND(((100-Matching_Engine!$AL$29)*Lookup_Lists!$D$162+IF(KOL_Database!$BD$28="",Lookup_Lists!$D$150,KOL_Database!$BD$28)*Lookup_Lists!$D$163+Matching_Engine!$AI$29*Lookup_Lists!$D$164+Matching_Engine!$AD$29*Lookup_Lists!$D$165)/(Lookup_Lists!$D$162+Lookup_Lists!$D$163+Lookup_Lists!$D$164+Lookup_Lists!$D$165),0)</f>
      </c>
      <c r="AV29" s="44">
        <f>IF(Matching_Engine!$AW$29="","PASS","EXCLUDED")</f>
      </c>
      <c r="AW29" s="44">
        <f>IF(ISERROR(SEARCH(KOL_Database!$D$28,Brand_Profile!$D$32)),"Platform not in Preferred Platform",IF(AND(Brand_Profile!$D$36&gt;0,KOL_Database!$J$28&lt;Brand_Profile!$D$36),"Followers below Preferred Follower Range",IF(AND(Brand_Profile!$D$37&gt;0,KOL_Database!$J$28&gt;Brand_Profile!$D$37),"Followers above Preferred Follower Range",IF(AND(Brand_Profile!$D$38&gt;0,IF(KOL_Database!$K$28="",0,KOL_Database!$K$28)&lt;Brand_Profile!$D$38),"Engagement Rate below Minimum Engagement Rate",IF(ISERROR(SEARCH(KOL_Database!$G$28,Brand_Profile!$D$35)),"Tier not in Preferred Tier",IF(AND(Brand_Profile!$D$43&gt;0,Matching_Engine!$AE$29&lt;Brand_Profile!$D$43),"Audience Quality below Minimum Audience Quality",IF(AND(Brand_Profile!$D$44&gt;0,Matching_Engine!$AK$29&lt;Brand_Profile!$D$44),"Brand Safety below Minimum Brand Safety",IF(AND(Brand_Profile!$D$47="Yes",KOL_Database!$AD$28&lt;&gt;Brand_Profile!$D$19),"Audience Country does not match Target Country",IF(AND(Brand_Profile!$D$46="Yes",KOL_Database!$E$28&lt;&gt;Brand_Profile!$D$33),"Category is not the Preferred Category",IF(AND(Brand_Profile!$D$48&gt;0,Matching_Engine!$AL$29&gt;Brand_Profile!$D$48),"Competitor Saturation above Max Competitor Saturation",IF(AND(Brand_Profile!$D$50="Yes",KOL_Database!$AW$28="Yes"),"Already Selected",IF(AND(Brand_Profile!$D$51="Yes",KOL_Database!$AX$28="Yes"),"Already in Cart",IF(AND(Brand_Profile!$D$52="Yes",KOL_Database!$AY$28="Yes"),"Existing Partner",IF(AND(Brand_Profile!$D$53="Yes",KOL_Database!$AZ$28="Yes"),"Excluded Creator",IF(AND(Brand_Profile!$D$49&gt;0,Matching_Engine!$AP$29&lt;Brand_Profile!$D$49),"Brand Match below Minimum Brand Match","")))))))))))))))</f>
      </c>
      <c r="AX29" s="44">
        <f>IF(Matching_Engine!$AV$29="EXCLUDED","Excluded",IF(Matching_Engine!$AP$29&gt;=Lookup_Lists!$D$156,"Highly Recommended",IF(Matching_Engine!$AP$29&gt;=Lookup_Lists!$D$157,"Recommended",IF(Matching_Engine!$AP$29&gt;=Lookup_Lists!$D$158,"Consider","Low Priority"))))</f>
      </c>
      <c r="AY29" s="47">
        <f>IF(Matching_Engine!$AV$29="PASS",Matching_Engine!$AP$29,"")</f>
      </c>
      <c r="AZ29" s="44">
        <f>Matching_Engine!$A$29&amp;"|"&amp;Matching_Engine!$C$29</f>
      </c>
      <c r="BA29" s="44">
        <f>IFERROR(INDEX(Lookup_Lists!$B$51:$B$92,MATCH(Brand_Profile!$D$12,Lookup_Lists!$A$51:$A$92,0)),"")</f>
      </c>
      <c r="BB29" s="44">
        <f>IFERROR(INDEX(Lookup_Lists!$B$51:$B$92,MATCH(KOL_Database!$F$28,Lookup_Lists!$A$51:$A$92,0)),"")</f>
      </c>
      <c r="BC29" s="47">
        <f>IFERROR(INDEX(Lookup_Lists!$B$185:$O$198,MATCH(Matching_Engine!$BA$29,Lookup_Lists!$A$185:$A$198,0),MATCH(KOL_Database!$E$28,Lookup_Lists!$B$184:$O$184,0)),Lookup_Lists!$D$151)</f>
      </c>
      <c r="BD29" s="47">
        <f>IFERROR(INDEX(Lookup_Lists!$B$185:$O$198,MATCH(Brand_Profile!$D$33,Lookup_Lists!$A$185:$A$198,0),MATCH(KOL_Database!$E$28,Lookup_Lists!$B$184:$O$184,0)),Lookup_Lists!$D$151)</f>
      </c>
      <c r="BE29" s="44">
        <f>IFERROR(INDEX(Lookup_Lists!$B$51:$B$92,MATCH(Brand_Profile!$D$34,Lookup_Lists!$A$51:$A$92,0)),"")</f>
      </c>
      <c r="BF29" s="44">
        <f>KOL_Database!$AI$28&amp;", "&amp;KOL_Database!$AG$28&amp;", "&amp;KOL_Database!$F$28&amp;", "&amp;KOL_Database!$E$28</f>
      </c>
      <c r="BG29" s="44">
        <f>KOL_Database!$AI$28&amp;", "&amp;KOL_Database!$AG$28</f>
      </c>
    </row>
    <row r="30" spans="1:59" x14ac:dyDescent="0.25">
      <c r="A30" s="43" t="s">
        <v>71</v>
      </c>
      <c r="B30" s="44">
        <f>Brand_Profile!$D$9</f>
      </c>
      <c r="C30" s="44">
        <f>KOL_Database!$A$29</f>
      </c>
      <c r="D30" s="44">
        <f>KOL_Database!$B$29</f>
      </c>
      <c r="E30" s="44">
        <f>KOL_Database!$C$29</f>
      </c>
      <c r="F30" s="44">
        <f>KOL_Database!$D$29</f>
      </c>
      <c r="G30" s="44">
        <f>KOL_Database!$E$29</f>
      </c>
      <c r="H30" s="44">
        <f>KOL_Database!$G$29</f>
      </c>
      <c r="I30" s="45">
        <f>KOL_Database!$J$29</f>
      </c>
      <c r="J30" s="46">
        <f>KOL_Database!$K$29</f>
      </c>
      <c r="K30" s="47">
        <f>IFERROR(INDEX(Lookup_Lists!$B$170:$O$181,MATCH(Brand_Profile!$D$10,Lookup_Lists!$A$170:$A$181,0),MATCH(KOL_Database!$E$29,Lookup_Lists!$B$169:$O$169,0)),Lookup_Lists!$D$151)</f>
      </c>
      <c r="L30" s="47">
        <f>IF(KOL_Database!$F$29="",Matching_Engine!$BC$30,IF(Brand_Profile!$D$12=KOL_Database!$F$29,100,IF(Matching_Engine!$BA$30=KOL_Database!$E$29,80,IF(Matching_Engine!$BC$30&gt;=80,60,IF(Matching_Engine!$BC$30&gt;=60,40,Lookup_Lists!$D$151)))))</f>
      </c>
      <c r="M30" s="47">
        <f>ROUND((IF(Brand_Profile!$D$62=0,Lookup_Lists!$D$150,ROUND((IF(Brand_Profile!$D$57="",0,IF(ISNUMBER(SEARCH(Brand_Profile!$D$57,Matching_Engine!$BF$30)),1,0))+IF(Brand_Profile!$D$58="",0,IF(ISNUMBER(SEARCH(Brand_Profile!$D$58,Matching_Engine!$BF$30)),1,0))+IF(Brand_Profile!$D$59="",0,IF(ISNUMBER(SEARCH(Brand_Profile!$D$59,Matching_Engine!$BF$30)),1,0))+IF(Brand_Profile!$D$60="",0,IF(ISNUMBER(SEARCH(Brand_Profile!$D$60,Matching_Engine!$BF$30)),1,0))+IF(Brand_Profile!$D$61="",0,IF(ISNUMBER(SEARCH(Brand_Profile!$D$61,Matching_Engine!$BF$30)),1,0)))/Brand_Profile!$D$62*100,0))+IF(Brand_Profile!$D$74=0,Lookup_Lists!$D$150,ROUND((IF(Brand_Profile!$D$69="",0,IF(ISNUMBER(SEARCH(Brand_Profile!$D$69,Matching_Engine!$BF$30)),1,0))+IF(Brand_Profile!$D$70="",0,IF(ISNUMBER(SEARCH(Brand_Profile!$D$70,Matching_Engine!$BF$30)),1,0))+IF(Brand_Profile!$D$71="",0,IF(ISNUMBER(SEARCH(Brand_Profile!$D$71,Matching_Engine!$BF$30)),1,0))+IF(Brand_Profile!$D$72="",0,IF(ISNUMBER(SEARCH(Brand_Profile!$D$72,Matching_Engine!$BF$30)),1,0))+IF(Brand_Profile!$D$73="",0,IF(ISNUMBER(SEARCH(Brand_Profile!$D$73,Matching_Engine!$BF$30)),1,0)))/Brand_Profile!$D$74*100,0)))/2,0)</f>
      </c>
      <c r="N30" s="47">
        <f>ROUND((Matching_Engine!$K$30*Lookup_Lists!$D$110+Matching_Engine!$L$30*Lookup_Lists!$D$111+Matching_Engine!$M$30*Lookup_Lists!$D$112)/(Lookup_Lists!$D$110+Lookup_Lists!$D$111+Lookup_Lists!$D$112),0)</f>
      </c>
      <c r="O30" s="47">
        <f>IF(Brand_Profile!$D$16="",Lookup_Lists!$D$150,MIN(100,ROUND((IFERROR(INDEX(KOL_Database!$W$29:KOL_Database!$AA$29,1,MATCH(Brand_Profile!$D$16,Lookup_Lists!$F$6:$F$10,0)),0)+0.5*IFERROR(INDEX(KOL_Database!$W$29:KOL_Database!$AA$29,1,MATCH(Brand_Profile!$D$17,Lookup_Lists!$F$6:$F$10,0)),0))/Lookup_Lists!$D$142*100,0)))</f>
      </c>
      <c r="P30" s="47">
        <f>IF(OR(Brand_Profile!$D$18="",Brand_Profile!$D$18="Any"),100,IF(Brand_Profile!$D$18="Female",MIN(100,ROUND(KOL_Database!$AB$29/Lookup_Lists!$D$143*100,0)),IF(Brand_Profile!$D$18="Male",MIN(100,ROUND(KOL_Database!$AC$29/Lookup_Lists!$D$143*100,0)),MAX(0,ROUND(100-ABS(KOL_Database!$AB$29-50)*2,0)))))</f>
      </c>
      <c r="Q30" s="47">
        <f>ROUND((IF(Brand_Profile!$D$19="",100,IF(KOL_Database!$AD$29=Brand_Profile!$D$19,100,Lookup_Lists!$D$151))*Lookup_Lists!$D$118+IF(OR(Brand_Profile!$D$20="",Brand_Profile!$D$20="Nasional"),100,IF(KOL_Database!$AE$29="",Lookup_Lists!$D$150,IF(KOL_Database!$AE$29=Brand_Profile!$D$20,100,IF(KOL_Database!$AD$29=Brand_Profile!$D$19,40,Lookup_Lists!$D$151))))*Lookup_Lists!$D$119+IF(OR(Brand_Profile!$D$21="",Brand_Profile!$D$21="Nasional"),100,IF(KOL_Database!$AF$29="",Lookup_Lists!$D$150,IF(KOL_Database!$AF$29=Brand_Profile!$D$21,100,IF(KOL_Database!$AE$29=Brand_Profile!$D$20,60,Lookup_Lists!$D$151))))*Lookup_Lists!$D$120)/(Lookup_Lists!$D$118+Lookup_Lists!$D$119+Lookup_Lists!$D$120),0)</f>
      </c>
      <c r="R30" s="47">
        <f>IF(Brand_Profile!$D$68=0,Lookup_Lists!$D$150,ROUND((IF(Brand_Profile!$D$63="",0,IF(ISNUMBER(SEARCH(Brand_Profile!$D$63,KOL_Database!$AG$29)),1,0))+IF(Brand_Profile!$D$64="",0,IF(ISNUMBER(SEARCH(Brand_Profile!$D$64,KOL_Database!$AG$29)),1,0))+IF(Brand_Profile!$D$65="",0,IF(ISNUMBER(SEARCH(Brand_Profile!$D$65,KOL_Database!$AG$29)),1,0))+IF(Brand_Profile!$D$66="",0,IF(ISNUMBER(SEARCH(Brand_Profile!$D$66,KOL_Database!$AG$29)),1,0))+IF(Brand_Profile!$D$67="",0,IF(ISNUMBER(SEARCH(Brand_Profile!$D$67,KOL_Database!$AG$29)),1,0)))/Brand_Profile!$D$68*100,0))</f>
      </c>
      <c r="S30" s="47">
        <f>ROUND((Matching_Engine!$O$30*Brand_Profile!$D$96+Matching_Engine!$P$30*Brand_Profile!$D$97+Matching_Engine!$Q$30*Brand_Profile!$D$98+Matching_Engine!$R$30*Brand_Profile!$D$99)/MAX(1,Brand_Profile!$D$96+Brand_Profile!$D$97+Brand_Profile!$D$98+Brand_Profile!$D$99),0)</f>
      </c>
      <c r="T30" s="47">
        <f>IF(Brand_Profile!$D$33="",Lookup_Lists!$D$150,Matching_Engine!$BD$30)</f>
      </c>
      <c r="U30" s="47">
        <f>IF(Brand_Profile!$D$34="",Lookup_Lists!$D$150,IF(Brand_Profile!$D$34=KOL_Database!$F$29,100,IF(Matching_Engine!$BE$30=KOL_Database!$E$29,75,IF(Matching_Engine!$BD$30&gt;=80,Lookup_Lists!$D$150,IF(Matching_Engine!$BD$30&gt;=60,35,Lookup_Lists!$D$151)))))</f>
      </c>
      <c r="V30" s="47">
        <f>IF(Brand_Profile!$D$86=0,Lookup_Lists!$D$150,ROUND((IF(Brand_Profile!$D$81="",0,IF(ISNUMBER(SEARCH(Brand_Profile!$D$81,Matching_Engine!$BG$30)),1,0))+IF(Brand_Profile!$D$82="",0,IF(ISNUMBER(SEARCH(Brand_Profile!$D$82,Matching_Engine!$BG$30)),1,0))+IF(Brand_Profile!$D$83="",0,IF(ISNUMBER(SEARCH(Brand_Profile!$D$83,Matching_Engine!$BG$30)),1,0))+IF(Brand_Profile!$D$84="",0,IF(ISNUMBER(SEARCH(Brand_Profile!$D$84,Matching_Engine!$BG$30)),1,0))+IF(Brand_Profile!$D$85="",0,IF(ISNUMBER(SEARCH(Brand_Profile!$D$85,Matching_Engine!$BG$30)),1,0)))/Brand_Profile!$D$86*100,0))</f>
      </c>
      <c r="W30" s="47">
        <f>IF(Brand_Profile!$D$39="",Lookup_Lists!$D$150,IFERROR(INDEX(Lookup_Lists!$B$237:$K$246,MATCH(Brand_Profile!$D$39,Lookup_Lists!$A$237:$A$246,0),MATCH(KOL_Database!$AJ$29,Lookup_Lists!$B$236:$K$236,0)),45))</f>
      </c>
      <c r="X30" s="47">
        <f>ROUND((Matching_Engine!$T$30*Lookup_Lists!$D$121+Matching_Engine!$U$30*Lookup_Lists!$D$122+Matching_Engine!$V$30*Lookup_Lists!$D$123+Matching_Engine!$W$30*Lookup_Lists!$D$124)/(Lookup_Lists!$D$121+Lookup_Lists!$D$122+Lookup_Lists!$D$123+Lookup_Lists!$D$124),0)</f>
      </c>
      <c r="Y30" s="47">
        <f>MIN(100,MAX(IFERROR(INDEX(Lookup_Lists!$B$202:$M$211,MATCH(Brand_Profile!$D$25,Lookup_Lists!$A$202:$A$211,0),MATCH(KOL_Database!$AK$29,Lookup_Lists!$B$201:$M$201,0)),40),IF(KOL_Database!$AK$29=Brand_Profile!$D$41,95,0)))</f>
      </c>
      <c r="Z30" s="47">
        <f>IFERROR(INDEX(Lookup_Lists!$B$215:$K$222,MATCH(Brand_Profile!$D$27,Lookup_Lists!$A$215:$A$222,0),MATCH(KOL_Database!$AJ$29,Lookup_Lists!$B$214:$K$214,0)),45)</f>
      </c>
      <c r="AA30" s="47">
        <f>ROUND((IF(Brand_Profile!$D$80=0,Lookup_Lists!$D$150,ROUND((IF(Brand_Profile!$D$75="",0,IF(ISNUMBER(SEARCH(Brand_Profile!$D$75,KOL_Database!$AL$29)),1,0))+IF(Brand_Profile!$D$76="",0,IF(ISNUMBER(SEARCH(Brand_Profile!$D$76,KOL_Database!$AL$29)),1,0))+IF(Brand_Profile!$D$77="",0,IF(ISNUMBER(SEARCH(Brand_Profile!$D$77,KOL_Database!$AL$29)),1,0))+IF(Brand_Profile!$D$78="",0,IF(ISNUMBER(SEARCH(Brand_Profile!$D$78,KOL_Database!$AL$29)),1,0))+IF(Brand_Profile!$D$79="",0,IF(ISNUMBER(SEARCH(Brand_Profile!$D$79,KOL_Database!$AL$29)),1,0)))/Brand_Profile!$D$80*100,0))+IF(Brand_Profile!$D$92=0,Lookup_Lists!$D$150,ROUND((IF(Brand_Profile!$D$87="",0,IF(ISNUMBER(SEARCH(Brand_Profile!$D$87,KOL_Database!$AL$29)),1,0))+IF(Brand_Profile!$D$88="",0,IF(ISNUMBER(SEARCH(Brand_Profile!$D$88,KOL_Database!$AL$29)),1,0))+IF(Brand_Profile!$D$89="",0,IF(ISNUMBER(SEARCH(Brand_Profile!$D$89,KOL_Database!$AL$29)),1,0))+IF(Brand_Profile!$D$90="",0,IF(ISNUMBER(SEARCH(Brand_Profile!$D$90,KOL_Database!$AL$29)),1,0))+IF(Brand_Profile!$D$91="",0,IF(ISNUMBER(SEARCH(Brand_Profile!$D$91,KOL_Database!$AL$29)),1,0)))/Brand_Profile!$D$92*100,0)))/2,0)</f>
      </c>
      <c r="AB30" s="47">
        <f>IFERROR(INDEX(Lookup_Lists!$B$226:$K$233,MATCH(Brand_Profile!$D$30,Lookup_Lists!$A$226:$A$233,0),MATCH(KOL_Database!$AJ$29,Lookup_Lists!$B$225:$K$225,0)),45)</f>
      </c>
      <c r="AC30" s="47">
        <f>ROUND((Matching_Engine!$Y$30*Lookup_Lists!$D$125+Matching_Engine!$Z$30*Lookup_Lists!$D$126+Matching_Engine!$AA$30*Lookup_Lists!$D$127+Matching_Engine!$AB$30*Lookup_Lists!$D$128)/(Lookup_Lists!$D$125+Lookup_Lists!$D$126+Lookup_Lists!$D$127+Lookup_Lists!$D$128),0)</f>
      </c>
      <c r="AD30" s="47">
        <f>IF(KOL_Database!$K$29="",0,MIN(100,ROUND(KOL_Database!$K$29/Lookup_Lists!$D$141*100,0)))</f>
      </c>
      <c r="AE30" s="47">
        <f>IF(KOL_Database!$R$29="",0,MIN(100,MAX(0,KOL_Database!$R$29)))</f>
      </c>
      <c r="AF30" s="47">
        <f>IF(KOL_Database!$P$29="",0,MIN(100,MAX(0,KOL_Database!$P$29)))</f>
      </c>
      <c r="AG30" s="47">
        <f>IF(KOL_Database!$Q$29="",0,MIN(100,MAX(0,KOL_Database!$Q$29)))</f>
      </c>
      <c r="AH30" s="47">
        <f>IF(OR(KOL_Database!$J$29="",KOL_Database!$J$29=0,KOL_Database!$L$29=""),0,MIN(100,ROUND(KOL_Database!$L$29/KOL_Database!$J$29/Lookup_Lists!$D$144*100,0)))</f>
      </c>
      <c r="AI30" s="47">
        <f>IF(KOL_Database!$N$29="",0,MIN(100,MAX(0,ROUND((KOL_Database!$N$29+2)/(Lookup_Lists!$D$145+2)*100,0))))</f>
      </c>
      <c r="AJ30" s="47">
        <f>ROUND((Matching_Engine!$AD$30*Lookup_Lists!$D$129+Matching_Engine!$AE$30*Lookup_Lists!$D$130+Matching_Engine!$AF$30*Lookup_Lists!$D$131+Matching_Engine!$AG$30*Lookup_Lists!$D$132+Matching_Engine!$AH$30*Lookup_Lists!$D$133+Matching_Engine!$AI$30*Lookup_Lists!$D$134)/(Lookup_Lists!$D$129+Lookup_Lists!$D$130+Lookup_Lists!$D$131+Lookup_Lists!$D$132+Lookup_Lists!$D$133+Lookup_Lists!$D$134),0)</f>
      </c>
      <c r="AK30" s="47">
        <f>IF(KOL_Database!$AT$29="",0,MIN(100,MAX(0,KOL_Database!$AT$29)))</f>
      </c>
      <c r="AL30" s="47">
        <f>IF(KOL_Database!$AU$29="",0,KOL_Database!$AU$29)</f>
      </c>
      <c r="AM30" s="44">
        <f>IF(KOL_Database!$AV$29="","None",KOL_Database!$AV$29)</f>
      </c>
      <c r="AN30" s="48">
        <f>IF(Matching_Engine!$AM$30="High",Lookup_Lists!$D$137,IF(Matching_Engine!$AM$30="Medium",Lookup_Lists!$D$138,IF(Matching_Engine!$AM$30="Low",Lookup_Lists!$D$139,Lookup_Lists!$D$140)))</f>
      </c>
      <c r="AO30" s="47">
        <f>ROUND(MIN(100,MAX(0,(Matching_Engine!$AK$30*Lookup_Lists!$D$135+(100-Matching_Engine!$AL$30)*Lookup_Lists!$D$136)/(Lookup_Lists!$D$135+Lookup_Lists!$D$136)*Matching_Engine!$AN$30)),0)</f>
      </c>
      <c r="AP30" s="49">
        <f>ROUND((Matching_Engine!$N$30*Lookup_Lists!$D$104+Matching_Engine!$S$30*Lookup_Lists!$D$105+Matching_Engine!$X$30*Lookup_Lists!$D$106+Matching_Engine!$AC$30*Lookup_Lists!$D$107+Matching_Engine!$AJ$30*Lookup_Lists!$D$108+Matching_Engine!$AO$30*Lookup_Lists!$D$109)/MAX(1,(Lookup_Lists!$D$104+Lookup_Lists!$D$105+Lookup_Lists!$D$106+Lookup_Lists!$D$107+Lookup_Lists!$D$108+Lookup_Lists!$D$109)),0)</f>
      </c>
      <c r="AQ30" s="44">
        <f>IF(Matching_Engine!$AP$30&gt;=Lookup_Lists!$D$152,"Excellent Match",IF(Matching_Engine!$AP$30&gt;=Lookup_Lists!$D$153,"Strong Match",IF(Matching_Engine!$AP$30&gt;=Lookup_Lists!$D$154,"Good Match",IF(Matching_Engine!$AP$30&gt;=Lookup_Lists!$D$155,"Moderate Match","Low Match"))))</f>
      </c>
      <c r="AR30" s="47">
        <f>KOL_Database!$BE$29</f>
      </c>
      <c r="AS30" s="44">
        <f>IF(Matching_Engine!$AR$30&gt;=Lookup_Lists!$D$159,"High",IF(Matching_Engine!$AR$30&gt;=Lookup_Lists!$D$160,"Medium","Limited Data"))</f>
      </c>
      <c r="AT30" s="47">
        <f>ROUND((Matching_Engine!$N$30+Matching_Engine!$X$30+Matching_Engine!$AC$30)/3,0)</f>
      </c>
      <c r="AU30" s="47">
        <f>ROUND(((100-Matching_Engine!$AL$30)*Lookup_Lists!$D$162+IF(KOL_Database!$BD$29="",Lookup_Lists!$D$150,KOL_Database!$BD$29)*Lookup_Lists!$D$163+Matching_Engine!$AI$30*Lookup_Lists!$D$164+Matching_Engine!$AD$30*Lookup_Lists!$D$165)/(Lookup_Lists!$D$162+Lookup_Lists!$D$163+Lookup_Lists!$D$164+Lookup_Lists!$D$165),0)</f>
      </c>
      <c r="AV30" s="44">
        <f>IF(Matching_Engine!$AW$30="","PASS","EXCLUDED")</f>
      </c>
      <c r="AW30" s="44">
        <f>IF(ISERROR(SEARCH(KOL_Database!$D$29,Brand_Profile!$D$32)),"Platform not in Preferred Platform",IF(AND(Brand_Profile!$D$36&gt;0,KOL_Database!$J$29&lt;Brand_Profile!$D$36),"Followers below Preferred Follower Range",IF(AND(Brand_Profile!$D$37&gt;0,KOL_Database!$J$29&gt;Brand_Profile!$D$37),"Followers above Preferred Follower Range",IF(AND(Brand_Profile!$D$38&gt;0,IF(KOL_Database!$K$29="",0,KOL_Database!$K$29)&lt;Brand_Profile!$D$38),"Engagement Rate below Minimum Engagement Rate",IF(ISERROR(SEARCH(KOL_Database!$G$29,Brand_Profile!$D$35)),"Tier not in Preferred Tier",IF(AND(Brand_Profile!$D$43&gt;0,Matching_Engine!$AE$30&lt;Brand_Profile!$D$43),"Audience Quality below Minimum Audience Quality",IF(AND(Brand_Profile!$D$44&gt;0,Matching_Engine!$AK$30&lt;Brand_Profile!$D$44),"Brand Safety below Minimum Brand Safety",IF(AND(Brand_Profile!$D$47="Yes",KOL_Database!$AD$29&lt;&gt;Brand_Profile!$D$19),"Audience Country does not match Target Country",IF(AND(Brand_Profile!$D$46="Yes",KOL_Database!$E$29&lt;&gt;Brand_Profile!$D$33),"Category is not the Preferred Category",IF(AND(Brand_Profile!$D$48&gt;0,Matching_Engine!$AL$30&gt;Brand_Profile!$D$48),"Competitor Saturation above Max Competitor Saturation",IF(AND(Brand_Profile!$D$50="Yes",KOL_Database!$AW$29="Yes"),"Already Selected",IF(AND(Brand_Profile!$D$51="Yes",KOL_Database!$AX$29="Yes"),"Already in Cart",IF(AND(Brand_Profile!$D$52="Yes",KOL_Database!$AY$29="Yes"),"Existing Partner",IF(AND(Brand_Profile!$D$53="Yes",KOL_Database!$AZ$29="Yes"),"Excluded Creator",IF(AND(Brand_Profile!$D$49&gt;0,Matching_Engine!$AP$30&lt;Brand_Profile!$D$49),"Brand Match below Minimum Brand Match","")))))))))))))))</f>
      </c>
      <c r="AX30" s="44">
        <f>IF(Matching_Engine!$AV$30="EXCLUDED","Excluded",IF(Matching_Engine!$AP$30&gt;=Lookup_Lists!$D$156,"Highly Recommended",IF(Matching_Engine!$AP$30&gt;=Lookup_Lists!$D$157,"Recommended",IF(Matching_Engine!$AP$30&gt;=Lookup_Lists!$D$158,"Consider","Low Priority"))))</f>
      </c>
      <c r="AY30" s="47">
        <f>IF(Matching_Engine!$AV$30="PASS",Matching_Engine!$AP$30,"")</f>
      </c>
      <c r="AZ30" s="44">
        <f>Matching_Engine!$A$30&amp;"|"&amp;Matching_Engine!$C$30</f>
      </c>
      <c r="BA30" s="44">
        <f>IFERROR(INDEX(Lookup_Lists!$B$51:$B$92,MATCH(Brand_Profile!$D$12,Lookup_Lists!$A$51:$A$92,0)),"")</f>
      </c>
      <c r="BB30" s="44">
        <f>IFERROR(INDEX(Lookup_Lists!$B$51:$B$92,MATCH(KOL_Database!$F$29,Lookup_Lists!$A$51:$A$92,0)),"")</f>
      </c>
      <c r="BC30" s="47">
        <f>IFERROR(INDEX(Lookup_Lists!$B$185:$O$198,MATCH(Matching_Engine!$BA$30,Lookup_Lists!$A$185:$A$198,0),MATCH(KOL_Database!$E$29,Lookup_Lists!$B$184:$O$184,0)),Lookup_Lists!$D$151)</f>
      </c>
      <c r="BD30" s="47">
        <f>IFERROR(INDEX(Lookup_Lists!$B$185:$O$198,MATCH(Brand_Profile!$D$33,Lookup_Lists!$A$185:$A$198,0),MATCH(KOL_Database!$E$29,Lookup_Lists!$B$184:$O$184,0)),Lookup_Lists!$D$151)</f>
      </c>
      <c r="BE30" s="44">
        <f>IFERROR(INDEX(Lookup_Lists!$B$51:$B$92,MATCH(Brand_Profile!$D$34,Lookup_Lists!$A$51:$A$92,0)),"")</f>
      </c>
      <c r="BF30" s="44">
        <f>KOL_Database!$AI$29&amp;", "&amp;KOL_Database!$AG$29&amp;", "&amp;KOL_Database!$F$29&amp;", "&amp;KOL_Database!$E$29</f>
      </c>
      <c r="BG30" s="44">
        <f>KOL_Database!$AI$29&amp;", "&amp;KOL_Database!$AG$29</f>
      </c>
    </row>
    <row r="31" spans="1:59" x14ac:dyDescent="0.25">
      <c r="A31" s="43" t="s">
        <v>71</v>
      </c>
      <c r="B31" s="44">
        <f>Brand_Profile!$D$9</f>
      </c>
      <c r="C31" s="44">
        <f>KOL_Database!$A$30</f>
      </c>
      <c r="D31" s="44">
        <f>KOL_Database!$B$30</f>
      </c>
      <c r="E31" s="44">
        <f>KOL_Database!$C$30</f>
      </c>
      <c r="F31" s="44">
        <f>KOL_Database!$D$30</f>
      </c>
      <c r="G31" s="44">
        <f>KOL_Database!$E$30</f>
      </c>
      <c r="H31" s="44">
        <f>KOL_Database!$G$30</f>
      </c>
      <c r="I31" s="45">
        <f>KOL_Database!$J$30</f>
      </c>
      <c r="J31" s="46">
        <f>KOL_Database!$K$30</f>
      </c>
      <c r="K31" s="47">
        <f>IFERROR(INDEX(Lookup_Lists!$B$170:$O$181,MATCH(Brand_Profile!$D$10,Lookup_Lists!$A$170:$A$181,0),MATCH(KOL_Database!$E$30,Lookup_Lists!$B$169:$O$169,0)),Lookup_Lists!$D$151)</f>
      </c>
      <c r="L31" s="47">
        <f>IF(KOL_Database!$F$30="",Matching_Engine!$BC$31,IF(Brand_Profile!$D$12=KOL_Database!$F$30,100,IF(Matching_Engine!$BA$31=KOL_Database!$E$30,80,IF(Matching_Engine!$BC$31&gt;=80,60,IF(Matching_Engine!$BC$31&gt;=60,40,Lookup_Lists!$D$151)))))</f>
      </c>
      <c r="M31" s="47">
        <f>ROUND((IF(Brand_Profile!$D$62=0,Lookup_Lists!$D$150,ROUND((IF(Brand_Profile!$D$57="",0,IF(ISNUMBER(SEARCH(Brand_Profile!$D$57,Matching_Engine!$BF$31)),1,0))+IF(Brand_Profile!$D$58="",0,IF(ISNUMBER(SEARCH(Brand_Profile!$D$58,Matching_Engine!$BF$31)),1,0))+IF(Brand_Profile!$D$59="",0,IF(ISNUMBER(SEARCH(Brand_Profile!$D$59,Matching_Engine!$BF$31)),1,0))+IF(Brand_Profile!$D$60="",0,IF(ISNUMBER(SEARCH(Brand_Profile!$D$60,Matching_Engine!$BF$31)),1,0))+IF(Brand_Profile!$D$61="",0,IF(ISNUMBER(SEARCH(Brand_Profile!$D$61,Matching_Engine!$BF$31)),1,0)))/Brand_Profile!$D$62*100,0))+IF(Brand_Profile!$D$74=0,Lookup_Lists!$D$150,ROUND((IF(Brand_Profile!$D$69="",0,IF(ISNUMBER(SEARCH(Brand_Profile!$D$69,Matching_Engine!$BF$31)),1,0))+IF(Brand_Profile!$D$70="",0,IF(ISNUMBER(SEARCH(Brand_Profile!$D$70,Matching_Engine!$BF$31)),1,0))+IF(Brand_Profile!$D$71="",0,IF(ISNUMBER(SEARCH(Brand_Profile!$D$71,Matching_Engine!$BF$31)),1,0))+IF(Brand_Profile!$D$72="",0,IF(ISNUMBER(SEARCH(Brand_Profile!$D$72,Matching_Engine!$BF$31)),1,0))+IF(Brand_Profile!$D$73="",0,IF(ISNUMBER(SEARCH(Brand_Profile!$D$73,Matching_Engine!$BF$31)),1,0)))/Brand_Profile!$D$74*100,0)))/2,0)</f>
      </c>
      <c r="N31" s="47">
        <f>ROUND((Matching_Engine!$K$31*Lookup_Lists!$D$110+Matching_Engine!$L$31*Lookup_Lists!$D$111+Matching_Engine!$M$31*Lookup_Lists!$D$112)/(Lookup_Lists!$D$110+Lookup_Lists!$D$111+Lookup_Lists!$D$112),0)</f>
      </c>
      <c r="O31" s="47">
        <f>IF(Brand_Profile!$D$16="",Lookup_Lists!$D$150,MIN(100,ROUND((IFERROR(INDEX(KOL_Database!$W$30:KOL_Database!$AA$30,1,MATCH(Brand_Profile!$D$16,Lookup_Lists!$F$6:$F$10,0)),0)+0.5*IFERROR(INDEX(KOL_Database!$W$30:KOL_Database!$AA$30,1,MATCH(Brand_Profile!$D$17,Lookup_Lists!$F$6:$F$10,0)),0))/Lookup_Lists!$D$142*100,0)))</f>
      </c>
      <c r="P31" s="47">
        <f>IF(OR(Brand_Profile!$D$18="",Brand_Profile!$D$18="Any"),100,IF(Brand_Profile!$D$18="Female",MIN(100,ROUND(KOL_Database!$AB$30/Lookup_Lists!$D$143*100,0)),IF(Brand_Profile!$D$18="Male",MIN(100,ROUND(KOL_Database!$AC$30/Lookup_Lists!$D$143*100,0)),MAX(0,ROUND(100-ABS(KOL_Database!$AB$30-50)*2,0)))))</f>
      </c>
      <c r="Q31" s="47">
        <f>ROUND((IF(Brand_Profile!$D$19="",100,IF(KOL_Database!$AD$30=Brand_Profile!$D$19,100,Lookup_Lists!$D$151))*Lookup_Lists!$D$118+IF(OR(Brand_Profile!$D$20="",Brand_Profile!$D$20="Nasional"),100,IF(KOL_Database!$AE$30="",Lookup_Lists!$D$150,IF(KOL_Database!$AE$30=Brand_Profile!$D$20,100,IF(KOL_Database!$AD$30=Brand_Profile!$D$19,40,Lookup_Lists!$D$151))))*Lookup_Lists!$D$119+IF(OR(Brand_Profile!$D$21="",Brand_Profile!$D$21="Nasional"),100,IF(KOL_Database!$AF$30="",Lookup_Lists!$D$150,IF(KOL_Database!$AF$30=Brand_Profile!$D$21,100,IF(KOL_Database!$AE$30=Brand_Profile!$D$20,60,Lookup_Lists!$D$151))))*Lookup_Lists!$D$120)/(Lookup_Lists!$D$118+Lookup_Lists!$D$119+Lookup_Lists!$D$120),0)</f>
      </c>
      <c r="R31" s="47">
        <f>IF(Brand_Profile!$D$68=0,Lookup_Lists!$D$150,ROUND((IF(Brand_Profile!$D$63="",0,IF(ISNUMBER(SEARCH(Brand_Profile!$D$63,KOL_Database!$AG$30)),1,0))+IF(Brand_Profile!$D$64="",0,IF(ISNUMBER(SEARCH(Brand_Profile!$D$64,KOL_Database!$AG$30)),1,0))+IF(Brand_Profile!$D$65="",0,IF(ISNUMBER(SEARCH(Brand_Profile!$D$65,KOL_Database!$AG$30)),1,0))+IF(Brand_Profile!$D$66="",0,IF(ISNUMBER(SEARCH(Brand_Profile!$D$66,KOL_Database!$AG$30)),1,0))+IF(Brand_Profile!$D$67="",0,IF(ISNUMBER(SEARCH(Brand_Profile!$D$67,KOL_Database!$AG$30)),1,0)))/Brand_Profile!$D$68*100,0))</f>
      </c>
      <c r="S31" s="47">
        <f>ROUND((Matching_Engine!$O$31*Brand_Profile!$D$96+Matching_Engine!$P$31*Brand_Profile!$D$97+Matching_Engine!$Q$31*Brand_Profile!$D$98+Matching_Engine!$R$31*Brand_Profile!$D$99)/MAX(1,Brand_Profile!$D$96+Brand_Profile!$D$97+Brand_Profile!$D$98+Brand_Profile!$D$99),0)</f>
      </c>
      <c r="T31" s="47">
        <f>IF(Brand_Profile!$D$33="",Lookup_Lists!$D$150,Matching_Engine!$BD$31)</f>
      </c>
      <c r="U31" s="47">
        <f>IF(Brand_Profile!$D$34="",Lookup_Lists!$D$150,IF(Brand_Profile!$D$34=KOL_Database!$F$30,100,IF(Matching_Engine!$BE$31=KOL_Database!$E$30,75,IF(Matching_Engine!$BD$31&gt;=80,Lookup_Lists!$D$150,IF(Matching_Engine!$BD$31&gt;=60,35,Lookup_Lists!$D$151)))))</f>
      </c>
      <c r="V31" s="47">
        <f>IF(Brand_Profile!$D$86=0,Lookup_Lists!$D$150,ROUND((IF(Brand_Profile!$D$81="",0,IF(ISNUMBER(SEARCH(Brand_Profile!$D$81,Matching_Engine!$BG$31)),1,0))+IF(Brand_Profile!$D$82="",0,IF(ISNUMBER(SEARCH(Brand_Profile!$D$82,Matching_Engine!$BG$31)),1,0))+IF(Brand_Profile!$D$83="",0,IF(ISNUMBER(SEARCH(Brand_Profile!$D$83,Matching_Engine!$BG$31)),1,0))+IF(Brand_Profile!$D$84="",0,IF(ISNUMBER(SEARCH(Brand_Profile!$D$84,Matching_Engine!$BG$31)),1,0))+IF(Brand_Profile!$D$85="",0,IF(ISNUMBER(SEARCH(Brand_Profile!$D$85,Matching_Engine!$BG$31)),1,0)))/Brand_Profile!$D$86*100,0))</f>
      </c>
      <c r="W31" s="47">
        <f>IF(Brand_Profile!$D$39="",Lookup_Lists!$D$150,IFERROR(INDEX(Lookup_Lists!$B$237:$K$246,MATCH(Brand_Profile!$D$39,Lookup_Lists!$A$237:$A$246,0),MATCH(KOL_Database!$AJ$30,Lookup_Lists!$B$236:$K$236,0)),45))</f>
      </c>
      <c r="X31" s="47">
        <f>ROUND((Matching_Engine!$T$31*Lookup_Lists!$D$121+Matching_Engine!$U$31*Lookup_Lists!$D$122+Matching_Engine!$V$31*Lookup_Lists!$D$123+Matching_Engine!$W$31*Lookup_Lists!$D$124)/(Lookup_Lists!$D$121+Lookup_Lists!$D$122+Lookup_Lists!$D$123+Lookup_Lists!$D$124),0)</f>
      </c>
      <c r="Y31" s="47">
        <f>MIN(100,MAX(IFERROR(INDEX(Lookup_Lists!$B$202:$M$211,MATCH(Brand_Profile!$D$25,Lookup_Lists!$A$202:$A$211,0),MATCH(KOL_Database!$AK$30,Lookup_Lists!$B$201:$M$201,0)),40),IF(KOL_Database!$AK$30=Brand_Profile!$D$41,95,0)))</f>
      </c>
      <c r="Z31" s="47">
        <f>IFERROR(INDEX(Lookup_Lists!$B$215:$K$222,MATCH(Brand_Profile!$D$27,Lookup_Lists!$A$215:$A$222,0),MATCH(KOL_Database!$AJ$30,Lookup_Lists!$B$214:$K$214,0)),45)</f>
      </c>
      <c r="AA31" s="47">
        <f>ROUND((IF(Brand_Profile!$D$80=0,Lookup_Lists!$D$150,ROUND((IF(Brand_Profile!$D$75="",0,IF(ISNUMBER(SEARCH(Brand_Profile!$D$75,KOL_Database!$AL$30)),1,0))+IF(Brand_Profile!$D$76="",0,IF(ISNUMBER(SEARCH(Brand_Profile!$D$76,KOL_Database!$AL$30)),1,0))+IF(Brand_Profile!$D$77="",0,IF(ISNUMBER(SEARCH(Brand_Profile!$D$77,KOL_Database!$AL$30)),1,0))+IF(Brand_Profile!$D$78="",0,IF(ISNUMBER(SEARCH(Brand_Profile!$D$78,KOL_Database!$AL$30)),1,0))+IF(Brand_Profile!$D$79="",0,IF(ISNUMBER(SEARCH(Brand_Profile!$D$79,KOL_Database!$AL$30)),1,0)))/Brand_Profile!$D$80*100,0))+IF(Brand_Profile!$D$92=0,Lookup_Lists!$D$150,ROUND((IF(Brand_Profile!$D$87="",0,IF(ISNUMBER(SEARCH(Brand_Profile!$D$87,KOL_Database!$AL$30)),1,0))+IF(Brand_Profile!$D$88="",0,IF(ISNUMBER(SEARCH(Brand_Profile!$D$88,KOL_Database!$AL$30)),1,0))+IF(Brand_Profile!$D$89="",0,IF(ISNUMBER(SEARCH(Brand_Profile!$D$89,KOL_Database!$AL$30)),1,0))+IF(Brand_Profile!$D$90="",0,IF(ISNUMBER(SEARCH(Brand_Profile!$D$90,KOL_Database!$AL$30)),1,0))+IF(Brand_Profile!$D$91="",0,IF(ISNUMBER(SEARCH(Brand_Profile!$D$91,KOL_Database!$AL$30)),1,0)))/Brand_Profile!$D$92*100,0)))/2,0)</f>
      </c>
      <c r="AB31" s="47">
        <f>IFERROR(INDEX(Lookup_Lists!$B$226:$K$233,MATCH(Brand_Profile!$D$30,Lookup_Lists!$A$226:$A$233,0),MATCH(KOL_Database!$AJ$30,Lookup_Lists!$B$225:$K$225,0)),45)</f>
      </c>
      <c r="AC31" s="47">
        <f>ROUND((Matching_Engine!$Y$31*Lookup_Lists!$D$125+Matching_Engine!$Z$31*Lookup_Lists!$D$126+Matching_Engine!$AA$31*Lookup_Lists!$D$127+Matching_Engine!$AB$31*Lookup_Lists!$D$128)/(Lookup_Lists!$D$125+Lookup_Lists!$D$126+Lookup_Lists!$D$127+Lookup_Lists!$D$128),0)</f>
      </c>
      <c r="AD31" s="47">
        <f>IF(KOL_Database!$K$30="",0,MIN(100,ROUND(KOL_Database!$K$30/Lookup_Lists!$D$141*100,0)))</f>
      </c>
      <c r="AE31" s="47">
        <f>IF(KOL_Database!$R$30="",0,MIN(100,MAX(0,KOL_Database!$R$30)))</f>
      </c>
      <c r="AF31" s="47">
        <f>IF(KOL_Database!$P$30="",0,MIN(100,MAX(0,KOL_Database!$P$30)))</f>
      </c>
      <c r="AG31" s="47">
        <f>IF(KOL_Database!$Q$30="",0,MIN(100,MAX(0,KOL_Database!$Q$30)))</f>
      </c>
      <c r="AH31" s="47">
        <f>IF(OR(KOL_Database!$J$30="",KOL_Database!$J$30=0,KOL_Database!$L$30=""),0,MIN(100,ROUND(KOL_Database!$L$30/KOL_Database!$J$30/Lookup_Lists!$D$144*100,0)))</f>
      </c>
      <c r="AI31" s="47">
        <f>IF(KOL_Database!$N$30="",0,MIN(100,MAX(0,ROUND((KOL_Database!$N$30+2)/(Lookup_Lists!$D$145+2)*100,0))))</f>
      </c>
      <c r="AJ31" s="47">
        <f>ROUND((Matching_Engine!$AD$31*Lookup_Lists!$D$129+Matching_Engine!$AE$31*Lookup_Lists!$D$130+Matching_Engine!$AF$31*Lookup_Lists!$D$131+Matching_Engine!$AG$31*Lookup_Lists!$D$132+Matching_Engine!$AH$31*Lookup_Lists!$D$133+Matching_Engine!$AI$31*Lookup_Lists!$D$134)/(Lookup_Lists!$D$129+Lookup_Lists!$D$130+Lookup_Lists!$D$131+Lookup_Lists!$D$132+Lookup_Lists!$D$133+Lookup_Lists!$D$134),0)</f>
      </c>
      <c r="AK31" s="47">
        <f>IF(KOL_Database!$AT$30="",0,MIN(100,MAX(0,KOL_Database!$AT$30)))</f>
      </c>
      <c r="AL31" s="47">
        <f>IF(KOL_Database!$AU$30="",0,KOL_Database!$AU$30)</f>
      </c>
      <c r="AM31" s="44">
        <f>IF(KOL_Database!$AV$30="","None",KOL_Database!$AV$30)</f>
      </c>
      <c r="AN31" s="48">
        <f>IF(Matching_Engine!$AM$31="High",Lookup_Lists!$D$137,IF(Matching_Engine!$AM$31="Medium",Lookup_Lists!$D$138,IF(Matching_Engine!$AM$31="Low",Lookup_Lists!$D$139,Lookup_Lists!$D$140)))</f>
      </c>
      <c r="AO31" s="47">
        <f>ROUND(MIN(100,MAX(0,(Matching_Engine!$AK$31*Lookup_Lists!$D$135+(100-Matching_Engine!$AL$31)*Lookup_Lists!$D$136)/(Lookup_Lists!$D$135+Lookup_Lists!$D$136)*Matching_Engine!$AN$31)),0)</f>
      </c>
      <c r="AP31" s="49">
        <f>ROUND((Matching_Engine!$N$31*Lookup_Lists!$D$104+Matching_Engine!$S$31*Lookup_Lists!$D$105+Matching_Engine!$X$31*Lookup_Lists!$D$106+Matching_Engine!$AC$31*Lookup_Lists!$D$107+Matching_Engine!$AJ$31*Lookup_Lists!$D$108+Matching_Engine!$AO$31*Lookup_Lists!$D$109)/MAX(1,(Lookup_Lists!$D$104+Lookup_Lists!$D$105+Lookup_Lists!$D$106+Lookup_Lists!$D$107+Lookup_Lists!$D$108+Lookup_Lists!$D$109)),0)</f>
      </c>
      <c r="AQ31" s="44">
        <f>IF(Matching_Engine!$AP$31&gt;=Lookup_Lists!$D$152,"Excellent Match",IF(Matching_Engine!$AP$31&gt;=Lookup_Lists!$D$153,"Strong Match",IF(Matching_Engine!$AP$31&gt;=Lookup_Lists!$D$154,"Good Match",IF(Matching_Engine!$AP$31&gt;=Lookup_Lists!$D$155,"Moderate Match","Low Match"))))</f>
      </c>
      <c r="AR31" s="47">
        <f>KOL_Database!$BE$30</f>
      </c>
      <c r="AS31" s="44">
        <f>IF(Matching_Engine!$AR$31&gt;=Lookup_Lists!$D$159,"High",IF(Matching_Engine!$AR$31&gt;=Lookup_Lists!$D$160,"Medium","Limited Data"))</f>
      </c>
      <c r="AT31" s="47">
        <f>ROUND((Matching_Engine!$N$31+Matching_Engine!$X$31+Matching_Engine!$AC$31)/3,0)</f>
      </c>
      <c r="AU31" s="47">
        <f>ROUND(((100-Matching_Engine!$AL$31)*Lookup_Lists!$D$162+IF(KOL_Database!$BD$30="",Lookup_Lists!$D$150,KOL_Database!$BD$30)*Lookup_Lists!$D$163+Matching_Engine!$AI$31*Lookup_Lists!$D$164+Matching_Engine!$AD$31*Lookup_Lists!$D$165)/(Lookup_Lists!$D$162+Lookup_Lists!$D$163+Lookup_Lists!$D$164+Lookup_Lists!$D$165),0)</f>
      </c>
      <c r="AV31" s="44">
        <f>IF(Matching_Engine!$AW$31="","PASS","EXCLUDED")</f>
      </c>
      <c r="AW31" s="44">
        <f>IF(ISERROR(SEARCH(KOL_Database!$D$30,Brand_Profile!$D$32)),"Platform not in Preferred Platform",IF(AND(Brand_Profile!$D$36&gt;0,KOL_Database!$J$30&lt;Brand_Profile!$D$36),"Followers below Preferred Follower Range",IF(AND(Brand_Profile!$D$37&gt;0,KOL_Database!$J$30&gt;Brand_Profile!$D$37),"Followers above Preferred Follower Range",IF(AND(Brand_Profile!$D$38&gt;0,IF(KOL_Database!$K$30="",0,KOL_Database!$K$30)&lt;Brand_Profile!$D$38),"Engagement Rate below Minimum Engagement Rate",IF(ISERROR(SEARCH(KOL_Database!$G$30,Brand_Profile!$D$35)),"Tier not in Preferred Tier",IF(AND(Brand_Profile!$D$43&gt;0,Matching_Engine!$AE$31&lt;Brand_Profile!$D$43),"Audience Quality below Minimum Audience Quality",IF(AND(Brand_Profile!$D$44&gt;0,Matching_Engine!$AK$31&lt;Brand_Profile!$D$44),"Brand Safety below Minimum Brand Safety",IF(AND(Brand_Profile!$D$47="Yes",KOL_Database!$AD$30&lt;&gt;Brand_Profile!$D$19),"Audience Country does not match Target Country",IF(AND(Brand_Profile!$D$46="Yes",KOL_Database!$E$30&lt;&gt;Brand_Profile!$D$33),"Category is not the Preferred Category",IF(AND(Brand_Profile!$D$48&gt;0,Matching_Engine!$AL$31&gt;Brand_Profile!$D$48),"Competitor Saturation above Max Competitor Saturation",IF(AND(Brand_Profile!$D$50="Yes",KOL_Database!$AW$30="Yes"),"Already Selected",IF(AND(Brand_Profile!$D$51="Yes",KOL_Database!$AX$30="Yes"),"Already in Cart",IF(AND(Brand_Profile!$D$52="Yes",KOL_Database!$AY$30="Yes"),"Existing Partner",IF(AND(Brand_Profile!$D$53="Yes",KOL_Database!$AZ$30="Yes"),"Excluded Creator",IF(AND(Brand_Profile!$D$49&gt;0,Matching_Engine!$AP$31&lt;Brand_Profile!$D$49),"Brand Match below Minimum Brand Match","")))))))))))))))</f>
      </c>
      <c r="AX31" s="44">
        <f>IF(Matching_Engine!$AV$31="EXCLUDED","Excluded",IF(Matching_Engine!$AP$31&gt;=Lookup_Lists!$D$156,"Highly Recommended",IF(Matching_Engine!$AP$31&gt;=Lookup_Lists!$D$157,"Recommended",IF(Matching_Engine!$AP$31&gt;=Lookup_Lists!$D$158,"Consider","Low Priority"))))</f>
      </c>
      <c r="AY31" s="47">
        <f>IF(Matching_Engine!$AV$31="PASS",Matching_Engine!$AP$31,"")</f>
      </c>
      <c r="AZ31" s="44">
        <f>Matching_Engine!$A$31&amp;"|"&amp;Matching_Engine!$C$31</f>
      </c>
      <c r="BA31" s="44">
        <f>IFERROR(INDEX(Lookup_Lists!$B$51:$B$92,MATCH(Brand_Profile!$D$12,Lookup_Lists!$A$51:$A$92,0)),"")</f>
      </c>
      <c r="BB31" s="44">
        <f>IFERROR(INDEX(Lookup_Lists!$B$51:$B$92,MATCH(KOL_Database!$F$30,Lookup_Lists!$A$51:$A$92,0)),"")</f>
      </c>
      <c r="BC31" s="47">
        <f>IFERROR(INDEX(Lookup_Lists!$B$185:$O$198,MATCH(Matching_Engine!$BA$31,Lookup_Lists!$A$185:$A$198,0),MATCH(KOL_Database!$E$30,Lookup_Lists!$B$184:$O$184,0)),Lookup_Lists!$D$151)</f>
      </c>
      <c r="BD31" s="47">
        <f>IFERROR(INDEX(Lookup_Lists!$B$185:$O$198,MATCH(Brand_Profile!$D$33,Lookup_Lists!$A$185:$A$198,0),MATCH(KOL_Database!$E$30,Lookup_Lists!$B$184:$O$184,0)),Lookup_Lists!$D$151)</f>
      </c>
      <c r="BE31" s="44">
        <f>IFERROR(INDEX(Lookup_Lists!$B$51:$B$92,MATCH(Brand_Profile!$D$34,Lookup_Lists!$A$51:$A$92,0)),"")</f>
      </c>
      <c r="BF31" s="44">
        <f>KOL_Database!$AI$30&amp;", "&amp;KOL_Database!$AG$30&amp;", "&amp;KOL_Database!$F$30&amp;", "&amp;KOL_Database!$E$30</f>
      </c>
      <c r="BG31" s="44">
        <f>KOL_Database!$AI$30&amp;", "&amp;KOL_Database!$AG$30</f>
      </c>
    </row>
    <row r="32" spans="1:59" x14ac:dyDescent="0.25">
      <c r="A32" s="43" t="s">
        <v>71</v>
      </c>
      <c r="B32" s="44">
        <f>Brand_Profile!$D$9</f>
      </c>
      <c r="C32" s="44">
        <f>KOL_Database!$A$31</f>
      </c>
      <c r="D32" s="44">
        <f>KOL_Database!$B$31</f>
      </c>
      <c r="E32" s="44">
        <f>KOL_Database!$C$31</f>
      </c>
      <c r="F32" s="44">
        <f>KOL_Database!$D$31</f>
      </c>
      <c r="G32" s="44">
        <f>KOL_Database!$E$31</f>
      </c>
      <c r="H32" s="44">
        <f>KOL_Database!$G$31</f>
      </c>
      <c r="I32" s="45">
        <f>KOL_Database!$J$31</f>
      </c>
      <c r="J32" s="46">
        <f>KOL_Database!$K$31</f>
      </c>
      <c r="K32" s="47">
        <f>IFERROR(INDEX(Lookup_Lists!$B$170:$O$181,MATCH(Brand_Profile!$D$10,Lookup_Lists!$A$170:$A$181,0),MATCH(KOL_Database!$E$31,Lookup_Lists!$B$169:$O$169,0)),Lookup_Lists!$D$151)</f>
      </c>
      <c r="L32" s="47">
        <f>IF(KOL_Database!$F$31="",Matching_Engine!$BC$32,IF(Brand_Profile!$D$12=KOL_Database!$F$31,100,IF(Matching_Engine!$BA$32=KOL_Database!$E$31,80,IF(Matching_Engine!$BC$32&gt;=80,60,IF(Matching_Engine!$BC$32&gt;=60,40,Lookup_Lists!$D$151)))))</f>
      </c>
      <c r="M32" s="47">
        <f>ROUND((IF(Brand_Profile!$D$62=0,Lookup_Lists!$D$150,ROUND((IF(Brand_Profile!$D$57="",0,IF(ISNUMBER(SEARCH(Brand_Profile!$D$57,Matching_Engine!$BF$32)),1,0))+IF(Brand_Profile!$D$58="",0,IF(ISNUMBER(SEARCH(Brand_Profile!$D$58,Matching_Engine!$BF$32)),1,0))+IF(Brand_Profile!$D$59="",0,IF(ISNUMBER(SEARCH(Brand_Profile!$D$59,Matching_Engine!$BF$32)),1,0))+IF(Brand_Profile!$D$60="",0,IF(ISNUMBER(SEARCH(Brand_Profile!$D$60,Matching_Engine!$BF$32)),1,0))+IF(Brand_Profile!$D$61="",0,IF(ISNUMBER(SEARCH(Brand_Profile!$D$61,Matching_Engine!$BF$32)),1,0)))/Brand_Profile!$D$62*100,0))+IF(Brand_Profile!$D$74=0,Lookup_Lists!$D$150,ROUND((IF(Brand_Profile!$D$69="",0,IF(ISNUMBER(SEARCH(Brand_Profile!$D$69,Matching_Engine!$BF$32)),1,0))+IF(Brand_Profile!$D$70="",0,IF(ISNUMBER(SEARCH(Brand_Profile!$D$70,Matching_Engine!$BF$32)),1,0))+IF(Brand_Profile!$D$71="",0,IF(ISNUMBER(SEARCH(Brand_Profile!$D$71,Matching_Engine!$BF$32)),1,0))+IF(Brand_Profile!$D$72="",0,IF(ISNUMBER(SEARCH(Brand_Profile!$D$72,Matching_Engine!$BF$32)),1,0))+IF(Brand_Profile!$D$73="",0,IF(ISNUMBER(SEARCH(Brand_Profile!$D$73,Matching_Engine!$BF$32)),1,0)))/Brand_Profile!$D$74*100,0)))/2,0)</f>
      </c>
      <c r="N32" s="47">
        <f>ROUND((Matching_Engine!$K$32*Lookup_Lists!$D$110+Matching_Engine!$L$32*Lookup_Lists!$D$111+Matching_Engine!$M$32*Lookup_Lists!$D$112)/(Lookup_Lists!$D$110+Lookup_Lists!$D$111+Lookup_Lists!$D$112),0)</f>
      </c>
      <c r="O32" s="47">
        <f>IF(Brand_Profile!$D$16="",Lookup_Lists!$D$150,MIN(100,ROUND((IFERROR(INDEX(KOL_Database!$W$31:KOL_Database!$AA$31,1,MATCH(Brand_Profile!$D$16,Lookup_Lists!$F$6:$F$10,0)),0)+0.5*IFERROR(INDEX(KOL_Database!$W$31:KOL_Database!$AA$31,1,MATCH(Brand_Profile!$D$17,Lookup_Lists!$F$6:$F$10,0)),0))/Lookup_Lists!$D$142*100,0)))</f>
      </c>
      <c r="P32" s="47">
        <f>IF(OR(Brand_Profile!$D$18="",Brand_Profile!$D$18="Any"),100,IF(Brand_Profile!$D$18="Female",MIN(100,ROUND(KOL_Database!$AB$31/Lookup_Lists!$D$143*100,0)),IF(Brand_Profile!$D$18="Male",MIN(100,ROUND(KOL_Database!$AC$31/Lookup_Lists!$D$143*100,0)),MAX(0,ROUND(100-ABS(KOL_Database!$AB$31-50)*2,0)))))</f>
      </c>
      <c r="Q32" s="47">
        <f>ROUND((IF(Brand_Profile!$D$19="",100,IF(KOL_Database!$AD$31=Brand_Profile!$D$19,100,Lookup_Lists!$D$151))*Lookup_Lists!$D$118+IF(OR(Brand_Profile!$D$20="",Brand_Profile!$D$20="Nasional"),100,IF(KOL_Database!$AE$31="",Lookup_Lists!$D$150,IF(KOL_Database!$AE$31=Brand_Profile!$D$20,100,IF(KOL_Database!$AD$31=Brand_Profile!$D$19,40,Lookup_Lists!$D$151))))*Lookup_Lists!$D$119+IF(OR(Brand_Profile!$D$21="",Brand_Profile!$D$21="Nasional"),100,IF(KOL_Database!$AF$31="",Lookup_Lists!$D$150,IF(KOL_Database!$AF$31=Brand_Profile!$D$21,100,IF(KOL_Database!$AE$31=Brand_Profile!$D$20,60,Lookup_Lists!$D$151))))*Lookup_Lists!$D$120)/(Lookup_Lists!$D$118+Lookup_Lists!$D$119+Lookup_Lists!$D$120),0)</f>
      </c>
      <c r="R32" s="47">
        <f>IF(Brand_Profile!$D$68=0,Lookup_Lists!$D$150,ROUND((IF(Brand_Profile!$D$63="",0,IF(ISNUMBER(SEARCH(Brand_Profile!$D$63,KOL_Database!$AG$31)),1,0))+IF(Brand_Profile!$D$64="",0,IF(ISNUMBER(SEARCH(Brand_Profile!$D$64,KOL_Database!$AG$31)),1,0))+IF(Brand_Profile!$D$65="",0,IF(ISNUMBER(SEARCH(Brand_Profile!$D$65,KOL_Database!$AG$31)),1,0))+IF(Brand_Profile!$D$66="",0,IF(ISNUMBER(SEARCH(Brand_Profile!$D$66,KOL_Database!$AG$31)),1,0))+IF(Brand_Profile!$D$67="",0,IF(ISNUMBER(SEARCH(Brand_Profile!$D$67,KOL_Database!$AG$31)),1,0)))/Brand_Profile!$D$68*100,0))</f>
      </c>
      <c r="S32" s="47">
        <f>ROUND((Matching_Engine!$O$32*Brand_Profile!$D$96+Matching_Engine!$P$32*Brand_Profile!$D$97+Matching_Engine!$Q$32*Brand_Profile!$D$98+Matching_Engine!$R$32*Brand_Profile!$D$99)/MAX(1,Brand_Profile!$D$96+Brand_Profile!$D$97+Brand_Profile!$D$98+Brand_Profile!$D$99),0)</f>
      </c>
      <c r="T32" s="47">
        <f>IF(Brand_Profile!$D$33="",Lookup_Lists!$D$150,Matching_Engine!$BD$32)</f>
      </c>
      <c r="U32" s="47">
        <f>IF(Brand_Profile!$D$34="",Lookup_Lists!$D$150,IF(Brand_Profile!$D$34=KOL_Database!$F$31,100,IF(Matching_Engine!$BE$32=KOL_Database!$E$31,75,IF(Matching_Engine!$BD$32&gt;=80,Lookup_Lists!$D$150,IF(Matching_Engine!$BD$32&gt;=60,35,Lookup_Lists!$D$151)))))</f>
      </c>
      <c r="V32" s="47">
        <f>IF(Brand_Profile!$D$86=0,Lookup_Lists!$D$150,ROUND((IF(Brand_Profile!$D$81="",0,IF(ISNUMBER(SEARCH(Brand_Profile!$D$81,Matching_Engine!$BG$32)),1,0))+IF(Brand_Profile!$D$82="",0,IF(ISNUMBER(SEARCH(Brand_Profile!$D$82,Matching_Engine!$BG$32)),1,0))+IF(Brand_Profile!$D$83="",0,IF(ISNUMBER(SEARCH(Brand_Profile!$D$83,Matching_Engine!$BG$32)),1,0))+IF(Brand_Profile!$D$84="",0,IF(ISNUMBER(SEARCH(Brand_Profile!$D$84,Matching_Engine!$BG$32)),1,0))+IF(Brand_Profile!$D$85="",0,IF(ISNUMBER(SEARCH(Brand_Profile!$D$85,Matching_Engine!$BG$32)),1,0)))/Brand_Profile!$D$86*100,0))</f>
      </c>
      <c r="W32" s="47">
        <f>IF(Brand_Profile!$D$39="",Lookup_Lists!$D$150,IFERROR(INDEX(Lookup_Lists!$B$237:$K$246,MATCH(Brand_Profile!$D$39,Lookup_Lists!$A$237:$A$246,0),MATCH(KOL_Database!$AJ$31,Lookup_Lists!$B$236:$K$236,0)),45))</f>
      </c>
      <c r="X32" s="47">
        <f>ROUND((Matching_Engine!$T$32*Lookup_Lists!$D$121+Matching_Engine!$U$32*Lookup_Lists!$D$122+Matching_Engine!$V$32*Lookup_Lists!$D$123+Matching_Engine!$W$32*Lookup_Lists!$D$124)/(Lookup_Lists!$D$121+Lookup_Lists!$D$122+Lookup_Lists!$D$123+Lookup_Lists!$D$124),0)</f>
      </c>
      <c r="Y32" s="47">
        <f>MIN(100,MAX(IFERROR(INDEX(Lookup_Lists!$B$202:$M$211,MATCH(Brand_Profile!$D$25,Lookup_Lists!$A$202:$A$211,0),MATCH(KOL_Database!$AK$31,Lookup_Lists!$B$201:$M$201,0)),40),IF(KOL_Database!$AK$31=Brand_Profile!$D$41,95,0)))</f>
      </c>
      <c r="Z32" s="47">
        <f>IFERROR(INDEX(Lookup_Lists!$B$215:$K$222,MATCH(Brand_Profile!$D$27,Lookup_Lists!$A$215:$A$222,0),MATCH(KOL_Database!$AJ$31,Lookup_Lists!$B$214:$K$214,0)),45)</f>
      </c>
      <c r="AA32" s="47">
        <f>ROUND((IF(Brand_Profile!$D$80=0,Lookup_Lists!$D$150,ROUND((IF(Brand_Profile!$D$75="",0,IF(ISNUMBER(SEARCH(Brand_Profile!$D$75,KOL_Database!$AL$31)),1,0))+IF(Brand_Profile!$D$76="",0,IF(ISNUMBER(SEARCH(Brand_Profile!$D$76,KOL_Database!$AL$31)),1,0))+IF(Brand_Profile!$D$77="",0,IF(ISNUMBER(SEARCH(Brand_Profile!$D$77,KOL_Database!$AL$31)),1,0))+IF(Brand_Profile!$D$78="",0,IF(ISNUMBER(SEARCH(Brand_Profile!$D$78,KOL_Database!$AL$31)),1,0))+IF(Brand_Profile!$D$79="",0,IF(ISNUMBER(SEARCH(Brand_Profile!$D$79,KOL_Database!$AL$31)),1,0)))/Brand_Profile!$D$80*100,0))+IF(Brand_Profile!$D$92=0,Lookup_Lists!$D$150,ROUND((IF(Brand_Profile!$D$87="",0,IF(ISNUMBER(SEARCH(Brand_Profile!$D$87,KOL_Database!$AL$31)),1,0))+IF(Brand_Profile!$D$88="",0,IF(ISNUMBER(SEARCH(Brand_Profile!$D$88,KOL_Database!$AL$31)),1,0))+IF(Brand_Profile!$D$89="",0,IF(ISNUMBER(SEARCH(Brand_Profile!$D$89,KOL_Database!$AL$31)),1,0))+IF(Brand_Profile!$D$90="",0,IF(ISNUMBER(SEARCH(Brand_Profile!$D$90,KOL_Database!$AL$31)),1,0))+IF(Brand_Profile!$D$91="",0,IF(ISNUMBER(SEARCH(Brand_Profile!$D$91,KOL_Database!$AL$31)),1,0)))/Brand_Profile!$D$92*100,0)))/2,0)</f>
      </c>
      <c r="AB32" s="47">
        <f>IFERROR(INDEX(Lookup_Lists!$B$226:$K$233,MATCH(Brand_Profile!$D$30,Lookup_Lists!$A$226:$A$233,0),MATCH(KOL_Database!$AJ$31,Lookup_Lists!$B$225:$K$225,0)),45)</f>
      </c>
      <c r="AC32" s="47">
        <f>ROUND((Matching_Engine!$Y$32*Lookup_Lists!$D$125+Matching_Engine!$Z$32*Lookup_Lists!$D$126+Matching_Engine!$AA$32*Lookup_Lists!$D$127+Matching_Engine!$AB$32*Lookup_Lists!$D$128)/(Lookup_Lists!$D$125+Lookup_Lists!$D$126+Lookup_Lists!$D$127+Lookup_Lists!$D$128),0)</f>
      </c>
      <c r="AD32" s="47">
        <f>IF(KOL_Database!$K$31="",0,MIN(100,ROUND(KOL_Database!$K$31/Lookup_Lists!$D$141*100,0)))</f>
      </c>
      <c r="AE32" s="47">
        <f>IF(KOL_Database!$R$31="",0,MIN(100,MAX(0,KOL_Database!$R$31)))</f>
      </c>
      <c r="AF32" s="47">
        <f>IF(KOL_Database!$P$31="",0,MIN(100,MAX(0,KOL_Database!$P$31)))</f>
      </c>
      <c r="AG32" s="47">
        <f>IF(KOL_Database!$Q$31="",0,MIN(100,MAX(0,KOL_Database!$Q$31)))</f>
      </c>
      <c r="AH32" s="47">
        <f>IF(OR(KOL_Database!$J$31="",KOL_Database!$J$31=0,KOL_Database!$L$31=""),0,MIN(100,ROUND(KOL_Database!$L$31/KOL_Database!$J$31/Lookup_Lists!$D$144*100,0)))</f>
      </c>
      <c r="AI32" s="47">
        <f>IF(KOL_Database!$N$31="",0,MIN(100,MAX(0,ROUND((KOL_Database!$N$31+2)/(Lookup_Lists!$D$145+2)*100,0))))</f>
      </c>
      <c r="AJ32" s="47">
        <f>ROUND((Matching_Engine!$AD$32*Lookup_Lists!$D$129+Matching_Engine!$AE$32*Lookup_Lists!$D$130+Matching_Engine!$AF$32*Lookup_Lists!$D$131+Matching_Engine!$AG$32*Lookup_Lists!$D$132+Matching_Engine!$AH$32*Lookup_Lists!$D$133+Matching_Engine!$AI$32*Lookup_Lists!$D$134)/(Lookup_Lists!$D$129+Lookup_Lists!$D$130+Lookup_Lists!$D$131+Lookup_Lists!$D$132+Lookup_Lists!$D$133+Lookup_Lists!$D$134),0)</f>
      </c>
      <c r="AK32" s="47">
        <f>IF(KOL_Database!$AT$31="",0,MIN(100,MAX(0,KOL_Database!$AT$31)))</f>
      </c>
      <c r="AL32" s="47">
        <f>IF(KOL_Database!$AU$31="",0,KOL_Database!$AU$31)</f>
      </c>
      <c r="AM32" s="44">
        <f>IF(KOL_Database!$AV$31="","None",KOL_Database!$AV$31)</f>
      </c>
      <c r="AN32" s="48">
        <f>IF(Matching_Engine!$AM$32="High",Lookup_Lists!$D$137,IF(Matching_Engine!$AM$32="Medium",Lookup_Lists!$D$138,IF(Matching_Engine!$AM$32="Low",Lookup_Lists!$D$139,Lookup_Lists!$D$140)))</f>
      </c>
      <c r="AO32" s="47">
        <f>ROUND(MIN(100,MAX(0,(Matching_Engine!$AK$32*Lookup_Lists!$D$135+(100-Matching_Engine!$AL$32)*Lookup_Lists!$D$136)/(Lookup_Lists!$D$135+Lookup_Lists!$D$136)*Matching_Engine!$AN$32)),0)</f>
      </c>
      <c r="AP32" s="49">
        <f>ROUND((Matching_Engine!$N$32*Lookup_Lists!$D$104+Matching_Engine!$S$32*Lookup_Lists!$D$105+Matching_Engine!$X$32*Lookup_Lists!$D$106+Matching_Engine!$AC$32*Lookup_Lists!$D$107+Matching_Engine!$AJ$32*Lookup_Lists!$D$108+Matching_Engine!$AO$32*Lookup_Lists!$D$109)/MAX(1,(Lookup_Lists!$D$104+Lookup_Lists!$D$105+Lookup_Lists!$D$106+Lookup_Lists!$D$107+Lookup_Lists!$D$108+Lookup_Lists!$D$109)),0)</f>
      </c>
      <c r="AQ32" s="44">
        <f>IF(Matching_Engine!$AP$32&gt;=Lookup_Lists!$D$152,"Excellent Match",IF(Matching_Engine!$AP$32&gt;=Lookup_Lists!$D$153,"Strong Match",IF(Matching_Engine!$AP$32&gt;=Lookup_Lists!$D$154,"Good Match",IF(Matching_Engine!$AP$32&gt;=Lookup_Lists!$D$155,"Moderate Match","Low Match"))))</f>
      </c>
      <c r="AR32" s="47">
        <f>KOL_Database!$BE$31</f>
      </c>
      <c r="AS32" s="44">
        <f>IF(Matching_Engine!$AR$32&gt;=Lookup_Lists!$D$159,"High",IF(Matching_Engine!$AR$32&gt;=Lookup_Lists!$D$160,"Medium","Limited Data"))</f>
      </c>
      <c r="AT32" s="47">
        <f>ROUND((Matching_Engine!$N$32+Matching_Engine!$X$32+Matching_Engine!$AC$32)/3,0)</f>
      </c>
      <c r="AU32" s="47">
        <f>ROUND(((100-Matching_Engine!$AL$32)*Lookup_Lists!$D$162+IF(KOL_Database!$BD$31="",Lookup_Lists!$D$150,KOL_Database!$BD$31)*Lookup_Lists!$D$163+Matching_Engine!$AI$32*Lookup_Lists!$D$164+Matching_Engine!$AD$32*Lookup_Lists!$D$165)/(Lookup_Lists!$D$162+Lookup_Lists!$D$163+Lookup_Lists!$D$164+Lookup_Lists!$D$165),0)</f>
      </c>
      <c r="AV32" s="44">
        <f>IF(Matching_Engine!$AW$32="","PASS","EXCLUDED")</f>
      </c>
      <c r="AW32" s="44">
        <f>IF(ISERROR(SEARCH(KOL_Database!$D$31,Brand_Profile!$D$32)),"Platform not in Preferred Platform",IF(AND(Brand_Profile!$D$36&gt;0,KOL_Database!$J$31&lt;Brand_Profile!$D$36),"Followers below Preferred Follower Range",IF(AND(Brand_Profile!$D$37&gt;0,KOL_Database!$J$31&gt;Brand_Profile!$D$37),"Followers above Preferred Follower Range",IF(AND(Brand_Profile!$D$38&gt;0,IF(KOL_Database!$K$31="",0,KOL_Database!$K$31)&lt;Brand_Profile!$D$38),"Engagement Rate below Minimum Engagement Rate",IF(ISERROR(SEARCH(KOL_Database!$G$31,Brand_Profile!$D$35)),"Tier not in Preferred Tier",IF(AND(Brand_Profile!$D$43&gt;0,Matching_Engine!$AE$32&lt;Brand_Profile!$D$43),"Audience Quality below Minimum Audience Quality",IF(AND(Brand_Profile!$D$44&gt;0,Matching_Engine!$AK$32&lt;Brand_Profile!$D$44),"Brand Safety below Minimum Brand Safety",IF(AND(Brand_Profile!$D$47="Yes",KOL_Database!$AD$31&lt;&gt;Brand_Profile!$D$19),"Audience Country does not match Target Country",IF(AND(Brand_Profile!$D$46="Yes",KOL_Database!$E$31&lt;&gt;Brand_Profile!$D$33),"Category is not the Preferred Category",IF(AND(Brand_Profile!$D$48&gt;0,Matching_Engine!$AL$32&gt;Brand_Profile!$D$48),"Competitor Saturation above Max Competitor Saturation",IF(AND(Brand_Profile!$D$50="Yes",KOL_Database!$AW$31="Yes"),"Already Selected",IF(AND(Brand_Profile!$D$51="Yes",KOL_Database!$AX$31="Yes"),"Already in Cart",IF(AND(Brand_Profile!$D$52="Yes",KOL_Database!$AY$31="Yes"),"Existing Partner",IF(AND(Brand_Profile!$D$53="Yes",KOL_Database!$AZ$31="Yes"),"Excluded Creator",IF(AND(Brand_Profile!$D$49&gt;0,Matching_Engine!$AP$32&lt;Brand_Profile!$D$49),"Brand Match below Minimum Brand Match","")))))))))))))))</f>
      </c>
      <c r="AX32" s="44">
        <f>IF(Matching_Engine!$AV$32="EXCLUDED","Excluded",IF(Matching_Engine!$AP$32&gt;=Lookup_Lists!$D$156,"Highly Recommended",IF(Matching_Engine!$AP$32&gt;=Lookup_Lists!$D$157,"Recommended",IF(Matching_Engine!$AP$32&gt;=Lookup_Lists!$D$158,"Consider","Low Priority"))))</f>
      </c>
      <c r="AY32" s="47">
        <f>IF(Matching_Engine!$AV$32="PASS",Matching_Engine!$AP$32,"")</f>
      </c>
      <c r="AZ32" s="44">
        <f>Matching_Engine!$A$32&amp;"|"&amp;Matching_Engine!$C$32</f>
      </c>
      <c r="BA32" s="44">
        <f>IFERROR(INDEX(Lookup_Lists!$B$51:$B$92,MATCH(Brand_Profile!$D$12,Lookup_Lists!$A$51:$A$92,0)),"")</f>
      </c>
      <c r="BB32" s="44">
        <f>IFERROR(INDEX(Lookup_Lists!$B$51:$B$92,MATCH(KOL_Database!$F$31,Lookup_Lists!$A$51:$A$92,0)),"")</f>
      </c>
      <c r="BC32" s="47">
        <f>IFERROR(INDEX(Lookup_Lists!$B$185:$O$198,MATCH(Matching_Engine!$BA$32,Lookup_Lists!$A$185:$A$198,0),MATCH(KOL_Database!$E$31,Lookup_Lists!$B$184:$O$184,0)),Lookup_Lists!$D$151)</f>
      </c>
      <c r="BD32" s="47">
        <f>IFERROR(INDEX(Lookup_Lists!$B$185:$O$198,MATCH(Brand_Profile!$D$33,Lookup_Lists!$A$185:$A$198,0),MATCH(KOL_Database!$E$31,Lookup_Lists!$B$184:$O$184,0)),Lookup_Lists!$D$151)</f>
      </c>
      <c r="BE32" s="44">
        <f>IFERROR(INDEX(Lookup_Lists!$B$51:$B$92,MATCH(Brand_Profile!$D$34,Lookup_Lists!$A$51:$A$92,0)),"")</f>
      </c>
      <c r="BF32" s="44">
        <f>KOL_Database!$AI$31&amp;", "&amp;KOL_Database!$AG$31&amp;", "&amp;KOL_Database!$F$31&amp;", "&amp;KOL_Database!$E$31</f>
      </c>
      <c r="BG32" s="44">
        <f>KOL_Database!$AI$31&amp;", "&amp;KOL_Database!$AG$31</f>
      </c>
    </row>
    <row r="33" spans="1:59" x14ac:dyDescent="0.25">
      <c r="A33" s="43" t="s">
        <v>71</v>
      </c>
      <c r="B33" s="44">
        <f>Brand_Profile!$D$9</f>
      </c>
      <c r="C33" s="44">
        <f>KOL_Database!$A$32</f>
      </c>
      <c r="D33" s="44">
        <f>KOL_Database!$B$32</f>
      </c>
      <c r="E33" s="44">
        <f>KOL_Database!$C$32</f>
      </c>
      <c r="F33" s="44">
        <f>KOL_Database!$D$32</f>
      </c>
      <c r="G33" s="44">
        <f>KOL_Database!$E$32</f>
      </c>
      <c r="H33" s="44">
        <f>KOL_Database!$G$32</f>
      </c>
      <c r="I33" s="45">
        <f>KOL_Database!$J$32</f>
      </c>
      <c r="J33" s="46">
        <f>KOL_Database!$K$32</f>
      </c>
      <c r="K33" s="47">
        <f>IFERROR(INDEX(Lookup_Lists!$B$170:$O$181,MATCH(Brand_Profile!$D$10,Lookup_Lists!$A$170:$A$181,0),MATCH(KOL_Database!$E$32,Lookup_Lists!$B$169:$O$169,0)),Lookup_Lists!$D$151)</f>
      </c>
      <c r="L33" s="47">
        <f>IF(KOL_Database!$F$32="",Matching_Engine!$BC$33,IF(Brand_Profile!$D$12=KOL_Database!$F$32,100,IF(Matching_Engine!$BA$33=KOL_Database!$E$32,80,IF(Matching_Engine!$BC$33&gt;=80,60,IF(Matching_Engine!$BC$33&gt;=60,40,Lookup_Lists!$D$151)))))</f>
      </c>
      <c r="M33" s="47">
        <f>ROUND((IF(Brand_Profile!$D$62=0,Lookup_Lists!$D$150,ROUND((IF(Brand_Profile!$D$57="",0,IF(ISNUMBER(SEARCH(Brand_Profile!$D$57,Matching_Engine!$BF$33)),1,0))+IF(Brand_Profile!$D$58="",0,IF(ISNUMBER(SEARCH(Brand_Profile!$D$58,Matching_Engine!$BF$33)),1,0))+IF(Brand_Profile!$D$59="",0,IF(ISNUMBER(SEARCH(Brand_Profile!$D$59,Matching_Engine!$BF$33)),1,0))+IF(Brand_Profile!$D$60="",0,IF(ISNUMBER(SEARCH(Brand_Profile!$D$60,Matching_Engine!$BF$33)),1,0))+IF(Brand_Profile!$D$61="",0,IF(ISNUMBER(SEARCH(Brand_Profile!$D$61,Matching_Engine!$BF$33)),1,0)))/Brand_Profile!$D$62*100,0))+IF(Brand_Profile!$D$74=0,Lookup_Lists!$D$150,ROUND((IF(Brand_Profile!$D$69="",0,IF(ISNUMBER(SEARCH(Brand_Profile!$D$69,Matching_Engine!$BF$33)),1,0))+IF(Brand_Profile!$D$70="",0,IF(ISNUMBER(SEARCH(Brand_Profile!$D$70,Matching_Engine!$BF$33)),1,0))+IF(Brand_Profile!$D$71="",0,IF(ISNUMBER(SEARCH(Brand_Profile!$D$71,Matching_Engine!$BF$33)),1,0))+IF(Brand_Profile!$D$72="",0,IF(ISNUMBER(SEARCH(Brand_Profile!$D$72,Matching_Engine!$BF$33)),1,0))+IF(Brand_Profile!$D$73="",0,IF(ISNUMBER(SEARCH(Brand_Profile!$D$73,Matching_Engine!$BF$33)),1,0)))/Brand_Profile!$D$74*100,0)))/2,0)</f>
      </c>
      <c r="N33" s="47">
        <f>ROUND((Matching_Engine!$K$33*Lookup_Lists!$D$110+Matching_Engine!$L$33*Lookup_Lists!$D$111+Matching_Engine!$M$33*Lookup_Lists!$D$112)/(Lookup_Lists!$D$110+Lookup_Lists!$D$111+Lookup_Lists!$D$112),0)</f>
      </c>
      <c r="O33" s="47">
        <f>IF(Brand_Profile!$D$16="",Lookup_Lists!$D$150,MIN(100,ROUND((IFERROR(INDEX(KOL_Database!$W$32:KOL_Database!$AA$32,1,MATCH(Brand_Profile!$D$16,Lookup_Lists!$F$6:$F$10,0)),0)+0.5*IFERROR(INDEX(KOL_Database!$W$32:KOL_Database!$AA$32,1,MATCH(Brand_Profile!$D$17,Lookup_Lists!$F$6:$F$10,0)),0))/Lookup_Lists!$D$142*100,0)))</f>
      </c>
      <c r="P33" s="47">
        <f>IF(OR(Brand_Profile!$D$18="",Brand_Profile!$D$18="Any"),100,IF(Brand_Profile!$D$18="Female",MIN(100,ROUND(KOL_Database!$AB$32/Lookup_Lists!$D$143*100,0)),IF(Brand_Profile!$D$18="Male",MIN(100,ROUND(KOL_Database!$AC$32/Lookup_Lists!$D$143*100,0)),MAX(0,ROUND(100-ABS(KOL_Database!$AB$32-50)*2,0)))))</f>
      </c>
      <c r="Q33" s="47">
        <f>ROUND((IF(Brand_Profile!$D$19="",100,IF(KOL_Database!$AD$32=Brand_Profile!$D$19,100,Lookup_Lists!$D$151))*Lookup_Lists!$D$118+IF(OR(Brand_Profile!$D$20="",Brand_Profile!$D$20="Nasional"),100,IF(KOL_Database!$AE$32="",Lookup_Lists!$D$150,IF(KOL_Database!$AE$32=Brand_Profile!$D$20,100,IF(KOL_Database!$AD$32=Brand_Profile!$D$19,40,Lookup_Lists!$D$151))))*Lookup_Lists!$D$119+IF(OR(Brand_Profile!$D$21="",Brand_Profile!$D$21="Nasional"),100,IF(KOL_Database!$AF$32="",Lookup_Lists!$D$150,IF(KOL_Database!$AF$32=Brand_Profile!$D$21,100,IF(KOL_Database!$AE$32=Brand_Profile!$D$20,60,Lookup_Lists!$D$151))))*Lookup_Lists!$D$120)/(Lookup_Lists!$D$118+Lookup_Lists!$D$119+Lookup_Lists!$D$120),0)</f>
      </c>
      <c r="R33" s="47">
        <f>IF(Brand_Profile!$D$68=0,Lookup_Lists!$D$150,ROUND((IF(Brand_Profile!$D$63="",0,IF(ISNUMBER(SEARCH(Brand_Profile!$D$63,KOL_Database!$AG$32)),1,0))+IF(Brand_Profile!$D$64="",0,IF(ISNUMBER(SEARCH(Brand_Profile!$D$64,KOL_Database!$AG$32)),1,0))+IF(Brand_Profile!$D$65="",0,IF(ISNUMBER(SEARCH(Brand_Profile!$D$65,KOL_Database!$AG$32)),1,0))+IF(Brand_Profile!$D$66="",0,IF(ISNUMBER(SEARCH(Brand_Profile!$D$66,KOL_Database!$AG$32)),1,0))+IF(Brand_Profile!$D$67="",0,IF(ISNUMBER(SEARCH(Brand_Profile!$D$67,KOL_Database!$AG$32)),1,0)))/Brand_Profile!$D$68*100,0))</f>
      </c>
      <c r="S33" s="47">
        <f>ROUND((Matching_Engine!$O$33*Brand_Profile!$D$96+Matching_Engine!$P$33*Brand_Profile!$D$97+Matching_Engine!$Q$33*Brand_Profile!$D$98+Matching_Engine!$R$33*Brand_Profile!$D$99)/MAX(1,Brand_Profile!$D$96+Brand_Profile!$D$97+Brand_Profile!$D$98+Brand_Profile!$D$99),0)</f>
      </c>
      <c r="T33" s="47">
        <f>IF(Brand_Profile!$D$33="",Lookup_Lists!$D$150,Matching_Engine!$BD$33)</f>
      </c>
      <c r="U33" s="47">
        <f>IF(Brand_Profile!$D$34="",Lookup_Lists!$D$150,IF(Brand_Profile!$D$34=KOL_Database!$F$32,100,IF(Matching_Engine!$BE$33=KOL_Database!$E$32,75,IF(Matching_Engine!$BD$33&gt;=80,Lookup_Lists!$D$150,IF(Matching_Engine!$BD$33&gt;=60,35,Lookup_Lists!$D$151)))))</f>
      </c>
      <c r="V33" s="47">
        <f>IF(Brand_Profile!$D$86=0,Lookup_Lists!$D$150,ROUND((IF(Brand_Profile!$D$81="",0,IF(ISNUMBER(SEARCH(Brand_Profile!$D$81,Matching_Engine!$BG$33)),1,0))+IF(Brand_Profile!$D$82="",0,IF(ISNUMBER(SEARCH(Brand_Profile!$D$82,Matching_Engine!$BG$33)),1,0))+IF(Brand_Profile!$D$83="",0,IF(ISNUMBER(SEARCH(Brand_Profile!$D$83,Matching_Engine!$BG$33)),1,0))+IF(Brand_Profile!$D$84="",0,IF(ISNUMBER(SEARCH(Brand_Profile!$D$84,Matching_Engine!$BG$33)),1,0))+IF(Brand_Profile!$D$85="",0,IF(ISNUMBER(SEARCH(Brand_Profile!$D$85,Matching_Engine!$BG$33)),1,0)))/Brand_Profile!$D$86*100,0))</f>
      </c>
      <c r="W33" s="47">
        <f>IF(Brand_Profile!$D$39="",Lookup_Lists!$D$150,IFERROR(INDEX(Lookup_Lists!$B$237:$K$246,MATCH(Brand_Profile!$D$39,Lookup_Lists!$A$237:$A$246,0),MATCH(KOL_Database!$AJ$32,Lookup_Lists!$B$236:$K$236,0)),45))</f>
      </c>
      <c r="X33" s="47">
        <f>ROUND((Matching_Engine!$T$33*Lookup_Lists!$D$121+Matching_Engine!$U$33*Lookup_Lists!$D$122+Matching_Engine!$V$33*Lookup_Lists!$D$123+Matching_Engine!$W$33*Lookup_Lists!$D$124)/(Lookup_Lists!$D$121+Lookup_Lists!$D$122+Lookup_Lists!$D$123+Lookup_Lists!$D$124),0)</f>
      </c>
      <c r="Y33" s="47">
        <f>MIN(100,MAX(IFERROR(INDEX(Lookup_Lists!$B$202:$M$211,MATCH(Brand_Profile!$D$25,Lookup_Lists!$A$202:$A$211,0),MATCH(KOL_Database!$AK$32,Lookup_Lists!$B$201:$M$201,0)),40),IF(KOL_Database!$AK$32=Brand_Profile!$D$41,95,0)))</f>
      </c>
      <c r="Z33" s="47">
        <f>IFERROR(INDEX(Lookup_Lists!$B$215:$K$222,MATCH(Brand_Profile!$D$27,Lookup_Lists!$A$215:$A$222,0),MATCH(KOL_Database!$AJ$32,Lookup_Lists!$B$214:$K$214,0)),45)</f>
      </c>
      <c r="AA33" s="47">
        <f>ROUND((IF(Brand_Profile!$D$80=0,Lookup_Lists!$D$150,ROUND((IF(Brand_Profile!$D$75="",0,IF(ISNUMBER(SEARCH(Brand_Profile!$D$75,KOL_Database!$AL$32)),1,0))+IF(Brand_Profile!$D$76="",0,IF(ISNUMBER(SEARCH(Brand_Profile!$D$76,KOL_Database!$AL$32)),1,0))+IF(Brand_Profile!$D$77="",0,IF(ISNUMBER(SEARCH(Brand_Profile!$D$77,KOL_Database!$AL$32)),1,0))+IF(Brand_Profile!$D$78="",0,IF(ISNUMBER(SEARCH(Brand_Profile!$D$78,KOL_Database!$AL$32)),1,0))+IF(Brand_Profile!$D$79="",0,IF(ISNUMBER(SEARCH(Brand_Profile!$D$79,KOL_Database!$AL$32)),1,0)))/Brand_Profile!$D$80*100,0))+IF(Brand_Profile!$D$92=0,Lookup_Lists!$D$150,ROUND((IF(Brand_Profile!$D$87="",0,IF(ISNUMBER(SEARCH(Brand_Profile!$D$87,KOL_Database!$AL$32)),1,0))+IF(Brand_Profile!$D$88="",0,IF(ISNUMBER(SEARCH(Brand_Profile!$D$88,KOL_Database!$AL$32)),1,0))+IF(Brand_Profile!$D$89="",0,IF(ISNUMBER(SEARCH(Brand_Profile!$D$89,KOL_Database!$AL$32)),1,0))+IF(Brand_Profile!$D$90="",0,IF(ISNUMBER(SEARCH(Brand_Profile!$D$90,KOL_Database!$AL$32)),1,0))+IF(Brand_Profile!$D$91="",0,IF(ISNUMBER(SEARCH(Brand_Profile!$D$91,KOL_Database!$AL$32)),1,0)))/Brand_Profile!$D$92*100,0)))/2,0)</f>
      </c>
      <c r="AB33" s="47">
        <f>IFERROR(INDEX(Lookup_Lists!$B$226:$K$233,MATCH(Brand_Profile!$D$30,Lookup_Lists!$A$226:$A$233,0),MATCH(KOL_Database!$AJ$32,Lookup_Lists!$B$225:$K$225,0)),45)</f>
      </c>
      <c r="AC33" s="47">
        <f>ROUND((Matching_Engine!$Y$33*Lookup_Lists!$D$125+Matching_Engine!$Z$33*Lookup_Lists!$D$126+Matching_Engine!$AA$33*Lookup_Lists!$D$127+Matching_Engine!$AB$33*Lookup_Lists!$D$128)/(Lookup_Lists!$D$125+Lookup_Lists!$D$126+Lookup_Lists!$D$127+Lookup_Lists!$D$128),0)</f>
      </c>
      <c r="AD33" s="47">
        <f>IF(KOL_Database!$K$32="",0,MIN(100,ROUND(KOL_Database!$K$32/Lookup_Lists!$D$141*100,0)))</f>
      </c>
      <c r="AE33" s="47">
        <f>IF(KOL_Database!$R$32="",0,MIN(100,MAX(0,KOL_Database!$R$32)))</f>
      </c>
      <c r="AF33" s="47">
        <f>IF(KOL_Database!$P$32="",0,MIN(100,MAX(0,KOL_Database!$P$32)))</f>
      </c>
      <c r="AG33" s="47">
        <f>IF(KOL_Database!$Q$32="",0,MIN(100,MAX(0,KOL_Database!$Q$32)))</f>
      </c>
      <c r="AH33" s="47">
        <f>IF(OR(KOL_Database!$J$32="",KOL_Database!$J$32=0,KOL_Database!$L$32=""),0,MIN(100,ROUND(KOL_Database!$L$32/KOL_Database!$J$32/Lookup_Lists!$D$144*100,0)))</f>
      </c>
      <c r="AI33" s="47">
        <f>IF(KOL_Database!$N$32="",0,MIN(100,MAX(0,ROUND((KOL_Database!$N$32+2)/(Lookup_Lists!$D$145+2)*100,0))))</f>
      </c>
      <c r="AJ33" s="47">
        <f>ROUND((Matching_Engine!$AD$33*Lookup_Lists!$D$129+Matching_Engine!$AE$33*Lookup_Lists!$D$130+Matching_Engine!$AF$33*Lookup_Lists!$D$131+Matching_Engine!$AG$33*Lookup_Lists!$D$132+Matching_Engine!$AH$33*Lookup_Lists!$D$133+Matching_Engine!$AI$33*Lookup_Lists!$D$134)/(Lookup_Lists!$D$129+Lookup_Lists!$D$130+Lookup_Lists!$D$131+Lookup_Lists!$D$132+Lookup_Lists!$D$133+Lookup_Lists!$D$134),0)</f>
      </c>
      <c r="AK33" s="47">
        <f>IF(KOL_Database!$AT$32="",0,MIN(100,MAX(0,KOL_Database!$AT$32)))</f>
      </c>
      <c r="AL33" s="47">
        <f>IF(KOL_Database!$AU$32="",0,KOL_Database!$AU$32)</f>
      </c>
      <c r="AM33" s="44">
        <f>IF(KOL_Database!$AV$32="","None",KOL_Database!$AV$32)</f>
      </c>
      <c r="AN33" s="48">
        <f>IF(Matching_Engine!$AM$33="High",Lookup_Lists!$D$137,IF(Matching_Engine!$AM$33="Medium",Lookup_Lists!$D$138,IF(Matching_Engine!$AM$33="Low",Lookup_Lists!$D$139,Lookup_Lists!$D$140)))</f>
      </c>
      <c r="AO33" s="47">
        <f>ROUND(MIN(100,MAX(0,(Matching_Engine!$AK$33*Lookup_Lists!$D$135+(100-Matching_Engine!$AL$33)*Lookup_Lists!$D$136)/(Lookup_Lists!$D$135+Lookup_Lists!$D$136)*Matching_Engine!$AN$33)),0)</f>
      </c>
      <c r="AP33" s="49">
        <f>ROUND((Matching_Engine!$N$33*Lookup_Lists!$D$104+Matching_Engine!$S$33*Lookup_Lists!$D$105+Matching_Engine!$X$33*Lookup_Lists!$D$106+Matching_Engine!$AC$33*Lookup_Lists!$D$107+Matching_Engine!$AJ$33*Lookup_Lists!$D$108+Matching_Engine!$AO$33*Lookup_Lists!$D$109)/MAX(1,(Lookup_Lists!$D$104+Lookup_Lists!$D$105+Lookup_Lists!$D$106+Lookup_Lists!$D$107+Lookup_Lists!$D$108+Lookup_Lists!$D$109)),0)</f>
      </c>
      <c r="AQ33" s="44">
        <f>IF(Matching_Engine!$AP$33&gt;=Lookup_Lists!$D$152,"Excellent Match",IF(Matching_Engine!$AP$33&gt;=Lookup_Lists!$D$153,"Strong Match",IF(Matching_Engine!$AP$33&gt;=Lookup_Lists!$D$154,"Good Match",IF(Matching_Engine!$AP$33&gt;=Lookup_Lists!$D$155,"Moderate Match","Low Match"))))</f>
      </c>
      <c r="AR33" s="47">
        <f>KOL_Database!$BE$32</f>
      </c>
      <c r="AS33" s="44">
        <f>IF(Matching_Engine!$AR$33&gt;=Lookup_Lists!$D$159,"High",IF(Matching_Engine!$AR$33&gt;=Lookup_Lists!$D$160,"Medium","Limited Data"))</f>
      </c>
      <c r="AT33" s="47">
        <f>ROUND((Matching_Engine!$N$33+Matching_Engine!$X$33+Matching_Engine!$AC$33)/3,0)</f>
      </c>
      <c r="AU33" s="47">
        <f>ROUND(((100-Matching_Engine!$AL$33)*Lookup_Lists!$D$162+IF(KOL_Database!$BD$32="",Lookup_Lists!$D$150,KOL_Database!$BD$32)*Lookup_Lists!$D$163+Matching_Engine!$AI$33*Lookup_Lists!$D$164+Matching_Engine!$AD$33*Lookup_Lists!$D$165)/(Lookup_Lists!$D$162+Lookup_Lists!$D$163+Lookup_Lists!$D$164+Lookup_Lists!$D$165),0)</f>
      </c>
      <c r="AV33" s="44">
        <f>IF(Matching_Engine!$AW$33="","PASS","EXCLUDED")</f>
      </c>
      <c r="AW33" s="44">
        <f>IF(ISERROR(SEARCH(KOL_Database!$D$32,Brand_Profile!$D$32)),"Platform not in Preferred Platform",IF(AND(Brand_Profile!$D$36&gt;0,KOL_Database!$J$32&lt;Brand_Profile!$D$36),"Followers below Preferred Follower Range",IF(AND(Brand_Profile!$D$37&gt;0,KOL_Database!$J$32&gt;Brand_Profile!$D$37),"Followers above Preferred Follower Range",IF(AND(Brand_Profile!$D$38&gt;0,IF(KOL_Database!$K$32="",0,KOL_Database!$K$32)&lt;Brand_Profile!$D$38),"Engagement Rate below Minimum Engagement Rate",IF(ISERROR(SEARCH(KOL_Database!$G$32,Brand_Profile!$D$35)),"Tier not in Preferred Tier",IF(AND(Brand_Profile!$D$43&gt;0,Matching_Engine!$AE$33&lt;Brand_Profile!$D$43),"Audience Quality below Minimum Audience Quality",IF(AND(Brand_Profile!$D$44&gt;0,Matching_Engine!$AK$33&lt;Brand_Profile!$D$44),"Brand Safety below Minimum Brand Safety",IF(AND(Brand_Profile!$D$47="Yes",KOL_Database!$AD$32&lt;&gt;Brand_Profile!$D$19),"Audience Country does not match Target Country",IF(AND(Brand_Profile!$D$46="Yes",KOL_Database!$E$32&lt;&gt;Brand_Profile!$D$33),"Category is not the Preferred Category",IF(AND(Brand_Profile!$D$48&gt;0,Matching_Engine!$AL$33&gt;Brand_Profile!$D$48),"Competitor Saturation above Max Competitor Saturation",IF(AND(Brand_Profile!$D$50="Yes",KOL_Database!$AW$32="Yes"),"Already Selected",IF(AND(Brand_Profile!$D$51="Yes",KOL_Database!$AX$32="Yes"),"Already in Cart",IF(AND(Brand_Profile!$D$52="Yes",KOL_Database!$AY$32="Yes"),"Existing Partner",IF(AND(Brand_Profile!$D$53="Yes",KOL_Database!$AZ$32="Yes"),"Excluded Creator",IF(AND(Brand_Profile!$D$49&gt;0,Matching_Engine!$AP$33&lt;Brand_Profile!$D$49),"Brand Match below Minimum Brand Match","")))))))))))))))</f>
      </c>
      <c r="AX33" s="44">
        <f>IF(Matching_Engine!$AV$33="EXCLUDED","Excluded",IF(Matching_Engine!$AP$33&gt;=Lookup_Lists!$D$156,"Highly Recommended",IF(Matching_Engine!$AP$33&gt;=Lookup_Lists!$D$157,"Recommended",IF(Matching_Engine!$AP$33&gt;=Lookup_Lists!$D$158,"Consider","Low Priority"))))</f>
      </c>
      <c r="AY33" s="47">
        <f>IF(Matching_Engine!$AV$33="PASS",Matching_Engine!$AP$33,"")</f>
      </c>
      <c r="AZ33" s="44">
        <f>Matching_Engine!$A$33&amp;"|"&amp;Matching_Engine!$C$33</f>
      </c>
      <c r="BA33" s="44">
        <f>IFERROR(INDEX(Lookup_Lists!$B$51:$B$92,MATCH(Brand_Profile!$D$12,Lookup_Lists!$A$51:$A$92,0)),"")</f>
      </c>
      <c r="BB33" s="44">
        <f>IFERROR(INDEX(Lookup_Lists!$B$51:$B$92,MATCH(KOL_Database!$F$32,Lookup_Lists!$A$51:$A$92,0)),"")</f>
      </c>
      <c r="BC33" s="47">
        <f>IFERROR(INDEX(Lookup_Lists!$B$185:$O$198,MATCH(Matching_Engine!$BA$33,Lookup_Lists!$A$185:$A$198,0),MATCH(KOL_Database!$E$32,Lookup_Lists!$B$184:$O$184,0)),Lookup_Lists!$D$151)</f>
      </c>
      <c r="BD33" s="47">
        <f>IFERROR(INDEX(Lookup_Lists!$B$185:$O$198,MATCH(Brand_Profile!$D$33,Lookup_Lists!$A$185:$A$198,0),MATCH(KOL_Database!$E$32,Lookup_Lists!$B$184:$O$184,0)),Lookup_Lists!$D$151)</f>
      </c>
      <c r="BE33" s="44">
        <f>IFERROR(INDEX(Lookup_Lists!$B$51:$B$92,MATCH(Brand_Profile!$D$34,Lookup_Lists!$A$51:$A$92,0)),"")</f>
      </c>
      <c r="BF33" s="44">
        <f>KOL_Database!$AI$32&amp;", "&amp;KOL_Database!$AG$32&amp;", "&amp;KOL_Database!$F$32&amp;", "&amp;KOL_Database!$E$32</f>
      </c>
      <c r="BG33" s="44">
        <f>KOL_Database!$AI$32&amp;", "&amp;KOL_Database!$AG$32</f>
      </c>
    </row>
    <row r="34" spans="1:59" x14ac:dyDescent="0.25">
      <c r="A34" s="43" t="s">
        <v>71</v>
      </c>
      <c r="B34" s="44">
        <f>Brand_Profile!$D$9</f>
      </c>
      <c r="C34" s="44">
        <f>KOL_Database!$A$33</f>
      </c>
      <c r="D34" s="44">
        <f>KOL_Database!$B$33</f>
      </c>
      <c r="E34" s="44">
        <f>KOL_Database!$C$33</f>
      </c>
      <c r="F34" s="44">
        <f>KOL_Database!$D$33</f>
      </c>
      <c r="G34" s="44">
        <f>KOL_Database!$E$33</f>
      </c>
      <c r="H34" s="44">
        <f>KOL_Database!$G$33</f>
      </c>
      <c r="I34" s="45">
        <f>KOL_Database!$J$33</f>
      </c>
      <c r="J34" s="46">
        <f>KOL_Database!$K$33</f>
      </c>
      <c r="K34" s="47">
        <f>IFERROR(INDEX(Lookup_Lists!$B$170:$O$181,MATCH(Brand_Profile!$D$10,Lookup_Lists!$A$170:$A$181,0),MATCH(KOL_Database!$E$33,Lookup_Lists!$B$169:$O$169,0)),Lookup_Lists!$D$151)</f>
      </c>
      <c r="L34" s="47">
        <f>IF(KOL_Database!$F$33="",Matching_Engine!$BC$34,IF(Brand_Profile!$D$12=KOL_Database!$F$33,100,IF(Matching_Engine!$BA$34=KOL_Database!$E$33,80,IF(Matching_Engine!$BC$34&gt;=80,60,IF(Matching_Engine!$BC$34&gt;=60,40,Lookup_Lists!$D$151)))))</f>
      </c>
      <c r="M34" s="47">
        <f>ROUND((IF(Brand_Profile!$D$62=0,Lookup_Lists!$D$150,ROUND((IF(Brand_Profile!$D$57="",0,IF(ISNUMBER(SEARCH(Brand_Profile!$D$57,Matching_Engine!$BF$34)),1,0))+IF(Brand_Profile!$D$58="",0,IF(ISNUMBER(SEARCH(Brand_Profile!$D$58,Matching_Engine!$BF$34)),1,0))+IF(Brand_Profile!$D$59="",0,IF(ISNUMBER(SEARCH(Brand_Profile!$D$59,Matching_Engine!$BF$34)),1,0))+IF(Brand_Profile!$D$60="",0,IF(ISNUMBER(SEARCH(Brand_Profile!$D$60,Matching_Engine!$BF$34)),1,0))+IF(Brand_Profile!$D$61="",0,IF(ISNUMBER(SEARCH(Brand_Profile!$D$61,Matching_Engine!$BF$34)),1,0)))/Brand_Profile!$D$62*100,0))+IF(Brand_Profile!$D$74=0,Lookup_Lists!$D$150,ROUND((IF(Brand_Profile!$D$69="",0,IF(ISNUMBER(SEARCH(Brand_Profile!$D$69,Matching_Engine!$BF$34)),1,0))+IF(Brand_Profile!$D$70="",0,IF(ISNUMBER(SEARCH(Brand_Profile!$D$70,Matching_Engine!$BF$34)),1,0))+IF(Brand_Profile!$D$71="",0,IF(ISNUMBER(SEARCH(Brand_Profile!$D$71,Matching_Engine!$BF$34)),1,0))+IF(Brand_Profile!$D$72="",0,IF(ISNUMBER(SEARCH(Brand_Profile!$D$72,Matching_Engine!$BF$34)),1,0))+IF(Brand_Profile!$D$73="",0,IF(ISNUMBER(SEARCH(Brand_Profile!$D$73,Matching_Engine!$BF$34)),1,0)))/Brand_Profile!$D$74*100,0)))/2,0)</f>
      </c>
      <c r="N34" s="47">
        <f>ROUND((Matching_Engine!$K$34*Lookup_Lists!$D$110+Matching_Engine!$L$34*Lookup_Lists!$D$111+Matching_Engine!$M$34*Lookup_Lists!$D$112)/(Lookup_Lists!$D$110+Lookup_Lists!$D$111+Lookup_Lists!$D$112),0)</f>
      </c>
      <c r="O34" s="47">
        <f>IF(Brand_Profile!$D$16="",Lookup_Lists!$D$150,MIN(100,ROUND((IFERROR(INDEX(KOL_Database!$W$33:KOL_Database!$AA$33,1,MATCH(Brand_Profile!$D$16,Lookup_Lists!$F$6:$F$10,0)),0)+0.5*IFERROR(INDEX(KOL_Database!$W$33:KOL_Database!$AA$33,1,MATCH(Brand_Profile!$D$17,Lookup_Lists!$F$6:$F$10,0)),0))/Lookup_Lists!$D$142*100,0)))</f>
      </c>
      <c r="P34" s="47">
        <f>IF(OR(Brand_Profile!$D$18="",Brand_Profile!$D$18="Any"),100,IF(Brand_Profile!$D$18="Female",MIN(100,ROUND(KOL_Database!$AB$33/Lookup_Lists!$D$143*100,0)),IF(Brand_Profile!$D$18="Male",MIN(100,ROUND(KOL_Database!$AC$33/Lookup_Lists!$D$143*100,0)),MAX(0,ROUND(100-ABS(KOL_Database!$AB$33-50)*2,0)))))</f>
      </c>
      <c r="Q34" s="47">
        <f>ROUND((IF(Brand_Profile!$D$19="",100,IF(KOL_Database!$AD$33=Brand_Profile!$D$19,100,Lookup_Lists!$D$151))*Lookup_Lists!$D$118+IF(OR(Brand_Profile!$D$20="",Brand_Profile!$D$20="Nasional"),100,IF(KOL_Database!$AE$33="",Lookup_Lists!$D$150,IF(KOL_Database!$AE$33=Brand_Profile!$D$20,100,IF(KOL_Database!$AD$33=Brand_Profile!$D$19,40,Lookup_Lists!$D$151))))*Lookup_Lists!$D$119+IF(OR(Brand_Profile!$D$21="",Brand_Profile!$D$21="Nasional"),100,IF(KOL_Database!$AF$33="",Lookup_Lists!$D$150,IF(KOL_Database!$AF$33=Brand_Profile!$D$21,100,IF(KOL_Database!$AE$33=Brand_Profile!$D$20,60,Lookup_Lists!$D$151))))*Lookup_Lists!$D$120)/(Lookup_Lists!$D$118+Lookup_Lists!$D$119+Lookup_Lists!$D$120),0)</f>
      </c>
      <c r="R34" s="47">
        <f>IF(Brand_Profile!$D$68=0,Lookup_Lists!$D$150,ROUND((IF(Brand_Profile!$D$63="",0,IF(ISNUMBER(SEARCH(Brand_Profile!$D$63,KOL_Database!$AG$33)),1,0))+IF(Brand_Profile!$D$64="",0,IF(ISNUMBER(SEARCH(Brand_Profile!$D$64,KOL_Database!$AG$33)),1,0))+IF(Brand_Profile!$D$65="",0,IF(ISNUMBER(SEARCH(Brand_Profile!$D$65,KOL_Database!$AG$33)),1,0))+IF(Brand_Profile!$D$66="",0,IF(ISNUMBER(SEARCH(Brand_Profile!$D$66,KOL_Database!$AG$33)),1,0))+IF(Brand_Profile!$D$67="",0,IF(ISNUMBER(SEARCH(Brand_Profile!$D$67,KOL_Database!$AG$33)),1,0)))/Brand_Profile!$D$68*100,0))</f>
      </c>
      <c r="S34" s="47">
        <f>ROUND((Matching_Engine!$O$34*Brand_Profile!$D$96+Matching_Engine!$P$34*Brand_Profile!$D$97+Matching_Engine!$Q$34*Brand_Profile!$D$98+Matching_Engine!$R$34*Brand_Profile!$D$99)/MAX(1,Brand_Profile!$D$96+Brand_Profile!$D$97+Brand_Profile!$D$98+Brand_Profile!$D$99),0)</f>
      </c>
      <c r="T34" s="47">
        <f>IF(Brand_Profile!$D$33="",Lookup_Lists!$D$150,Matching_Engine!$BD$34)</f>
      </c>
      <c r="U34" s="47">
        <f>IF(Brand_Profile!$D$34="",Lookup_Lists!$D$150,IF(Brand_Profile!$D$34=KOL_Database!$F$33,100,IF(Matching_Engine!$BE$34=KOL_Database!$E$33,75,IF(Matching_Engine!$BD$34&gt;=80,Lookup_Lists!$D$150,IF(Matching_Engine!$BD$34&gt;=60,35,Lookup_Lists!$D$151)))))</f>
      </c>
      <c r="V34" s="47">
        <f>IF(Brand_Profile!$D$86=0,Lookup_Lists!$D$150,ROUND((IF(Brand_Profile!$D$81="",0,IF(ISNUMBER(SEARCH(Brand_Profile!$D$81,Matching_Engine!$BG$34)),1,0))+IF(Brand_Profile!$D$82="",0,IF(ISNUMBER(SEARCH(Brand_Profile!$D$82,Matching_Engine!$BG$34)),1,0))+IF(Brand_Profile!$D$83="",0,IF(ISNUMBER(SEARCH(Brand_Profile!$D$83,Matching_Engine!$BG$34)),1,0))+IF(Brand_Profile!$D$84="",0,IF(ISNUMBER(SEARCH(Brand_Profile!$D$84,Matching_Engine!$BG$34)),1,0))+IF(Brand_Profile!$D$85="",0,IF(ISNUMBER(SEARCH(Brand_Profile!$D$85,Matching_Engine!$BG$34)),1,0)))/Brand_Profile!$D$86*100,0))</f>
      </c>
      <c r="W34" s="47">
        <f>IF(Brand_Profile!$D$39="",Lookup_Lists!$D$150,IFERROR(INDEX(Lookup_Lists!$B$237:$K$246,MATCH(Brand_Profile!$D$39,Lookup_Lists!$A$237:$A$246,0),MATCH(KOL_Database!$AJ$33,Lookup_Lists!$B$236:$K$236,0)),45))</f>
      </c>
      <c r="X34" s="47">
        <f>ROUND((Matching_Engine!$T$34*Lookup_Lists!$D$121+Matching_Engine!$U$34*Lookup_Lists!$D$122+Matching_Engine!$V$34*Lookup_Lists!$D$123+Matching_Engine!$W$34*Lookup_Lists!$D$124)/(Lookup_Lists!$D$121+Lookup_Lists!$D$122+Lookup_Lists!$D$123+Lookup_Lists!$D$124),0)</f>
      </c>
      <c r="Y34" s="47">
        <f>MIN(100,MAX(IFERROR(INDEX(Lookup_Lists!$B$202:$M$211,MATCH(Brand_Profile!$D$25,Lookup_Lists!$A$202:$A$211,0),MATCH(KOL_Database!$AK$33,Lookup_Lists!$B$201:$M$201,0)),40),IF(KOL_Database!$AK$33=Brand_Profile!$D$41,95,0)))</f>
      </c>
      <c r="Z34" s="47">
        <f>IFERROR(INDEX(Lookup_Lists!$B$215:$K$222,MATCH(Brand_Profile!$D$27,Lookup_Lists!$A$215:$A$222,0),MATCH(KOL_Database!$AJ$33,Lookup_Lists!$B$214:$K$214,0)),45)</f>
      </c>
      <c r="AA34" s="47">
        <f>ROUND((IF(Brand_Profile!$D$80=0,Lookup_Lists!$D$150,ROUND((IF(Brand_Profile!$D$75="",0,IF(ISNUMBER(SEARCH(Brand_Profile!$D$75,KOL_Database!$AL$33)),1,0))+IF(Brand_Profile!$D$76="",0,IF(ISNUMBER(SEARCH(Brand_Profile!$D$76,KOL_Database!$AL$33)),1,0))+IF(Brand_Profile!$D$77="",0,IF(ISNUMBER(SEARCH(Brand_Profile!$D$77,KOL_Database!$AL$33)),1,0))+IF(Brand_Profile!$D$78="",0,IF(ISNUMBER(SEARCH(Brand_Profile!$D$78,KOL_Database!$AL$33)),1,0))+IF(Brand_Profile!$D$79="",0,IF(ISNUMBER(SEARCH(Brand_Profile!$D$79,KOL_Database!$AL$33)),1,0)))/Brand_Profile!$D$80*100,0))+IF(Brand_Profile!$D$92=0,Lookup_Lists!$D$150,ROUND((IF(Brand_Profile!$D$87="",0,IF(ISNUMBER(SEARCH(Brand_Profile!$D$87,KOL_Database!$AL$33)),1,0))+IF(Brand_Profile!$D$88="",0,IF(ISNUMBER(SEARCH(Brand_Profile!$D$88,KOL_Database!$AL$33)),1,0))+IF(Brand_Profile!$D$89="",0,IF(ISNUMBER(SEARCH(Brand_Profile!$D$89,KOL_Database!$AL$33)),1,0))+IF(Brand_Profile!$D$90="",0,IF(ISNUMBER(SEARCH(Brand_Profile!$D$90,KOL_Database!$AL$33)),1,0))+IF(Brand_Profile!$D$91="",0,IF(ISNUMBER(SEARCH(Brand_Profile!$D$91,KOL_Database!$AL$33)),1,0)))/Brand_Profile!$D$92*100,0)))/2,0)</f>
      </c>
      <c r="AB34" s="47">
        <f>IFERROR(INDEX(Lookup_Lists!$B$226:$K$233,MATCH(Brand_Profile!$D$30,Lookup_Lists!$A$226:$A$233,0),MATCH(KOL_Database!$AJ$33,Lookup_Lists!$B$225:$K$225,0)),45)</f>
      </c>
      <c r="AC34" s="47">
        <f>ROUND((Matching_Engine!$Y$34*Lookup_Lists!$D$125+Matching_Engine!$Z$34*Lookup_Lists!$D$126+Matching_Engine!$AA$34*Lookup_Lists!$D$127+Matching_Engine!$AB$34*Lookup_Lists!$D$128)/(Lookup_Lists!$D$125+Lookup_Lists!$D$126+Lookup_Lists!$D$127+Lookup_Lists!$D$128),0)</f>
      </c>
      <c r="AD34" s="47">
        <f>IF(KOL_Database!$K$33="",0,MIN(100,ROUND(KOL_Database!$K$33/Lookup_Lists!$D$141*100,0)))</f>
      </c>
      <c r="AE34" s="47">
        <f>IF(KOL_Database!$R$33="",0,MIN(100,MAX(0,KOL_Database!$R$33)))</f>
      </c>
      <c r="AF34" s="47">
        <f>IF(KOL_Database!$P$33="",0,MIN(100,MAX(0,KOL_Database!$P$33)))</f>
      </c>
      <c r="AG34" s="47">
        <f>IF(KOL_Database!$Q$33="",0,MIN(100,MAX(0,KOL_Database!$Q$33)))</f>
      </c>
      <c r="AH34" s="47">
        <f>IF(OR(KOL_Database!$J$33="",KOL_Database!$J$33=0,KOL_Database!$L$33=""),0,MIN(100,ROUND(KOL_Database!$L$33/KOL_Database!$J$33/Lookup_Lists!$D$144*100,0)))</f>
      </c>
      <c r="AI34" s="47">
        <f>IF(KOL_Database!$N$33="",0,MIN(100,MAX(0,ROUND((KOL_Database!$N$33+2)/(Lookup_Lists!$D$145+2)*100,0))))</f>
      </c>
      <c r="AJ34" s="47">
        <f>ROUND((Matching_Engine!$AD$34*Lookup_Lists!$D$129+Matching_Engine!$AE$34*Lookup_Lists!$D$130+Matching_Engine!$AF$34*Lookup_Lists!$D$131+Matching_Engine!$AG$34*Lookup_Lists!$D$132+Matching_Engine!$AH$34*Lookup_Lists!$D$133+Matching_Engine!$AI$34*Lookup_Lists!$D$134)/(Lookup_Lists!$D$129+Lookup_Lists!$D$130+Lookup_Lists!$D$131+Lookup_Lists!$D$132+Lookup_Lists!$D$133+Lookup_Lists!$D$134),0)</f>
      </c>
      <c r="AK34" s="47">
        <f>IF(KOL_Database!$AT$33="",0,MIN(100,MAX(0,KOL_Database!$AT$33)))</f>
      </c>
      <c r="AL34" s="47">
        <f>IF(KOL_Database!$AU$33="",0,KOL_Database!$AU$33)</f>
      </c>
      <c r="AM34" s="44">
        <f>IF(KOL_Database!$AV$33="","None",KOL_Database!$AV$33)</f>
      </c>
      <c r="AN34" s="48">
        <f>IF(Matching_Engine!$AM$34="High",Lookup_Lists!$D$137,IF(Matching_Engine!$AM$34="Medium",Lookup_Lists!$D$138,IF(Matching_Engine!$AM$34="Low",Lookup_Lists!$D$139,Lookup_Lists!$D$140)))</f>
      </c>
      <c r="AO34" s="47">
        <f>ROUND(MIN(100,MAX(0,(Matching_Engine!$AK$34*Lookup_Lists!$D$135+(100-Matching_Engine!$AL$34)*Lookup_Lists!$D$136)/(Lookup_Lists!$D$135+Lookup_Lists!$D$136)*Matching_Engine!$AN$34)),0)</f>
      </c>
      <c r="AP34" s="49">
        <f>ROUND((Matching_Engine!$N$34*Lookup_Lists!$D$104+Matching_Engine!$S$34*Lookup_Lists!$D$105+Matching_Engine!$X$34*Lookup_Lists!$D$106+Matching_Engine!$AC$34*Lookup_Lists!$D$107+Matching_Engine!$AJ$34*Lookup_Lists!$D$108+Matching_Engine!$AO$34*Lookup_Lists!$D$109)/MAX(1,(Lookup_Lists!$D$104+Lookup_Lists!$D$105+Lookup_Lists!$D$106+Lookup_Lists!$D$107+Lookup_Lists!$D$108+Lookup_Lists!$D$109)),0)</f>
      </c>
      <c r="AQ34" s="44">
        <f>IF(Matching_Engine!$AP$34&gt;=Lookup_Lists!$D$152,"Excellent Match",IF(Matching_Engine!$AP$34&gt;=Lookup_Lists!$D$153,"Strong Match",IF(Matching_Engine!$AP$34&gt;=Lookup_Lists!$D$154,"Good Match",IF(Matching_Engine!$AP$34&gt;=Lookup_Lists!$D$155,"Moderate Match","Low Match"))))</f>
      </c>
      <c r="AR34" s="47">
        <f>KOL_Database!$BE$33</f>
      </c>
      <c r="AS34" s="44">
        <f>IF(Matching_Engine!$AR$34&gt;=Lookup_Lists!$D$159,"High",IF(Matching_Engine!$AR$34&gt;=Lookup_Lists!$D$160,"Medium","Limited Data"))</f>
      </c>
      <c r="AT34" s="47">
        <f>ROUND((Matching_Engine!$N$34+Matching_Engine!$X$34+Matching_Engine!$AC$34)/3,0)</f>
      </c>
      <c r="AU34" s="47">
        <f>ROUND(((100-Matching_Engine!$AL$34)*Lookup_Lists!$D$162+IF(KOL_Database!$BD$33="",Lookup_Lists!$D$150,KOL_Database!$BD$33)*Lookup_Lists!$D$163+Matching_Engine!$AI$34*Lookup_Lists!$D$164+Matching_Engine!$AD$34*Lookup_Lists!$D$165)/(Lookup_Lists!$D$162+Lookup_Lists!$D$163+Lookup_Lists!$D$164+Lookup_Lists!$D$165),0)</f>
      </c>
      <c r="AV34" s="44">
        <f>IF(Matching_Engine!$AW$34="","PASS","EXCLUDED")</f>
      </c>
      <c r="AW34" s="44">
        <f>IF(ISERROR(SEARCH(KOL_Database!$D$33,Brand_Profile!$D$32)),"Platform not in Preferred Platform",IF(AND(Brand_Profile!$D$36&gt;0,KOL_Database!$J$33&lt;Brand_Profile!$D$36),"Followers below Preferred Follower Range",IF(AND(Brand_Profile!$D$37&gt;0,KOL_Database!$J$33&gt;Brand_Profile!$D$37),"Followers above Preferred Follower Range",IF(AND(Brand_Profile!$D$38&gt;0,IF(KOL_Database!$K$33="",0,KOL_Database!$K$33)&lt;Brand_Profile!$D$38),"Engagement Rate below Minimum Engagement Rate",IF(ISERROR(SEARCH(KOL_Database!$G$33,Brand_Profile!$D$35)),"Tier not in Preferred Tier",IF(AND(Brand_Profile!$D$43&gt;0,Matching_Engine!$AE$34&lt;Brand_Profile!$D$43),"Audience Quality below Minimum Audience Quality",IF(AND(Brand_Profile!$D$44&gt;0,Matching_Engine!$AK$34&lt;Brand_Profile!$D$44),"Brand Safety below Minimum Brand Safety",IF(AND(Brand_Profile!$D$47="Yes",KOL_Database!$AD$33&lt;&gt;Brand_Profile!$D$19),"Audience Country does not match Target Country",IF(AND(Brand_Profile!$D$46="Yes",KOL_Database!$E$33&lt;&gt;Brand_Profile!$D$33),"Category is not the Preferred Category",IF(AND(Brand_Profile!$D$48&gt;0,Matching_Engine!$AL$34&gt;Brand_Profile!$D$48),"Competitor Saturation above Max Competitor Saturation",IF(AND(Brand_Profile!$D$50="Yes",KOL_Database!$AW$33="Yes"),"Already Selected",IF(AND(Brand_Profile!$D$51="Yes",KOL_Database!$AX$33="Yes"),"Already in Cart",IF(AND(Brand_Profile!$D$52="Yes",KOL_Database!$AY$33="Yes"),"Existing Partner",IF(AND(Brand_Profile!$D$53="Yes",KOL_Database!$AZ$33="Yes"),"Excluded Creator",IF(AND(Brand_Profile!$D$49&gt;0,Matching_Engine!$AP$34&lt;Brand_Profile!$D$49),"Brand Match below Minimum Brand Match","")))))))))))))))</f>
      </c>
      <c r="AX34" s="44">
        <f>IF(Matching_Engine!$AV$34="EXCLUDED","Excluded",IF(Matching_Engine!$AP$34&gt;=Lookup_Lists!$D$156,"Highly Recommended",IF(Matching_Engine!$AP$34&gt;=Lookup_Lists!$D$157,"Recommended",IF(Matching_Engine!$AP$34&gt;=Lookup_Lists!$D$158,"Consider","Low Priority"))))</f>
      </c>
      <c r="AY34" s="47">
        <f>IF(Matching_Engine!$AV$34="PASS",Matching_Engine!$AP$34,"")</f>
      </c>
      <c r="AZ34" s="44">
        <f>Matching_Engine!$A$34&amp;"|"&amp;Matching_Engine!$C$34</f>
      </c>
      <c r="BA34" s="44">
        <f>IFERROR(INDEX(Lookup_Lists!$B$51:$B$92,MATCH(Brand_Profile!$D$12,Lookup_Lists!$A$51:$A$92,0)),"")</f>
      </c>
      <c r="BB34" s="44">
        <f>IFERROR(INDEX(Lookup_Lists!$B$51:$B$92,MATCH(KOL_Database!$F$33,Lookup_Lists!$A$51:$A$92,0)),"")</f>
      </c>
      <c r="BC34" s="47">
        <f>IFERROR(INDEX(Lookup_Lists!$B$185:$O$198,MATCH(Matching_Engine!$BA$34,Lookup_Lists!$A$185:$A$198,0),MATCH(KOL_Database!$E$33,Lookup_Lists!$B$184:$O$184,0)),Lookup_Lists!$D$151)</f>
      </c>
      <c r="BD34" s="47">
        <f>IFERROR(INDEX(Lookup_Lists!$B$185:$O$198,MATCH(Brand_Profile!$D$33,Lookup_Lists!$A$185:$A$198,0),MATCH(KOL_Database!$E$33,Lookup_Lists!$B$184:$O$184,0)),Lookup_Lists!$D$151)</f>
      </c>
      <c r="BE34" s="44">
        <f>IFERROR(INDEX(Lookup_Lists!$B$51:$B$92,MATCH(Brand_Profile!$D$34,Lookup_Lists!$A$51:$A$92,0)),"")</f>
      </c>
      <c r="BF34" s="44">
        <f>KOL_Database!$AI$33&amp;", "&amp;KOL_Database!$AG$33&amp;", "&amp;KOL_Database!$F$33&amp;", "&amp;KOL_Database!$E$33</f>
      </c>
      <c r="BG34" s="44">
        <f>KOL_Database!$AI$33&amp;", "&amp;KOL_Database!$AG$33</f>
      </c>
    </row>
    <row r="35" spans="1:59" x14ac:dyDescent="0.25">
      <c r="A35" s="43" t="s">
        <v>71</v>
      </c>
      <c r="B35" s="44">
        <f>Brand_Profile!$D$9</f>
      </c>
      <c r="C35" s="44">
        <f>KOL_Database!$A$34</f>
      </c>
      <c r="D35" s="44">
        <f>KOL_Database!$B$34</f>
      </c>
      <c r="E35" s="44">
        <f>KOL_Database!$C$34</f>
      </c>
      <c r="F35" s="44">
        <f>KOL_Database!$D$34</f>
      </c>
      <c r="G35" s="44">
        <f>KOL_Database!$E$34</f>
      </c>
      <c r="H35" s="44">
        <f>KOL_Database!$G$34</f>
      </c>
      <c r="I35" s="45">
        <f>KOL_Database!$J$34</f>
      </c>
      <c r="J35" s="46">
        <f>KOL_Database!$K$34</f>
      </c>
      <c r="K35" s="47">
        <f>IFERROR(INDEX(Lookup_Lists!$B$170:$O$181,MATCH(Brand_Profile!$D$10,Lookup_Lists!$A$170:$A$181,0),MATCH(KOL_Database!$E$34,Lookup_Lists!$B$169:$O$169,0)),Lookup_Lists!$D$151)</f>
      </c>
      <c r="L35" s="47">
        <f>IF(KOL_Database!$F$34="",Matching_Engine!$BC$35,IF(Brand_Profile!$D$12=KOL_Database!$F$34,100,IF(Matching_Engine!$BA$35=KOL_Database!$E$34,80,IF(Matching_Engine!$BC$35&gt;=80,60,IF(Matching_Engine!$BC$35&gt;=60,40,Lookup_Lists!$D$151)))))</f>
      </c>
      <c r="M35" s="47">
        <f>ROUND((IF(Brand_Profile!$D$62=0,Lookup_Lists!$D$150,ROUND((IF(Brand_Profile!$D$57="",0,IF(ISNUMBER(SEARCH(Brand_Profile!$D$57,Matching_Engine!$BF$35)),1,0))+IF(Brand_Profile!$D$58="",0,IF(ISNUMBER(SEARCH(Brand_Profile!$D$58,Matching_Engine!$BF$35)),1,0))+IF(Brand_Profile!$D$59="",0,IF(ISNUMBER(SEARCH(Brand_Profile!$D$59,Matching_Engine!$BF$35)),1,0))+IF(Brand_Profile!$D$60="",0,IF(ISNUMBER(SEARCH(Brand_Profile!$D$60,Matching_Engine!$BF$35)),1,0))+IF(Brand_Profile!$D$61="",0,IF(ISNUMBER(SEARCH(Brand_Profile!$D$61,Matching_Engine!$BF$35)),1,0)))/Brand_Profile!$D$62*100,0))+IF(Brand_Profile!$D$74=0,Lookup_Lists!$D$150,ROUND((IF(Brand_Profile!$D$69="",0,IF(ISNUMBER(SEARCH(Brand_Profile!$D$69,Matching_Engine!$BF$35)),1,0))+IF(Brand_Profile!$D$70="",0,IF(ISNUMBER(SEARCH(Brand_Profile!$D$70,Matching_Engine!$BF$35)),1,0))+IF(Brand_Profile!$D$71="",0,IF(ISNUMBER(SEARCH(Brand_Profile!$D$71,Matching_Engine!$BF$35)),1,0))+IF(Brand_Profile!$D$72="",0,IF(ISNUMBER(SEARCH(Brand_Profile!$D$72,Matching_Engine!$BF$35)),1,0))+IF(Brand_Profile!$D$73="",0,IF(ISNUMBER(SEARCH(Brand_Profile!$D$73,Matching_Engine!$BF$35)),1,0)))/Brand_Profile!$D$74*100,0)))/2,0)</f>
      </c>
      <c r="N35" s="47">
        <f>ROUND((Matching_Engine!$K$35*Lookup_Lists!$D$110+Matching_Engine!$L$35*Lookup_Lists!$D$111+Matching_Engine!$M$35*Lookup_Lists!$D$112)/(Lookup_Lists!$D$110+Lookup_Lists!$D$111+Lookup_Lists!$D$112),0)</f>
      </c>
      <c r="O35" s="47">
        <f>IF(Brand_Profile!$D$16="",Lookup_Lists!$D$150,MIN(100,ROUND((IFERROR(INDEX(KOL_Database!$W$34:KOL_Database!$AA$34,1,MATCH(Brand_Profile!$D$16,Lookup_Lists!$F$6:$F$10,0)),0)+0.5*IFERROR(INDEX(KOL_Database!$W$34:KOL_Database!$AA$34,1,MATCH(Brand_Profile!$D$17,Lookup_Lists!$F$6:$F$10,0)),0))/Lookup_Lists!$D$142*100,0)))</f>
      </c>
      <c r="P35" s="47">
        <f>IF(OR(Brand_Profile!$D$18="",Brand_Profile!$D$18="Any"),100,IF(Brand_Profile!$D$18="Female",MIN(100,ROUND(KOL_Database!$AB$34/Lookup_Lists!$D$143*100,0)),IF(Brand_Profile!$D$18="Male",MIN(100,ROUND(KOL_Database!$AC$34/Lookup_Lists!$D$143*100,0)),MAX(0,ROUND(100-ABS(KOL_Database!$AB$34-50)*2,0)))))</f>
      </c>
      <c r="Q35" s="47">
        <f>ROUND((IF(Brand_Profile!$D$19="",100,IF(KOL_Database!$AD$34=Brand_Profile!$D$19,100,Lookup_Lists!$D$151))*Lookup_Lists!$D$118+IF(OR(Brand_Profile!$D$20="",Brand_Profile!$D$20="Nasional"),100,IF(KOL_Database!$AE$34="",Lookup_Lists!$D$150,IF(KOL_Database!$AE$34=Brand_Profile!$D$20,100,IF(KOL_Database!$AD$34=Brand_Profile!$D$19,40,Lookup_Lists!$D$151))))*Lookup_Lists!$D$119+IF(OR(Brand_Profile!$D$21="",Brand_Profile!$D$21="Nasional"),100,IF(KOL_Database!$AF$34="",Lookup_Lists!$D$150,IF(KOL_Database!$AF$34=Brand_Profile!$D$21,100,IF(KOL_Database!$AE$34=Brand_Profile!$D$20,60,Lookup_Lists!$D$151))))*Lookup_Lists!$D$120)/(Lookup_Lists!$D$118+Lookup_Lists!$D$119+Lookup_Lists!$D$120),0)</f>
      </c>
      <c r="R35" s="47">
        <f>IF(Brand_Profile!$D$68=0,Lookup_Lists!$D$150,ROUND((IF(Brand_Profile!$D$63="",0,IF(ISNUMBER(SEARCH(Brand_Profile!$D$63,KOL_Database!$AG$34)),1,0))+IF(Brand_Profile!$D$64="",0,IF(ISNUMBER(SEARCH(Brand_Profile!$D$64,KOL_Database!$AG$34)),1,0))+IF(Brand_Profile!$D$65="",0,IF(ISNUMBER(SEARCH(Brand_Profile!$D$65,KOL_Database!$AG$34)),1,0))+IF(Brand_Profile!$D$66="",0,IF(ISNUMBER(SEARCH(Brand_Profile!$D$66,KOL_Database!$AG$34)),1,0))+IF(Brand_Profile!$D$67="",0,IF(ISNUMBER(SEARCH(Brand_Profile!$D$67,KOL_Database!$AG$34)),1,0)))/Brand_Profile!$D$68*100,0))</f>
      </c>
      <c r="S35" s="47">
        <f>ROUND((Matching_Engine!$O$35*Brand_Profile!$D$96+Matching_Engine!$P$35*Brand_Profile!$D$97+Matching_Engine!$Q$35*Brand_Profile!$D$98+Matching_Engine!$R$35*Brand_Profile!$D$99)/MAX(1,Brand_Profile!$D$96+Brand_Profile!$D$97+Brand_Profile!$D$98+Brand_Profile!$D$99),0)</f>
      </c>
      <c r="T35" s="47">
        <f>IF(Brand_Profile!$D$33="",Lookup_Lists!$D$150,Matching_Engine!$BD$35)</f>
      </c>
      <c r="U35" s="47">
        <f>IF(Brand_Profile!$D$34="",Lookup_Lists!$D$150,IF(Brand_Profile!$D$34=KOL_Database!$F$34,100,IF(Matching_Engine!$BE$35=KOL_Database!$E$34,75,IF(Matching_Engine!$BD$35&gt;=80,Lookup_Lists!$D$150,IF(Matching_Engine!$BD$35&gt;=60,35,Lookup_Lists!$D$151)))))</f>
      </c>
      <c r="V35" s="47">
        <f>IF(Brand_Profile!$D$86=0,Lookup_Lists!$D$150,ROUND((IF(Brand_Profile!$D$81="",0,IF(ISNUMBER(SEARCH(Brand_Profile!$D$81,Matching_Engine!$BG$35)),1,0))+IF(Brand_Profile!$D$82="",0,IF(ISNUMBER(SEARCH(Brand_Profile!$D$82,Matching_Engine!$BG$35)),1,0))+IF(Brand_Profile!$D$83="",0,IF(ISNUMBER(SEARCH(Brand_Profile!$D$83,Matching_Engine!$BG$35)),1,0))+IF(Brand_Profile!$D$84="",0,IF(ISNUMBER(SEARCH(Brand_Profile!$D$84,Matching_Engine!$BG$35)),1,0))+IF(Brand_Profile!$D$85="",0,IF(ISNUMBER(SEARCH(Brand_Profile!$D$85,Matching_Engine!$BG$35)),1,0)))/Brand_Profile!$D$86*100,0))</f>
      </c>
      <c r="W35" s="47">
        <f>IF(Brand_Profile!$D$39="",Lookup_Lists!$D$150,IFERROR(INDEX(Lookup_Lists!$B$237:$K$246,MATCH(Brand_Profile!$D$39,Lookup_Lists!$A$237:$A$246,0),MATCH(KOL_Database!$AJ$34,Lookup_Lists!$B$236:$K$236,0)),45))</f>
      </c>
      <c r="X35" s="47">
        <f>ROUND((Matching_Engine!$T$35*Lookup_Lists!$D$121+Matching_Engine!$U$35*Lookup_Lists!$D$122+Matching_Engine!$V$35*Lookup_Lists!$D$123+Matching_Engine!$W$35*Lookup_Lists!$D$124)/(Lookup_Lists!$D$121+Lookup_Lists!$D$122+Lookup_Lists!$D$123+Lookup_Lists!$D$124),0)</f>
      </c>
      <c r="Y35" s="47">
        <f>MIN(100,MAX(IFERROR(INDEX(Lookup_Lists!$B$202:$M$211,MATCH(Brand_Profile!$D$25,Lookup_Lists!$A$202:$A$211,0),MATCH(KOL_Database!$AK$34,Lookup_Lists!$B$201:$M$201,0)),40),IF(KOL_Database!$AK$34=Brand_Profile!$D$41,95,0)))</f>
      </c>
      <c r="Z35" s="47">
        <f>IFERROR(INDEX(Lookup_Lists!$B$215:$K$222,MATCH(Brand_Profile!$D$27,Lookup_Lists!$A$215:$A$222,0),MATCH(KOL_Database!$AJ$34,Lookup_Lists!$B$214:$K$214,0)),45)</f>
      </c>
      <c r="AA35" s="47">
        <f>ROUND((IF(Brand_Profile!$D$80=0,Lookup_Lists!$D$150,ROUND((IF(Brand_Profile!$D$75="",0,IF(ISNUMBER(SEARCH(Brand_Profile!$D$75,KOL_Database!$AL$34)),1,0))+IF(Brand_Profile!$D$76="",0,IF(ISNUMBER(SEARCH(Brand_Profile!$D$76,KOL_Database!$AL$34)),1,0))+IF(Brand_Profile!$D$77="",0,IF(ISNUMBER(SEARCH(Brand_Profile!$D$77,KOL_Database!$AL$34)),1,0))+IF(Brand_Profile!$D$78="",0,IF(ISNUMBER(SEARCH(Brand_Profile!$D$78,KOL_Database!$AL$34)),1,0))+IF(Brand_Profile!$D$79="",0,IF(ISNUMBER(SEARCH(Brand_Profile!$D$79,KOL_Database!$AL$34)),1,0)))/Brand_Profile!$D$80*100,0))+IF(Brand_Profile!$D$92=0,Lookup_Lists!$D$150,ROUND((IF(Brand_Profile!$D$87="",0,IF(ISNUMBER(SEARCH(Brand_Profile!$D$87,KOL_Database!$AL$34)),1,0))+IF(Brand_Profile!$D$88="",0,IF(ISNUMBER(SEARCH(Brand_Profile!$D$88,KOL_Database!$AL$34)),1,0))+IF(Brand_Profile!$D$89="",0,IF(ISNUMBER(SEARCH(Brand_Profile!$D$89,KOL_Database!$AL$34)),1,0))+IF(Brand_Profile!$D$90="",0,IF(ISNUMBER(SEARCH(Brand_Profile!$D$90,KOL_Database!$AL$34)),1,0))+IF(Brand_Profile!$D$91="",0,IF(ISNUMBER(SEARCH(Brand_Profile!$D$91,KOL_Database!$AL$34)),1,0)))/Brand_Profile!$D$92*100,0)))/2,0)</f>
      </c>
      <c r="AB35" s="47">
        <f>IFERROR(INDEX(Lookup_Lists!$B$226:$K$233,MATCH(Brand_Profile!$D$30,Lookup_Lists!$A$226:$A$233,0),MATCH(KOL_Database!$AJ$34,Lookup_Lists!$B$225:$K$225,0)),45)</f>
      </c>
      <c r="AC35" s="47">
        <f>ROUND((Matching_Engine!$Y$35*Lookup_Lists!$D$125+Matching_Engine!$Z$35*Lookup_Lists!$D$126+Matching_Engine!$AA$35*Lookup_Lists!$D$127+Matching_Engine!$AB$35*Lookup_Lists!$D$128)/(Lookup_Lists!$D$125+Lookup_Lists!$D$126+Lookup_Lists!$D$127+Lookup_Lists!$D$128),0)</f>
      </c>
      <c r="AD35" s="47">
        <f>IF(KOL_Database!$K$34="",0,MIN(100,ROUND(KOL_Database!$K$34/Lookup_Lists!$D$141*100,0)))</f>
      </c>
      <c r="AE35" s="47">
        <f>IF(KOL_Database!$R$34="",0,MIN(100,MAX(0,KOL_Database!$R$34)))</f>
      </c>
      <c r="AF35" s="47">
        <f>IF(KOL_Database!$P$34="",0,MIN(100,MAX(0,KOL_Database!$P$34)))</f>
      </c>
      <c r="AG35" s="47">
        <f>IF(KOL_Database!$Q$34="",0,MIN(100,MAX(0,KOL_Database!$Q$34)))</f>
      </c>
      <c r="AH35" s="47">
        <f>IF(OR(KOL_Database!$J$34="",KOL_Database!$J$34=0,KOL_Database!$L$34=""),0,MIN(100,ROUND(KOL_Database!$L$34/KOL_Database!$J$34/Lookup_Lists!$D$144*100,0)))</f>
      </c>
      <c r="AI35" s="47">
        <f>IF(KOL_Database!$N$34="",0,MIN(100,MAX(0,ROUND((KOL_Database!$N$34+2)/(Lookup_Lists!$D$145+2)*100,0))))</f>
      </c>
      <c r="AJ35" s="47">
        <f>ROUND((Matching_Engine!$AD$35*Lookup_Lists!$D$129+Matching_Engine!$AE$35*Lookup_Lists!$D$130+Matching_Engine!$AF$35*Lookup_Lists!$D$131+Matching_Engine!$AG$35*Lookup_Lists!$D$132+Matching_Engine!$AH$35*Lookup_Lists!$D$133+Matching_Engine!$AI$35*Lookup_Lists!$D$134)/(Lookup_Lists!$D$129+Lookup_Lists!$D$130+Lookup_Lists!$D$131+Lookup_Lists!$D$132+Lookup_Lists!$D$133+Lookup_Lists!$D$134),0)</f>
      </c>
      <c r="AK35" s="47">
        <f>IF(KOL_Database!$AT$34="",0,MIN(100,MAX(0,KOL_Database!$AT$34)))</f>
      </c>
      <c r="AL35" s="47">
        <f>IF(KOL_Database!$AU$34="",0,KOL_Database!$AU$34)</f>
      </c>
      <c r="AM35" s="44">
        <f>IF(KOL_Database!$AV$34="","None",KOL_Database!$AV$34)</f>
      </c>
      <c r="AN35" s="48">
        <f>IF(Matching_Engine!$AM$35="High",Lookup_Lists!$D$137,IF(Matching_Engine!$AM$35="Medium",Lookup_Lists!$D$138,IF(Matching_Engine!$AM$35="Low",Lookup_Lists!$D$139,Lookup_Lists!$D$140)))</f>
      </c>
      <c r="AO35" s="47">
        <f>ROUND(MIN(100,MAX(0,(Matching_Engine!$AK$35*Lookup_Lists!$D$135+(100-Matching_Engine!$AL$35)*Lookup_Lists!$D$136)/(Lookup_Lists!$D$135+Lookup_Lists!$D$136)*Matching_Engine!$AN$35)),0)</f>
      </c>
      <c r="AP35" s="49">
        <f>ROUND((Matching_Engine!$N$35*Lookup_Lists!$D$104+Matching_Engine!$S$35*Lookup_Lists!$D$105+Matching_Engine!$X$35*Lookup_Lists!$D$106+Matching_Engine!$AC$35*Lookup_Lists!$D$107+Matching_Engine!$AJ$35*Lookup_Lists!$D$108+Matching_Engine!$AO$35*Lookup_Lists!$D$109)/MAX(1,(Lookup_Lists!$D$104+Lookup_Lists!$D$105+Lookup_Lists!$D$106+Lookup_Lists!$D$107+Lookup_Lists!$D$108+Lookup_Lists!$D$109)),0)</f>
      </c>
      <c r="AQ35" s="44">
        <f>IF(Matching_Engine!$AP$35&gt;=Lookup_Lists!$D$152,"Excellent Match",IF(Matching_Engine!$AP$35&gt;=Lookup_Lists!$D$153,"Strong Match",IF(Matching_Engine!$AP$35&gt;=Lookup_Lists!$D$154,"Good Match",IF(Matching_Engine!$AP$35&gt;=Lookup_Lists!$D$155,"Moderate Match","Low Match"))))</f>
      </c>
      <c r="AR35" s="47">
        <f>KOL_Database!$BE$34</f>
      </c>
      <c r="AS35" s="44">
        <f>IF(Matching_Engine!$AR$35&gt;=Lookup_Lists!$D$159,"High",IF(Matching_Engine!$AR$35&gt;=Lookup_Lists!$D$160,"Medium","Limited Data"))</f>
      </c>
      <c r="AT35" s="47">
        <f>ROUND((Matching_Engine!$N$35+Matching_Engine!$X$35+Matching_Engine!$AC$35)/3,0)</f>
      </c>
      <c r="AU35" s="47">
        <f>ROUND(((100-Matching_Engine!$AL$35)*Lookup_Lists!$D$162+IF(KOL_Database!$BD$34="",Lookup_Lists!$D$150,KOL_Database!$BD$34)*Lookup_Lists!$D$163+Matching_Engine!$AI$35*Lookup_Lists!$D$164+Matching_Engine!$AD$35*Lookup_Lists!$D$165)/(Lookup_Lists!$D$162+Lookup_Lists!$D$163+Lookup_Lists!$D$164+Lookup_Lists!$D$165),0)</f>
      </c>
      <c r="AV35" s="44">
        <f>IF(Matching_Engine!$AW$35="","PASS","EXCLUDED")</f>
      </c>
      <c r="AW35" s="44">
        <f>IF(ISERROR(SEARCH(KOL_Database!$D$34,Brand_Profile!$D$32)),"Platform not in Preferred Platform",IF(AND(Brand_Profile!$D$36&gt;0,KOL_Database!$J$34&lt;Brand_Profile!$D$36),"Followers below Preferred Follower Range",IF(AND(Brand_Profile!$D$37&gt;0,KOL_Database!$J$34&gt;Brand_Profile!$D$37),"Followers above Preferred Follower Range",IF(AND(Brand_Profile!$D$38&gt;0,IF(KOL_Database!$K$34="",0,KOL_Database!$K$34)&lt;Brand_Profile!$D$38),"Engagement Rate below Minimum Engagement Rate",IF(ISERROR(SEARCH(KOL_Database!$G$34,Brand_Profile!$D$35)),"Tier not in Preferred Tier",IF(AND(Brand_Profile!$D$43&gt;0,Matching_Engine!$AE$35&lt;Brand_Profile!$D$43),"Audience Quality below Minimum Audience Quality",IF(AND(Brand_Profile!$D$44&gt;0,Matching_Engine!$AK$35&lt;Brand_Profile!$D$44),"Brand Safety below Minimum Brand Safety",IF(AND(Brand_Profile!$D$47="Yes",KOL_Database!$AD$34&lt;&gt;Brand_Profile!$D$19),"Audience Country does not match Target Country",IF(AND(Brand_Profile!$D$46="Yes",KOL_Database!$E$34&lt;&gt;Brand_Profile!$D$33),"Category is not the Preferred Category",IF(AND(Brand_Profile!$D$48&gt;0,Matching_Engine!$AL$35&gt;Brand_Profile!$D$48),"Competitor Saturation above Max Competitor Saturation",IF(AND(Brand_Profile!$D$50="Yes",KOL_Database!$AW$34="Yes"),"Already Selected",IF(AND(Brand_Profile!$D$51="Yes",KOL_Database!$AX$34="Yes"),"Already in Cart",IF(AND(Brand_Profile!$D$52="Yes",KOL_Database!$AY$34="Yes"),"Existing Partner",IF(AND(Brand_Profile!$D$53="Yes",KOL_Database!$AZ$34="Yes"),"Excluded Creator",IF(AND(Brand_Profile!$D$49&gt;0,Matching_Engine!$AP$35&lt;Brand_Profile!$D$49),"Brand Match below Minimum Brand Match","")))))))))))))))</f>
      </c>
      <c r="AX35" s="44">
        <f>IF(Matching_Engine!$AV$35="EXCLUDED","Excluded",IF(Matching_Engine!$AP$35&gt;=Lookup_Lists!$D$156,"Highly Recommended",IF(Matching_Engine!$AP$35&gt;=Lookup_Lists!$D$157,"Recommended",IF(Matching_Engine!$AP$35&gt;=Lookup_Lists!$D$158,"Consider","Low Priority"))))</f>
      </c>
      <c r="AY35" s="47">
        <f>IF(Matching_Engine!$AV$35="PASS",Matching_Engine!$AP$35,"")</f>
      </c>
      <c r="AZ35" s="44">
        <f>Matching_Engine!$A$35&amp;"|"&amp;Matching_Engine!$C$35</f>
      </c>
      <c r="BA35" s="44">
        <f>IFERROR(INDEX(Lookup_Lists!$B$51:$B$92,MATCH(Brand_Profile!$D$12,Lookup_Lists!$A$51:$A$92,0)),"")</f>
      </c>
      <c r="BB35" s="44">
        <f>IFERROR(INDEX(Lookup_Lists!$B$51:$B$92,MATCH(KOL_Database!$F$34,Lookup_Lists!$A$51:$A$92,0)),"")</f>
      </c>
      <c r="BC35" s="47">
        <f>IFERROR(INDEX(Lookup_Lists!$B$185:$O$198,MATCH(Matching_Engine!$BA$35,Lookup_Lists!$A$185:$A$198,0),MATCH(KOL_Database!$E$34,Lookup_Lists!$B$184:$O$184,0)),Lookup_Lists!$D$151)</f>
      </c>
      <c r="BD35" s="47">
        <f>IFERROR(INDEX(Lookup_Lists!$B$185:$O$198,MATCH(Brand_Profile!$D$33,Lookup_Lists!$A$185:$A$198,0),MATCH(KOL_Database!$E$34,Lookup_Lists!$B$184:$O$184,0)),Lookup_Lists!$D$151)</f>
      </c>
      <c r="BE35" s="44">
        <f>IFERROR(INDEX(Lookup_Lists!$B$51:$B$92,MATCH(Brand_Profile!$D$34,Lookup_Lists!$A$51:$A$92,0)),"")</f>
      </c>
      <c r="BF35" s="44">
        <f>KOL_Database!$AI$34&amp;", "&amp;KOL_Database!$AG$34&amp;", "&amp;KOL_Database!$F$34&amp;", "&amp;KOL_Database!$E$34</f>
      </c>
      <c r="BG35" s="44">
        <f>KOL_Database!$AI$34&amp;", "&amp;KOL_Database!$AG$34</f>
      </c>
    </row>
    <row r="36" spans="1:59" x14ac:dyDescent="0.25">
      <c r="A36" s="43" t="s">
        <v>76</v>
      </c>
      <c r="B36" s="44">
        <f>Brand_Profile!$E$9</f>
      </c>
      <c r="C36" s="44">
        <f>KOL_Database!$A$5</f>
      </c>
      <c r="D36" s="44">
        <f>KOL_Database!$B$5</f>
      </c>
      <c r="E36" s="44">
        <f>KOL_Database!$C$5</f>
      </c>
      <c r="F36" s="44">
        <f>KOL_Database!$D$5</f>
      </c>
      <c r="G36" s="44">
        <f>KOL_Database!$E$5</f>
      </c>
      <c r="H36" s="44">
        <f>KOL_Database!$G$5</f>
      </c>
      <c r="I36" s="45">
        <f>KOL_Database!$J$5</f>
      </c>
      <c r="J36" s="46">
        <f>KOL_Database!$K$5</f>
      </c>
      <c r="K36" s="47">
        <f>IFERROR(INDEX(Lookup_Lists!$B$170:$O$181,MATCH(Brand_Profile!$E$10,Lookup_Lists!$A$170:$A$181,0),MATCH(KOL_Database!$E$5,Lookup_Lists!$B$169:$O$169,0)),Lookup_Lists!$D$151)</f>
      </c>
      <c r="L36" s="47">
        <f>IF(KOL_Database!$F$5="",Matching_Engine!$BC$36,IF(Brand_Profile!$E$12=KOL_Database!$F$5,100,IF(Matching_Engine!$BA$36=KOL_Database!$E$5,80,IF(Matching_Engine!$BC$36&gt;=80,60,IF(Matching_Engine!$BC$36&gt;=60,40,Lookup_Lists!$D$151)))))</f>
      </c>
      <c r="M36" s="47">
        <f>ROUND((IF(Brand_Profile!$E$62=0,Lookup_Lists!$D$150,ROUND((IF(Brand_Profile!$E$57="",0,IF(ISNUMBER(SEARCH(Brand_Profile!$E$57,Matching_Engine!$BF$36)),1,0))+IF(Brand_Profile!$E$58="",0,IF(ISNUMBER(SEARCH(Brand_Profile!$E$58,Matching_Engine!$BF$36)),1,0))+IF(Brand_Profile!$E$59="",0,IF(ISNUMBER(SEARCH(Brand_Profile!$E$59,Matching_Engine!$BF$36)),1,0))+IF(Brand_Profile!$E$60="",0,IF(ISNUMBER(SEARCH(Brand_Profile!$E$60,Matching_Engine!$BF$36)),1,0))+IF(Brand_Profile!$E$61="",0,IF(ISNUMBER(SEARCH(Brand_Profile!$E$61,Matching_Engine!$BF$36)),1,0)))/Brand_Profile!$E$62*100,0))+IF(Brand_Profile!$E$74=0,Lookup_Lists!$D$150,ROUND((IF(Brand_Profile!$E$69="",0,IF(ISNUMBER(SEARCH(Brand_Profile!$E$69,Matching_Engine!$BF$36)),1,0))+IF(Brand_Profile!$E$70="",0,IF(ISNUMBER(SEARCH(Brand_Profile!$E$70,Matching_Engine!$BF$36)),1,0))+IF(Brand_Profile!$E$71="",0,IF(ISNUMBER(SEARCH(Brand_Profile!$E$71,Matching_Engine!$BF$36)),1,0))+IF(Brand_Profile!$E$72="",0,IF(ISNUMBER(SEARCH(Brand_Profile!$E$72,Matching_Engine!$BF$36)),1,0))+IF(Brand_Profile!$E$73="",0,IF(ISNUMBER(SEARCH(Brand_Profile!$E$73,Matching_Engine!$BF$36)),1,0)))/Brand_Profile!$E$74*100,0)))/2,0)</f>
      </c>
      <c r="N36" s="47">
        <f>ROUND((Matching_Engine!$K$36*Lookup_Lists!$D$110+Matching_Engine!$L$36*Lookup_Lists!$D$111+Matching_Engine!$M$36*Lookup_Lists!$D$112)/(Lookup_Lists!$D$110+Lookup_Lists!$D$111+Lookup_Lists!$D$112),0)</f>
      </c>
      <c r="O36" s="47">
        <f>IF(Brand_Profile!$E$16="",Lookup_Lists!$D$150,MIN(100,ROUND((IFERROR(INDEX(KOL_Database!$W$5:KOL_Database!$AA$5,1,MATCH(Brand_Profile!$E$16,Lookup_Lists!$F$6:$F$10,0)),0)+0.5*IFERROR(INDEX(KOL_Database!$W$5:KOL_Database!$AA$5,1,MATCH(Brand_Profile!$E$17,Lookup_Lists!$F$6:$F$10,0)),0))/Lookup_Lists!$D$142*100,0)))</f>
      </c>
      <c r="P36" s="47">
        <f>IF(OR(Brand_Profile!$E$18="",Brand_Profile!$E$18="Any"),100,IF(Brand_Profile!$E$18="Female",MIN(100,ROUND(KOL_Database!$AB$5/Lookup_Lists!$D$143*100,0)),IF(Brand_Profile!$E$18="Male",MIN(100,ROUND(KOL_Database!$AC$5/Lookup_Lists!$D$143*100,0)),MAX(0,ROUND(100-ABS(KOL_Database!$AB$5-50)*2,0)))))</f>
      </c>
      <c r="Q36" s="47">
        <f>ROUND((IF(Brand_Profile!$E$19="",100,IF(KOL_Database!$AD$5=Brand_Profile!$E$19,100,Lookup_Lists!$D$151))*Lookup_Lists!$D$118+IF(OR(Brand_Profile!$E$20="",Brand_Profile!$E$20="Nasional"),100,IF(KOL_Database!$AE$5="",Lookup_Lists!$D$150,IF(KOL_Database!$AE$5=Brand_Profile!$E$20,100,IF(KOL_Database!$AD$5=Brand_Profile!$E$19,40,Lookup_Lists!$D$151))))*Lookup_Lists!$D$119+IF(OR(Brand_Profile!$E$21="",Brand_Profile!$E$21="Nasional"),100,IF(KOL_Database!$AF$5="",Lookup_Lists!$D$150,IF(KOL_Database!$AF$5=Brand_Profile!$E$21,100,IF(KOL_Database!$AE$5=Brand_Profile!$E$20,60,Lookup_Lists!$D$151))))*Lookup_Lists!$D$120)/(Lookup_Lists!$D$118+Lookup_Lists!$D$119+Lookup_Lists!$D$120),0)</f>
      </c>
      <c r="R36" s="47">
        <f>IF(Brand_Profile!$E$68=0,Lookup_Lists!$D$150,ROUND((IF(Brand_Profile!$E$63="",0,IF(ISNUMBER(SEARCH(Brand_Profile!$E$63,KOL_Database!$AG$5)),1,0))+IF(Brand_Profile!$E$64="",0,IF(ISNUMBER(SEARCH(Brand_Profile!$E$64,KOL_Database!$AG$5)),1,0))+IF(Brand_Profile!$E$65="",0,IF(ISNUMBER(SEARCH(Brand_Profile!$E$65,KOL_Database!$AG$5)),1,0))+IF(Brand_Profile!$E$66="",0,IF(ISNUMBER(SEARCH(Brand_Profile!$E$66,KOL_Database!$AG$5)),1,0))+IF(Brand_Profile!$E$67="",0,IF(ISNUMBER(SEARCH(Brand_Profile!$E$67,KOL_Database!$AG$5)),1,0)))/Brand_Profile!$E$68*100,0))</f>
      </c>
      <c r="S36" s="47">
        <f>ROUND((Matching_Engine!$O$36*Brand_Profile!$E$96+Matching_Engine!$P$36*Brand_Profile!$E$97+Matching_Engine!$Q$36*Brand_Profile!$E$98+Matching_Engine!$R$36*Brand_Profile!$E$99)/MAX(1,Brand_Profile!$E$96+Brand_Profile!$E$97+Brand_Profile!$E$98+Brand_Profile!$E$99),0)</f>
      </c>
      <c r="T36" s="47">
        <f>IF(Brand_Profile!$E$33="",Lookup_Lists!$D$150,Matching_Engine!$BD$36)</f>
      </c>
      <c r="U36" s="47">
        <f>IF(Brand_Profile!$E$34="",Lookup_Lists!$D$150,IF(Brand_Profile!$E$34=KOL_Database!$F$5,100,IF(Matching_Engine!$BE$36=KOL_Database!$E$5,75,IF(Matching_Engine!$BD$36&gt;=80,Lookup_Lists!$D$150,IF(Matching_Engine!$BD$36&gt;=60,35,Lookup_Lists!$D$151)))))</f>
      </c>
      <c r="V36" s="47">
        <f>IF(Brand_Profile!$E$86=0,Lookup_Lists!$D$150,ROUND((IF(Brand_Profile!$E$81="",0,IF(ISNUMBER(SEARCH(Brand_Profile!$E$81,Matching_Engine!$BG$36)),1,0))+IF(Brand_Profile!$E$82="",0,IF(ISNUMBER(SEARCH(Brand_Profile!$E$82,Matching_Engine!$BG$36)),1,0))+IF(Brand_Profile!$E$83="",0,IF(ISNUMBER(SEARCH(Brand_Profile!$E$83,Matching_Engine!$BG$36)),1,0))+IF(Brand_Profile!$E$84="",0,IF(ISNUMBER(SEARCH(Brand_Profile!$E$84,Matching_Engine!$BG$36)),1,0))+IF(Brand_Profile!$E$85="",0,IF(ISNUMBER(SEARCH(Brand_Profile!$E$85,Matching_Engine!$BG$36)),1,0)))/Brand_Profile!$E$86*100,0))</f>
      </c>
      <c r="W36" s="47">
        <f>IF(Brand_Profile!$E$39="",Lookup_Lists!$D$150,IFERROR(INDEX(Lookup_Lists!$B$237:$K$246,MATCH(Brand_Profile!$E$39,Lookup_Lists!$A$237:$A$246,0),MATCH(KOL_Database!$AJ$5,Lookup_Lists!$B$236:$K$236,0)),45))</f>
      </c>
      <c r="X36" s="47">
        <f>ROUND((Matching_Engine!$T$36*Lookup_Lists!$D$121+Matching_Engine!$U$36*Lookup_Lists!$D$122+Matching_Engine!$V$36*Lookup_Lists!$D$123+Matching_Engine!$W$36*Lookup_Lists!$D$124)/(Lookup_Lists!$D$121+Lookup_Lists!$D$122+Lookup_Lists!$D$123+Lookup_Lists!$D$124),0)</f>
      </c>
      <c r="Y36" s="47">
        <f>MIN(100,MAX(IFERROR(INDEX(Lookup_Lists!$B$202:$M$211,MATCH(Brand_Profile!$E$25,Lookup_Lists!$A$202:$A$211,0),MATCH(KOL_Database!$AK$5,Lookup_Lists!$B$201:$M$201,0)),40),IF(KOL_Database!$AK$5=Brand_Profile!$E$41,95,0)))</f>
      </c>
      <c r="Z36" s="47">
        <f>IFERROR(INDEX(Lookup_Lists!$B$215:$K$222,MATCH(Brand_Profile!$E$27,Lookup_Lists!$A$215:$A$222,0),MATCH(KOL_Database!$AJ$5,Lookup_Lists!$B$214:$K$214,0)),45)</f>
      </c>
      <c r="AA36" s="47">
        <f>ROUND((IF(Brand_Profile!$E$80=0,Lookup_Lists!$D$150,ROUND((IF(Brand_Profile!$E$75="",0,IF(ISNUMBER(SEARCH(Brand_Profile!$E$75,KOL_Database!$AL$5)),1,0))+IF(Brand_Profile!$E$76="",0,IF(ISNUMBER(SEARCH(Brand_Profile!$E$76,KOL_Database!$AL$5)),1,0))+IF(Brand_Profile!$E$77="",0,IF(ISNUMBER(SEARCH(Brand_Profile!$E$77,KOL_Database!$AL$5)),1,0))+IF(Brand_Profile!$E$78="",0,IF(ISNUMBER(SEARCH(Brand_Profile!$E$78,KOL_Database!$AL$5)),1,0))+IF(Brand_Profile!$E$79="",0,IF(ISNUMBER(SEARCH(Brand_Profile!$E$79,KOL_Database!$AL$5)),1,0)))/Brand_Profile!$E$80*100,0))+IF(Brand_Profile!$E$92=0,Lookup_Lists!$D$150,ROUND((IF(Brand_Profile!$E$87="",0,IF(ISNUMBER(SEARCH(Brand_Profile!$E$87,KOL_Database!$AL$5)),1,0))+IF(Brand_Profile!$E$88="",0,IF(ISNUMBER(SEARCH(Brand_Profile!$E$88,KOL_Database!$AL$5)),1,0))+IF(Brand_Profile!$E$89="",0,IF(ISNUMBER(SEARCH(Brand_Profile!$E$89,KOL_Database!$AL$5)),1,0))+IF(Brand_Profile!$E$90="",0,IF(ISNUMBER(SEARCH(Brand_Profile!$E$90,KOL_Database!$AL$5)),1,0))+IF(Brand_Profile!$E$91="",0,IF(ISNUMBER(SEARCH(Brand_Profile!$E$91,KOL_Database!$AL$5)),1,0)))/Brand_Profile!$E$92*100,0)))/2,0)</f>
      </c>
      <c r="AB36" s="47">
        <f>IFERROR(INDEX(Lookup_Lists!$B$226:$K$233,MATCH(Brand_Profile!$E$30,Lookup_Lists!$A$226:$A$233,0),MATCH(KOL_Database!$AJ$5,Lookup_Lists!$B$225:$K$225,0)),45)</f>
      </c>
      <c r="AC36" s="47">
        <f>ROUND((Matching_Engine!$Y$36*Lookup_Lists!$D$125+Matching_Engine!$Z$36*Lookup_Lists!$D$126+Matching_Engine!$AA$36*Lookup_Lists!$D$127+Matching_Engine!$AB$36*Lookup_Lists!$D$128)/(Lookup_Lists!$D$125+Lookup_Lists!$D$126+Lookup_Lists!$D$127+Lookup_Lists!$D$128),0)</f>
      </c>
      <c r="AD36" s="47">
        <f>IF(KOL_Database!$K$5="",0,MIN(100,ROUND(KOL_Database!$K$5/Lookup_Lists!$D$141*100,0)))</f>
      </c>
      <c r="AE36" s="47">
        <f>IF(KOL_Database!$R$5="",0,MIN(100,MAX(0,KOL_Database!$R$5)))</f>
      </c>
      <c r="AF36" s="47">
        <f>IF(KOL_Database!$P$5="",0,MIN(100,MAX(0,KOL_Database!$P$5)))</f>
      </c>
      <c r="AG36" s="47">
        <f>IF(KOL_Database!$Q$5="",0,MIN(100,MAX(0,KOL_Database!$Q$5)))</f>
      </c>
      <c r="AH36" s="47">
        <f>IF(OR(KOL_Database!$J$5="",KOL_Database!$J$5=0,KOL_Database!$L$5=""),0,MIN(100,ROUND(KOL_Database!$L$5/KOL_Database!$J$5/Lookup_Lists!$D$144*100,0)))</f>
      </c>
      <c r="AI36" s="47">
        <f>IF(KOL_Database!$N$5="",0,MIN(100,MAX(0,ROUND((KOL_Database!$N$5+2)/(Lookup_Lists!$D$145+2)*100,0))))</f>
      </c>
      <c r="AJ36" s="47">
        <f>ROUND((Matching_Engine!$AD$36*Lookup_Lists!$D$129+Matching_Engine!$AE$36*Lookup_Lists!$D$130+Matching_Engine!$AF$36*Lookup_Lists!$D$131+Matching_Engine!$AG$36*Lookup_Lists!$D$132+Matching_Engine!$AH$36*Lookup_Lists!$D$133+Matching_Engine!$AI$36*Lookup_Lists!$D$134)/(Lookup_Lists!$D$129+Lookup_Lists!$D$130+Lookup_Lists!$D$131+Lookup_Lists!$D$132+Lookup_Lists!$D$133+Lookup_Lists!$D$134),0)</f>
      </c>
      <c r="AK36" s="47">
        <f>IF(KOL_Database!$AT$5="",0,MIN(100,MAX(0,KOL_Database!$AT$5)))</f>
      </c>
      <c r="AL36" s="47">
        <f>IF(KOL_Database!$AU$5="",0,KOL_Database!$AU$5)</f>
      </c>
      <c r="AM36" s="44">
        <f>IF(KOL_Database!$AV$5="","None",KOL_Database!$AV$5)</f>
      </c>
      <c r="AN36" s="48">
        <f>IF(Matching_Engine!$AM$36="High",Lookup_Lists!$D$137,IF(Matching_Engine!$AM$36="Medium",Lookup_Lists!$D$138,IF(Matching_Engine!$AM$36="Low",Lookup_Lists!$D$139,Lookup_Lists!$D$140)))</f>
      </c>
      <c r="AO36" s="47">
        <f>ROUND(MIN(100,MAX(0,(Matching_Engine!$AK$36*Lookup_Lists!$D$135+(100-Matching_Engine!$AL$36)*Lookup_Lists!$D$136)/(Lookup_Lists!$D$135+Lookup_Lists!$D$136)*Matching_Engine!$AN$36)),0)</f>
      </c>
      <c r="AP36" s="49">
        <f>ROUND((Matching_Engine!$N$36*Lookup_Lists!$D$104+Matching_Engine!$S$36*Lookup_Lists!$D$105+Matching_Engine!$X$36*Lookup_Lists!$D$106+Matching_Engine!$AC$36*Lookup_Lists!$D$107+Matching_Engine!$AJ$36*Lookup_Lists!$D$108+Matching_Engine!$AO$36*Lookup_Lists!$D$109)/MAX(1,(Lookup_Lists!$D$104+Lookup_Lists!$D$105+Lookup_Lists!$D$106+Lookup_Lists!$D$107+Lookup_Lists!$D$108+Lookup_Lists!$D$109)),0)</f>
      </c>
      <c r="AQ36" s="44">
        <f>IF(Matching_Engine!$AP$36&gt;=Lookup_Lists!$D$152,"Excellent Match",IF(Matching_Engine!$AP$36&gt;=Lookup_Lists!$D$153,"Strong Match",IF(Matching_Engine!$AP$36&gt;=Lookup_Lists!$D$154,"Good Match",IF(Matching_Engine!$AP$36&gt;=Lookup_Lists!$D$155,"Moderate Match","Low Match"))))</f>
      </c>
      <c r="AR36" s="47">
        <f>KOL_Database!$BE$5</f>
      </c>
      <c r="AS36" s="44">
        <f>IF(Matching_Engine!$AR$36&gt;=Lookup_Lists!$D$159,"High",IF(Matching_Engine!$AR$36&gt;=Lookup_Lists!$D$160,"Medium","Limited Data"))</f>
      </c>
      <c r="AT36" s="47">
        <f>ROUND((Matching_Engine!$N$36+Matching_Engine!$X$36+Matching_Engine!$AC$36)/3,0)</f>
      </c>
      <c r="AU36" s="47">
        <f>ROUND(((100-Matching_Engine!$AL$36)*Lookup_Lists!$D$162+IF(KOL_Database!$BD$5="",Lookup_Lists!$D$150,KOL_Database!$BD$5)*Lookup_Lists!$D$163+Matching_Engine!$AI$36*Lookup_Lists!$D$164+Matching_Engine!$AD$36*Lookup_Lists!$D$165)/(Lookup_Lists!$D$162+Lookup_Lists!$D$163+Lookup_Lists!$D$164+Lookup_Lists!$D$165),0)</f>
      </c>
      <c r="AV36" s="44">
        <f>IF(Matching_Engine!$AW$36="","PASS","EXCLUDED")</f>
      </c>
      <c r="AW36" s="44">
        <f>IF(ISERROR(SEARCH(KOL_Database!$D$5,Brand_Profile!$E$32)),"Platform not in Preferred Platform",IF(AND(Brand_Profile!$E$36&gt;0,KOL_Database!$J$5&lt;Brand_Profile!$E$36),"Followers below Preferred Follower Range",IF(AND(Brand_Profile!$E$37&gt;0,KOL_Database!$J$5&gt;Brand_Profile!$E$37),"Followers above Preferred Follower Range",IF(AND(Brand_Profile!$E$38&gt;0,IF(KOL_Database!$K$5="",0,KOL_Database!$K$5)&lt;Brand_Profile!$E$38),"Engagement Rate below Minimum Engagement Rate",IF(ISERROR(SEARCH(KOL_Database!$G$5,Brand_Profile!$E$35)),"Tier not in Preferred Tier",IF(AND(Brand_Profile!$E$43&gt;0,Matching_Engine!$AE$36&lt;Brand_Profile!$E$43),"Audience Quality below Minimum Audience Quality",IF(AND(Brand_Profile!$E$44&gt;0,Matching_Engine!$AK$36&lt;Brand_Profile!$E$44),"Brand Safety below Minimum Brand Safety",IF(AND(Brand_Profile!$E$47="Yes",KOL_Database!$AD$5&lt;&gt;Brand_Profile!$E$19),"Audience Country does not match Target Country",IF(AND(Brand_Profile!$E$46="Yes",KOL_Database!$E$5&lt;&gt;Brand_Profile!$E$33),"Category is not the Preferred Category",IF(AND(Brand_Profile!$E$48&gt;0,Matching_Engine!$AL$36&gt;Brand_Profile!$E$48),"Competitor Saturation above Max Competitor Saturation",IF(AND(Brand_Profile!$E$50="Yes",KOL_Database!$AW$5="Yes"),"Already Selected",IF(AND(Brand_Profile!$E$51="Yes",KOL_Database!$AX$5="Yes"),"Already in Cart",IF(AND(Brand_Profile!$E$52="Yes",KOL_Database!$AY$5="Yes"),"Existing Partner",IF(AND(Brand_Profile!$E$53="Yes",KOL_Database!$AZ$5="Yes"),"Excluded Creator",IF(AND(Brand_Profile!$E$49&gt;0,Matching_Engine!$AP$36&lt;Brand_Profile!$E$49),"Brand Match below Minimum Brand Match","")))))))))))))))</f>
      </c>
      <c r="AX36" s="44">
        <f>IF(Matching_Engine!$AV$36="EXCLUDED","Excluded",IF(Matching_Engine!$AP$36&gt;=Lookup_Lists!$D$156,"Highly Recommended",IF(Matching_Engine!$AP$36&gt;=Lookup_Lists!$D$157,"Recommended",IF(Matching_Engine!$AP$36&gt;=Lookup_Lists!$D$158,"Consider","Low Priority"))))</f>
      </c>
      <c r="AY36" s="47">
        <f>IF(Matching_Engine!$AV$36="PASS",Matching_Engine!$AP$36,"")</f>
      </c>
      <c r="AZ36" s="44">
        <f>Matching_Engine!$A$36&amp;"|"&amp;Matching_Engine!$C$36</f>
      </c>
      <c r="BA36" s="44">
        <f>IFERROR(INDEX(Lookup_Lists!$B$51:$B$92,MATCH(Brand_Profile!$E$12,Lookup_Lists!$A$51:$A$92,0)),"")</f>
      </c>
      <c r="BB36" s="44">
        <f>IFERROR(INDEX(Lookup_Lists!$B$51:$B$92,MATCH(KOL_Database!$F$5,Lookup_Lists!$A$51:$A$92,0)),"")</f>
      </c>
      <c r="BC36" s="47">
        <f>IFERROR(INDEX(Lookup_Lists!$B$185:$O$198,MATCH(Matching_Engine!$BA$36,Lookup_Lists!$A$185:$A$198,0),MATCH(KOL_Database!$E$5,Lookup_Lists!$B$184:$O$184,0)),Lookup_Lists!$D$151)</f>
      </c>
      <c r="BD36" s="47">
        <f>IFERROR(INDEX(Lookup_Lists!$B$185:$O$198,MATCH(Brand_Profile!$E$33,Lookup_Lists!$A$185:$A$198,0),MATCH(KOL_Database!$E$5,Lookup_Lists!$B$184:$O$184,0)),Lookup_Lists!$D$151)</f>
      </c>
      <c r="BE36" s="44">
        <f>IFERROR(INDEX(Lookup_Lists!$B$51:$B$92,MATCH(Brand_Profile!$E$34,Lookup_Lists!$A$51:$A$92,0)),"")</f>
      </c>
      <c r="BF36" s="44">
        <f>KOL_Database!$AI$5&amp;", "&amp;KOL_Database!$AG$5&amp;", "&amp;KOL_Database!$F$5&amp;", "&amp;KOL_Database!$E$5</f>
      </c>
      <c r="BG36" s="44">
        <f>KOL_Database!$AI$5&amp;", "&amp;KOL_Database!$AG$5</f>
      </c>
    </row>
    <row r="37" spans="1:59" x14ac:dyDescent="0.25">
      <c r="A37" s="43" t="s">
        <v>76</v>
      </c>
      <c r="B37" s="44">
        <f>Brand_Profile!$E$9</f>
      </c>
      <c r="C37" s="44">
        <f>KOL_Database!$A$6</f>
      </c>
      <c r="D37" s="44">
        <f>KOL_Database!$B$6</f>
      </c>
      <c r="E37" s="44">
        <f>KOL_Database!$C$6</f>
      </c>
      <c r="F37" s="44">
        <f>KOL_Database!$D$6</f>
      </c>
      <c r="G37" s="44">
        <f>KOL_Database!$E$6</f>
      </c>
      <c r="H37" s="44">
        <f>KOL_Database!$G$6</f>
      </c>
      <c r="I37" s="45">
        <f>KOL_Database!$J$6</f>
      </c>
      <c r="J37" s="46">
        <f>KOL_Database!$K$6</f>
      </c>
      <c r="K37" s="47">
        <f>IFERROR(INDEX(Lookup_Lists!$B$170:$O$181,MATCH(Brand_Profile!$E$10,Lookup_Lists!$A$170:$A$181,0),MATCH(KOL_Database!$E$6,Lookup_Lists!$B$169:$O$169,0)),Lookup_Lists!$D$151)</f>
      </c>
      <c r="L37" s="47">
        <f>IF(KOL_Database!$F$6="",Matching_Engine!$BC$37,IF(Brand_Profile!$E$12=KOL_Database!$F$6,100,IF(Matching_Engine!$BA$37=KOL_Database!$E$6,80,IF(Matching_Engine!$BC$37&gt;=80,60,IF(Matching_Engine!$BC$37&gt;=60,40,Lookup_Lists!$D$151)))))</f>
      </c>
      <c r="M37" s="47">
        <f>ROUND((IF(Brand_Profile!$E$62=0,Lookup_Lists!$D$150,ROUND((IF(Brand_Profile!$E$57="",0,IF(ISNUMBER(SEARCH(Brand_Profile!$E$57,Matching_Engine!$BF$37)),1,0))+IF(Brand_Profile!$E$58="",0,IF(ISNUMBER(SEARCH(Brand_Profile!$E$58,Matching_Engine!$BF$37)),1,0))+IF(Brand_Profile!$E$59="",0,IF(ISNUMBER(SEARCH(Brand_Profile!$E$59,Matching_Engine!$BF$37)),1,0))+IF(Brand_Profile!$E$60="",0,IF(ISNUMBER(SEARCH(Brand_Profile!$E$60,Matching_Engine!$BF$37)),1,0))+IF(Brand_Profile!$E$61="",0,IF(ISNUMBER(SEARCH(Brand_Profile!$E$61,Matching_Engine!$BF$37)),1,0)))/Brand_Profile!$E$62*100,0))+IF(Brand_Profile!$E$74=0,Lookup_Lists!$D$150,ROUND((IF(Brand_Profile!$E$69="",0,IF(ISNUMBER(SEARCH(Brand_Profile!$E$69,Matching_Engine!$BF$37)),1,0))+IF(Brand_Profile!$E$70="",0,IF(ISNUMBER(SEARCH(Brand_Profile!$E$70,Matching_Engine!$BF$37)),1,0))+IF(Brand_Profile!$E$71="",0,IF(ISNUMBER(SEARCH(Brand_Profile!$E$71,Matching_Engine!$BF$37)),1,0))+IF(Brand_Profile!$E$72="",0,IF(ISNUMBER(SEARCH(Brand_Profile!$E$72,Matching_Engine!$BF$37)),1,0))+IF(Brand_Profile!$E$73="",0,IF(ISNUMBER(SEARCH(Brand_Profile!$E$73,Matching_Engine!$BF$37)),1,0)))/Brand_Profile!$E$74*100,0)))/2,0)</f>
      </c>
      <c r="N37" s="47">
        <f>ROUND((Matching_Engine!$K$37*Lookup_Lists!$D$110+Matching_Engine!$L$37*Lookup_Lists!$D$111+Matching_Engine!$M$37*Lookup_Lists!$D$112)/(Lookup_Lists!$D$110+Lookup_Lists!$D$111+Lookup_Lists!$D$112),0)</f>
      </c>
      <c r="O37" s="47">
        <f>IF(Brand_Profile!$E$16="",Lookup_Lists!$D$150,MIN(100,ROUND((IFERROR(INDEX(KOL_Database!$W$6:KOL_Database!$AA$6,1,MATCH(Brand_Profile!$E$16,Lookup_Lists!$F$6:$F$10,0)),0)+0.5*IFERROR(INDEX(KOL_Database!$W$6:KOL_Database!$AA$6,1,MATCH(Brand_Profile!$E$17,Lookup_Lists!$F$6:$F$10,0)),0))/Lookup_Lists!$D$142*100,0)))</f>
      </c>
      <c r="P37" s="47">
        <f>IF(OR(Brand_Profile!$E$18="",Brand_Profile!$E$18="Any"),100,IF(Brand_Profile!$E$18="Female",MIN(100,ROUND(KOL_Database!$AB$6/Lookup_Lists!$D$143*100,0)),IF(Brand_Profile!$E$18="Male",MIN(100,ROUND(KOL_Database!$AC$6/Lookup_Lists!$D$143*100,0)),MAX(0,ROUND(100-ABS(KOL_Database!$AB$6-50)*2,0)))))</f>
      </c>
      <c r="Q37" s="47">
        <f>ROUND((IF(Brand_Profile!$E$19="",100,IF(KOL_Database!$AD$6=Brand_Profile!$E$19,100,Lookup_Lists!$D$151))*Lookup_Lists!$D$118+IF(OR(Brand_Profile!$E$20="",Brand_Profile!$E$20="Nasional"),100,IF(KOL_Database!$AE$6="",Lookup_Lists!$D$150,IF(KOL_Database!$AE$6=Brand_Profile!$E$20,100,IF(KOL_Database!$AD$6=Brand_Profile!$E$19,40,Lookup_Lists!$D$151))))*Lookup_Lists!$D$119+IF(OR(Brand_Profile!$E$21="",Brand_Profile!$E$21="Nasional"),100,IF(KOL_Database!$AF$6="",Lookup_Lists!$D$150,IF(KOL_Database!$AF$6=Brand_Profile!$E$21,100,IF(KOL_Database!$AE$6=Brand_Profile!$E$20,60,Lookup_Lists!$D$151))))*Lookup_Lists!$D$120)/(Lookup_Lists!$D$118+Lookup_Lists!$D$119+Lookup_Lists!$D$120),0)</f>
      </c>
      <c r="R37" s="47">
        <f>IF(Brand_Profile!$E$68=0,Lookup_Lists!$D$150,ROUND((IF(Brand_Profile!$E$63="",0,IF(ISNUMBER(SEARCH(Brand_Profile!$E$63,KOL_Database!$AG$6)),1,0))+IF(Brand_Profile!$E$64="",0,IF(ISNUMBER(SEARCH(Brand_Profile!$E$64,KOL_Database!$AG$6)),1,0))+IF(Brand_Profile!$E$65="",0,IF(ISNUMBER(SEARCH(Brand_Profile!$E$65,KOL_Database!$AG$6)),1,0))+IF(Brand_Profile!$E$66="",0,IF(ISNUMBER(SEARCH(Brand_Profile!$E$66,KOL_Database!$AG$6)),1,0))+IF(Brand_Profile!$E$67="",0,IF(ISNUMBER(SEARCH(Brand_Profile!$E$67,KOL_Database!$AG$6)),1,0)))/Brand_Profile!$E$68*100,0))</f>
      </c>
      <c r="S37" s="47">
        <f>ROUND((Matching_Engine!$O$37*Brand_Profile!$E$96+Matching_Engine!$P$37*Brand_Profile!$E$97+Matching_Engine!$Q$37*Brand_Profile!$E$98+Matching_Engine!$R$37*Brand_Profile!$E$99)/MAX(1,Brand_Profile!$E$96+Brand_Profile!$E$97+Brand_Profile!$E$98+Brand_Profile!$E$99),0)</f>
      </c>
      <c r="T37" s="47">
        <f>IF(Brand_Profile!$E$33="",Lookup_Lists!$D$150,Matching_Engine!$BD$37)</f>
      </c>
      <c r="U37" s="47">
        <f>IF(Brand_Profile!$E$34="",Lookup_Lists!$D$150,IF(Brand_Profile!$E$34=KOL_Database!$F$6,100,IF(Matching_Engine!$BE$37=KOL_Database!$E$6,75,IF(Matching_Engine!$BD$37&gt;=80,Lookup_Lists!$D$150,IF(Matching_Engine!$BD$37&gt;=60,35,Lookup_Lists!$D$151)))))</f>
      </c>
      <c r="V37" s="47">
        <f>IF(Brand_Profile!$E$86=0,Lookup_Lists!$D$150,ROUND((IF(Brand_Profile!$E$81="",0,IF(ISNUMBER(SEARCH(Brand_Profile!$E$81,Matching_Engine!$BG$37)),1,0))+IF(Brand_Profile!$E$82="",0,IF(ISNUMBER(SEARCH(Brand_Profile!$E$82,Matching_Engine!$BG$37)),1,0))+IF(Brand_Profile!$E$83="",0,IF(ISNUMBER(SEARCH(Brand_Profile!$E$83,Matching_Engine!$BG$37)),1,0))+IF(Brand_Profile!$E$84="",0,IF(ISNUMBER(SEARCH(Brand_Profile!$E$84,Matching_Engine!$BG$37)),1,0))+IF(Brand_Profile!$E$85="",0,IF(ISNUMBER(SEARCH(Brand_Profile!$E$85,Matching_Engine!$BG$37)),1,0)))/Brand_Profile!$E$86*100,0))</f>
      </c>
      <c r="W37" s="47">
        <f>IF(Brand_Profile!$E$39="",Lookup_Lists!$D$150,IFERROR(INDEX(Lookup_Lists!$B$237:$K$246,MATCH(Brand_Profile!$E$39,Lookup_Lists!$A$237:$A$246,0),MATCH(KOL_Database!$AJ$6,Lookup_Lists!$B$236:$K$236,0)),45))</f>
      </c>
      <c r="X37" s="47">
        <f>ROUND((Matching_Engine!$T$37*Lookup_Lists!$D$121+Matching_Engine!$U$37*Lookup_Lists!$D$122+Matching_Engine!$V$37*Lookup_Lists!$D$123+Matching_Engine!$W$37*Lookup_Lists!$D$124)/(Lookup_Lists!$D$121+Lookup_Lists!$D$122+Lookup_Lists!$D$123+Lookup_Lists!$D$124),0)</f>
      </c>
      <c r="Y37" s="47">
        <f>MIN(100,MAX(IFERROR(INDEX(Lookup_Lists!$B$202:$M$211,MATCH(Brand_Profile!$E$25,Lookup_Lists!$A$202:$A$211,0),MATCH(KOL_Database!$AK$6,Lookup_Lists!$B$201:$M$201,0)),40),IF(KOL_Database!$AK$6=Brand_Profile!$E$41,95,0)))</f>
      </c>
      <c r="Z37" s="47">
        <f>IFERROR(INDEX(Lookup_Lists!$B$215:$K$222,MATCH(Brand_Profile!$E$27,Lookup_Lists!$A$215:$A$222,0),MATCH(KOL_Database!$AJ$6,Lookup_Lists!$B$214:$K$214,0)),45)</f>
      </c>
      <c r="AA37" s="47">
        <f>ROUND((IF(Brand_Profile!$E$80=0,Lookup_Lists!$D$150,ROUND((IF(Brand_Profile!$E$75="",0,IF(ISNUMBER(SEARCH(Brand_Profile!$E$75,KOL_Database!$AL$6)),1,0))+IF(Brand_Profile!$E$76="",0,IF(ISNUMBER(SEARCH(Brand_Profile!$E$76,KOL_Database!$AL$6)),1,0))+IF(Brand_Profile!$E$77="",0,IF(ISNUMBER(SEARCH(Brand_Profile!$E$77,KOL_Database!$AL$6)),1,0))+IF(Brand_Profile!$E$78="",0,IF(ISNUMBER(SEARCH(Brand_Profile!$E$78,KOL_Database!$AL$6)),1,0))+IF(Brand_Profile!$E$79="",0,IF(ISNUMBER(SEARCH(Brand_Profile!$E$79,KOL_Database!$AL$6)),1,0)))/Brand_Profile!$E$80*100,0))+IF(Brand_Profile!$E$92=0,Lookup_Lists!$D$150,ROUND((IF(Brand_Profile!$E$87="",0,IF(ISNUMBER(SEARCH(Brand_Profile!$E$87,KOL_Database!$AL$6)),1,0))+IF(Brand_Profile!$E$88="",0,IF(ISNUMBER(SEARCH(Brand_Profile!$E$88,KOL_Database!$AL$6)),1,0))+IF(Brand_Profile!$E$89="",0,IF(ISNUMBER(SEARCH(Brand_Profile!$E$89,KOL_Database!$AL$6)),1,0))+IF(Brand_Profile!$E$90="",0,IF(ISNUMBER(SEARCH(Brand_Profile!$E$90,KOL_Database!$AL$6)),1,0))+IF(Brand_Profile!$E$91="",0,IF(ISNUMBER(SEARCH(Brand_Profile!$E$91,KOL_Database!$AL$6)),1,0)))/Brand_Profile!$E$92*100,0)))/2,0)</f>
      </c>
      <c r="AB37" s="47">
        <f>IFERROR(INDEX(Lookup_Lists!$B$226:$K$233,MATCH(Brand_Profile!$E$30,Lookup_Lists!$A$226:$A$233,0),MATCH(KOL_Database!$AJ$6,Lookup_Lists!$B$225:$K$225,0)),45)</f>
      </c>
      <c r="AC37" s="47">
        <f>ROUND((Matching_Engine!$Y$37*Lookup_Lists!$D$125+Matching_Engine!$Z$37*Lookup_Lists!$D$126+Matching_Engine!$AA$37*Lookup_Lists!$D$127+Matching_Engine!$AB$37*Lookup_Lists!$D$128)/(Lookup_Lists!$D$125+Lookup_Lists!$D$126+Lookup_Lists!$D$127+Lookup_Lists!$D$128),0)</f>
      </c>
      <c r="AD37" s="47">
        <f>IF(KOL_Database!$K$6="",0,MIN(100,ROUND(KOL_Database!$K$6/Lookup_Lists!$D$141*100,0)))</f>
      </c>
      <c r="AE37" s="47">
        <f>IF(KOL_Database!$R$6="",0,MIN(100,MAX(0,KOL_Database!$R$6)))</f>
      </c>
      <c r="AF37" s="47">
        <f>IF(KOL_Database!$P$6="",0,MIN(100,MAX(0,KOL_Database!$P$6)))</f>
      </c>
      <c r="AG37" s="47">
        <f>IF(KOL_Database!$Q$6="",0,MIN(100,MAX(0,KOL_Database!$Q$6)))</f>
      </c>
      <c r="AH37" s="47">
        <f>IF(OR(KOL_Database!$J$6="",KOL_Database!$J$6=0,KOL_Database!$L$6=""),0,MIN(100,ROUND(KOL_Database!$L$6/KOL_Database!$J$6/Lookup_Lists!$D$144*100,0)))</f>
      </c>
      <c r="AI37" s="47">
        <f>IF(KOL_Database!$N$6="",0,MIN(100,MAX(0,ROUND((KOL_Database!$N$6+2)/(Lookup_Lists!$D$145+2)*100,0))))</f>
      </c>
      <c r="AJ37" s="47">
        <f>ROUND((Matching_Engine!$AD$37*Lookup_Lists!$D$129+Matching_Engine!$AE$37*Lookup_Lists!$D$130+Matching_Engine!$AF$37*Lookup_Lists!$D$131+Matching_Engine!$AG$37*Lookup_Lists!$D$132+Matching_Engine!$AH$37*Lookup_Lists!$D$133+Matching_Engine!$AI$37*Lookup_Lists!$D$134)/(Lookup_Lists!$D$129+Lookup_Lists!$D$130+Lookup_Lists!$D$131+Lookup_Lists!$D$132+Lookup_Lists!$D$133+Lookup_Lists!$D$134),0)</f>
      </c>
      <c r="AK37" s="47">
        <f>IF(KOL_Database!$AT$6="",0,MIN(100,MAX(0,KOL_Database!$AT$6)))</f>
      </c>
      <c r="AL37" s="47">
        <f>IF(KOL_Database!$AU$6="",0,KOL_Database!$AU$6)</f>
      </c>
      <c r="AM37" s="44">
        <f>IF(KOL_Database!$AV$6="","None",KOL_Database!$AV$6)</f>
      </c>
      <c r="AN37" s="48">
        <f>IF(Matching_Engine!$AM$37="High",Lookup_Lists!$D$137,IF(Matching_Engine!$AM$37="Medium",Lookup_Lists!$D$138,IF(Matching_Engine!$AM$37="Low",Lookup_Lists!$D$139,Lookup_Lists!$D$140)))</f>
      </c>
      <c r="AO37" s="47">
        <f>ROUND(MIN(100,MAX(0,(Matching_Engine!$AK$37*Lookup_Lists!$D$135+(100-Matching_Engine!$AL$37)*Lookup_Lists!$D$136)/(Lookup_Lists!$D$135+Lookup_Lists!$D$136)*Matching_Engine!$AN$37)),0)</f>
      </c>
      <c r="AP37" s="49">
        <f>ROUND((Matching_Engine!$N$37*Lookup_Lists!$D$104+Matching_Engine!$S$37*Lookup_Lists!$D$105+Matching_Engine!$X$37*Lookup_Lists!$D$106+Matching_Engine!$AC$37*Lookup_Lists!$D$107+Matching_Engine!$AJ$37*Lookup_Lists!$D$108+Matching_Engine!$AO$37*Lookup_Lists!$D$109)/MAX(1,(Lookup_Lists!$D$104+Lookup_Lists!$D$105+Lookup_Lists!$D$106+Lookup_Lists!$D$107+Lookup_Lists!$D$108+Lookup_Lists!$D$109)),0)</f>
      </c>
      <c r="AQ37" s="44">
        <f>IF(Matching_Engine!$AP$37&gt;=Lookup_Lists!$D$152,"Excellent Match",IF(Matching_Engine!$AP$37&gt;=Lookup_Lists!$D$153,"Strong Match",IF(Matching_Engine!$AP$37&gt;=Lookup_Lists!$D$154,"Good Match",IF(Matching_Engine!$AP$37&gt;=Lookup_Lists!$D$155,"Moderate Match","Low Match"))))</f>
      </c>
      <c r="AR37" s="47">
        <f>KOL_Database!$BE$6</f>
      </c>
      <c r="AS37" s="44">
        <f>IF(Matching_Engine!$AR$37&gt;=Lookup_Lists!$D$159,"High",IF(Matching_Engine!$AR$37&gt;=Lookup_Lists!$D$160,"Medium","Limited Data"))</f>
      </c>
      <c r="AT37" s="47">
        <f>ROUND((Matching_Engine!$N$37+Matching_Engine!$X$37+Matching_Engine!$AC$37)/3,0)</f>
      </c>
      <c r="AU37" s="47">
        <f>ROUND(((100-Matching_Engine!$AL$37)*Lookup_Lists!$D$162+IF(KOL_Database!$BD$6="",Lookup_Lists!$D$150,KOL_Database!$BD$6)*Lookup_Lists!$D$163+Matching_Engine!$AI$37*Lookup_Lists!$D$164+Matching_Engine!$AD$37*Lookup_Lists!$D$165)/(Lookup_Lists!$D$162+Lookup_Lists!$D$163+Lookup_Lists!$D$164+Lookup_Lists!$D$165),0)</f>
      </c>
      <c r="AV37" s="44">
        <f>IF(Matching_Engine!$AW$37="","PASS","EXCLUDED")</f>
      </c>
      <c r="AW37" s="44">
        <f>IF(ISERROR(SEARCH(KOL_Database!$D$6,Brand_Profile!$E$32)),"Platform not in Preferred Platform",IF(AND(Brand_Profile!$E$36&gt;0,KOL_Database!$J$6&lt;Brand_Profile!$E$36),"Followers below Preferred Follower Range",IF(AND(Brand_Profile!$E$37&gt;0,KOL_Database!$J$6&gt;Brand_Profile!$E$37),"Followers above Preferred Follower Range",IF(AND(Brand_Profile!$E$38&gt;0,IF(KOL_Database!$K$6="",0,KOL_Database!$K$6)&lt;Brand_Profile!$E$38),"Engagement Rate below Minimum Engagement Rate",IF(ISERROR(SEARCH(KOL_Database!$G$6,Brand_Profile!$E$35)),"Tier not in Preferred Tier",IF(AND(Brand_Profile!$E$43&gt;0,Matching_Engine!$AE$37&lt;Brand_Profile!$E$43),"Audience Quality below Minimum Audience Quality",IF(AND(Brand_Profile!$E$44&gt;0,Matching_Engine!$AK$37&lt;Brand_Profile!$E$44),"Brand Safety below Minimum Brand Safety",IF(AND(Brand_Profile!$E$47="Yes",KOL_Database!$AD$6&lt;&gt;Brand_Profile!$E$19),"Audience Country does not match Target Country",IF(AND(Brand_Profile!$E$46="Yes",KOL_Database!$E$6&lt;&gt;Brand_Profile!$E$33),"Category is not the Preferred Category",IF(AND(Brand_Profile!$E$48&gt;0,Matching_Engine!$AL$37&gt;Brand_Profile!$E$48),"Competitor Saturation above Max Competitor Saturation",IF(AND(Brand_Profile!$E$50="Yes",KOL_Database!$AW$6="Yes"),"Already Selected",IF(AND(Brand_Profile!$E$51="Yes",KOL_Database!$AX$6="Yes"),"Already in Cart",IF(AND(Brand_Profile!$E$52="Yes",KOL_Database!$AY$6="Yes"),"Existing Partner",IF(AND(Brand_Profile!$E$53="Yes",KOL_Database!$AZ$6="Yes"),"Excluded Creator",IF(AND(Brand_Profile!$E$49&gt;0,Matching_Engine!$AP$37&lt;Brand_Profile!$E$49),"Brand Match below Minimum Brand Match","")))))))))))))))</f>
      </c>
      <c r="AX37" s="44">
        <f>IF(Matching_Engine!$AV$37="EXCLUDED","Excluded",IF(Matching_Engine!$AP$37&gt;=Lookup_Lists!$D$156,"Highly Recommended",IF(Matching_Engine!$AP$37&gt;=Lookup_Lists!$D$157,"Recommended",IF(Matching_Engine!$AP$37&gt;=Lookup_Lists!$D$158,"Consider","Low Priority"))))</f>
      </c>
      <c r="AY37" s="47">
        <f>IF(Matching_Engine!$AV$37="PASS",Matching_Engine!$AP$37,"")</f>
      </c>
      <c r="AZ37" s="44">
        <f>Matching_Engine!$A$37&amp;"|"&amp;Matching_Engine!$C$37</f>
      </c>
      <c r="BA37" s="44">
        <f>IFERROR(INDEX(Lookup_Lists!$B$51:$B$92,MATCH(Brand_Profile!$E$12,Lookup_Lists!$A$51:$A$92,0)),"")</f>
      </c>
      <c r="BB37" s="44">
        <f>IFERROR(INDEX(Lookup_Lists!$B$51:$B$92,MATCH(KOL_Database!$F$6,Lookup_Lists!$A$51:$A$92,0)),"")</f>
      </c>
      <c r="BC37" s="47">
        <f>IFERROR(INDEX(Lookup_Lists!$B$185:$O$198,MATCH(Matching_Engine!$BA$37,Lookup_Lists!$A$185:$A$198,0),MATCH(KOL_Database!$E$6,Lookup_Lists!$B$184:$O$184,0)),Lookup_Lists!$D$151)</f>
      </c>
      <c r="BD37" s="47">
        <f>IFERROR(INDEX(Lookup_Lists!$B$185:$O$198,MATCH(Brand_Profile!$E$33,Lookup_Lists!$A$185:$A$198,0),MATCH(KOL_Database!$E$6,Lookup_Lists!$B$184:$O$184,0)),Lookup_Lists!$D$151)</f>
      </c>
      <c r="BE37" s="44">
        <f>IFERROR(INDEX(Lookup_Lists!$B$51:$B$92,MATCH(Brand_Profile!$E$34,Lookup_Lists!$A$51:$A$92,0)),"")</f>
      </c>
      <c r="BF37" s="44">
        <f>KOL_Database!$AI$6&amp;", "&amp;KOL_Database!$AG$6&amp;", "&amp;KOL_Database!$F$6&amp;", "&amp;KOL_Database!$E$6</f>
      </c>
      <c r="BG37" s="44">
        <f>KOL_Database!$AI$6&amp;", "&amp;KOL_Database!$AG$6</f>
      </c>
    </row>
    <row r="38" spans="1:59" x14ac:dyDescent="0.25">
      <c r="A38" s="43" t="s">
        <v>76</v>
      </c>
      <c r="B38" s="44">
        <f>Brand_Profile!$E$9</f>
      </c>
      <c r="C38" s="44">
        <f>KOL_Database!$A$7</f>
      </c>
      <c r="D38" s="44">
        <f>KOL_Database!$B$7</f>
      </c>
      <c r="E38" s="44">
        <f>KOL_Database!$C$7</f>
      </c>
      <c r="F38" s="44">
        <f>KOL_Database!$D$7</f>
      </c>
      <c r="G38" s="44">
        <f>KOL_Database!$E$7</f>
      </c>
      <c r="H38" s="44">
        <f>KOL_Database!$G$7</f>
      </c>
      <c r="I38" s="45">
        <f>KOL_Database!$J$7</f>
      </c>
      <c r="J38" s="46">
        <f>KOL_Database!$K$7</f>
      </c>
      <c r="K38" s="47">
        <f>IFERROR(INDEX(Lookup_Lists!$B$170:$O$181,MATCH(Brand_Profile!$E$10,Lookup_Lists!$A$170:$A$181,0),MATCH(KOL_Database!$E$7,Lookup_Lists!$B$169:$O$169,0)),Lookup_Lists!$D$151)</f>
      </c>
      <c r="L38" s="47">
        <f>IF(KOL_Database!$F$7="",Matching_Engine!$BC$38,IF(Brand_Profile!$E$12=KOL_Database!$F$7,100,IF(Matching_Engine!$BA$38=KOL_Database!$E$7,80,IF(Matching_Engine!$BC$38&gt;=80,60,IF(Matching_Engine!$BC$38&gt;=60,40,Lookup_Lists!$D$151)))))</f>
      </c>
      <c r="M38" s="47">
        <f>ROUND((IF(Brand_Profile!$E$62=0,Lookup_Lists!$D$150,ROUND((IF(Brand_Profile!$E$57="",0,IF(ISNUMBER(SEARCH(Brand_Profile!$E$57,Matching_Engine!$BF$38)),1,0))+IF(Brand_Profile!$E$58="",0,IF(ISNUMBER(SEARCH(Brand_Profile!$E$58,Matching_Engine!$BF$38)),1,0))+IF(Brand_Profile!$E$59="",0,IF(ISNUMBER(SEARCH(Brand_Profile!$E$59,Matching_Engine!$BF$38)),1,0))+IF(Brand_Profile!$E$60="",0,IF(ISNUMBER(SEARCH(Brand_Profile!$E$60,Matching_Engine!$BF$38)),1,0))+IF(Brand_Profile!$E$61="",0,IF(ISNUMBER(SEARCH(Brand_Profile!$E$61,Matching_Engine!$BF$38)),1,0)))/Brand_Profile!$E$62*100,0))+IF(Brand_Profile!$E$74=0,Lookup_Lists!$D$150,ROUND((IF(Brand_Profile!$E$69="",0,IF(ISNUMBER(SEARCH(Brand_Profile!$E$69,Matching_Engine!$BF$38)),1,0))+IF(Brand_Profile!$E$70="",0,IF(ISNUMBER(SEARCH(Brand_Profile!$E$70,Matching_Engine!$BF$38)),1,0))+IF(Brand_Profile!$E$71="",0,IF(ISNUMBER(SEARCH(Brand_Profile!$E$71,Matching_Engine!$BF$38)),1,0))+IF(Brand_Profile!$E$72="",0,IF(ISNUMBER(SEARCH(Brand_Profile!$E$72,Matching_Engine!$BF$38)),1,0))+IF(Brand_Profile!$E$73="",0,IF(ISNUMBER(SEARCH(Brand_Profile!$E$73,Matching_Engine!$BF$38)),1,0)))/Brand_Profile!$E$74*100,0)))/2,0)</f>
      </c>
      <c r="N38" s="47">
        <f>ROUND((Matching_Engine!$K$38*Lookup_Lists!$D$110+Matching_Engine!$L$38*Lookup_Lists!$D$111+Matching_Engine!$M$38*Lookup_Lists!$D$112)/(Lookup_Lists!$D$110+Lookup_Lists!$D$111+Lookup_Lists!$D$112),0)</f>
      </c>
      <c r="O38" s="47">
        <f>IF(Brand_Profile!$E$16="",Lookup_Lists!$D$150,MIN(100,ROUND((IFERROR(INDEX(KOL_Database!$W$7:KOL_Database!$AA$7,1,MATCH(Brand_Profile!$E$16,Lookup_Lists!$F$6:$F$10,0)),0)+0.5*IFERROR(INDEX(KOL_Database!$W$7:KOL_Database!$AA$7,1,MATCH(Brand_Profile!$E$17,Lookup_Lists!$F$6:$F$10,0)),0))/Lookup_Lists!$D$142*100,0)))</f>
      </c>
      <c r="P38" s="47">
        <f>IF(OR(Brand_Profile!$E$18="",Brand_Profile!$E$18="Any"),100,IF(Brand_Profile!$E$18="Female",MIN(100,ROUND(KOL_Database!$AB$7/Lookup_Lists!$D$143*100,0)),IF(Brand_Profile!$E$18="Male",MIN(100,ROUND(KOL_Database!$AC$7/Lookup_Lists!$D$143*100,0)),MAX(0,ROUND(100-ABS(KOL_Database!$AB$7-50)*2,0)))))</f>
      </c>
      <c r="Q38" s="47">
        <f>ROUND((IF(Brand_Profile!$E$19="",100,IF(KOL_Database!$AD$7=Brand_Profile!$E$19,100,Lookup_Lists!$D$151))*Lookup_Lists!$D$118+IF(OR(Brand_Profile!$E$20="",Brand_Profile!$E$20="Nasional"),100,IF(KOL_Database!$AE$7="",Lookup_Lists!$D$150,IF(KOL_Database!$AE$7=Brand_Profile!$E$20,100,IF(KOL_Database!$AD$7=Brand_Profile!$E$19,40,Lookup_Lists!$D$151))))*Lookup_Lists!$D$119+IF(OR(Brand_Profile!$E$21="",Brand_Profile!$E$21="Nasional"),100,IF(KOL_Database!$AF$7="",Lookup_Lists!$D$150,IF(KOL_Database!$AF$7=Brand_Profile!$E$21,100,IF(KOL_Database!$AE$7=Brand_Profile!$E$20,60,Lookup_Lists!$D$151))))*Lookup_Lists!$D$120)/(Lookup_Lists!$D$118+Lookup_Lists!$D$119+Lookup_Lists!$D$120),0)</f>
      </c>
      <c r="R38" s="47">
        <f>IF(Brand_Profile!$E$68=0,Lookup_Lists!$D$150,ROUND((IF(Brand_Profile!$E$63="",0,IF(ISNUMBER(SEARCH(Brand_Profile!$E$63,KOL_Database!$AG$7)),1,0))+IF(Brand_Profile!$E$64="",0,IF(ISNUMBER(SEARCH(Brand_Profile!$E$64,KOL_Database!$AG$7)),1,0))+IF(Brand_Profile!$E$65="",0,IF(ISNUMBER(SEARCH(Brand_Profile!$E$65,KOL_Database!$AG$7)),1,0))+IF(Brand_Profile!$E$66="",0,IF(ISNUMBER(SEARCH(Brand_Profile!$E$66,KOL_Database!$AG$7)),1,0))+IF(Brand_Profile!$E$67="",0,IF(ISNUMBER(SEARCH(Brand_Profile!$E$67,KOL_Database!$AG$7)),1,0)))/Brand_Profile!$E$68*100,0))</f>
      </c>
      <c r="S38" s="47">
        <f>ROUND((Matching_Engine!$O$38*Brand_Profile!$E$96+Matching_Engine!$P$38*Brand_Profile!$E$97+Matching_Engine!$Q$38*Brand_Profile!$E$98+Matching_Engine!$R$38*Brand_Profile!$E$99)/MAX(1,Brand_Profile!$E$96+Brand_Profile!$E$97+Brand_Profile!$E$98+Brand_Profile!$E$99),0)</f>
      </c>
      <c r="T38" s="47">
        <f>IF(Brand_Profile!$E$33="",Lookup_Lists!$D$150,Matching_Engine!$BD$38)</f>
      </c>
      <c r="U38" s="47">
        <f>IF(Brand_Profile!$E$34="",Lookup_Lists!$D$150,IF(Brand_Profile!$E$34=KOL_Database!$F$7,100,IF(Matching_Engine!$BE$38=KOL_Database!$E$7,75,IF(Matching_Engine!$BD$38&gt;=80,Lookup_Lists!$D$150,IF(Matching_Engine!$BD$38&gt;=60,35,Lookup_Lists!$D$151)))))</f>
      </c>
      <c r="V38" s="47">
        <f>IF(Brand_Profile!$E$86=0,Lookup_Lists!$D$150,ROUND((IF(Brand_Profile!$E$81="",0,IF(ISNUMBER(SEARCH(Brand_Profile!$E$81,Matching_Engine!$BG$38)),1,0))+IF(Brand_Profile!$E$82="",0,IF(ISNUMBER(SEARCH(Brand_Profile!$E$82,Matching_Engine!$BG$38)),1,0))+IF(Brand_Profile!$E$83="",0,IF(ISNUMBER(SEARCH(Brand_Profile!$E$83,Matching_Engine!$BG$38)),1,0))+IF(Brand_Profile!$E$84="",0,IF(ISNUMBER(SEARCH(Brand_Profile!$E$84,Matching_Engine!$BG$38)),1,0))+IF(Brand_Profile!$E$85="",0,IF(ISNUMBER(SEARCH(Brand_Profile!$E$85,Matching_Engine!$BG$38)),1,0)))/Brand_Profile!$E$86*100,0))</f>
      </c>
      <c r="W38" s="47">
        <f>IF(Brand_Profile!$E$39="",Lookup_Lists!$D$150,IFERROR(INDEX(Lookup_Lists!$B$237:$K$246,MATCH(Brand_Profile!$E$39,Lookup_Lists!$A$237:$A$246,0),MATCH(KOL_Database!$AJ$7,Lookup_Lists!$B$236:$K$236,0)),45))</f>
      </c>
      <c r="X38" s="47">
        <f>ROUND((Matching_Engine!$T$38*Lookup_Lists!$D$121+Matching_Engine!$U$38*Lookup_Lists!$D$122+Matching_Engine!$V$38*Lookup_Lists!$D$123+Matching_Engine!$W$38*Lookup_Lists!$D$124)/(Lookup_Lists!$D$121+Lookup_Lists!$D$122+Lookup_Lists!$D$123+Lookup_Lists!$D$124),0)</f>
      </c>
      <c r="Y38" s="47">
        <f>MIN(100,MAX(IFERROR(INDEX(Lookup_Lists!$B$202:$M$211,MATCH(Brand_Profile!$E$25,Lookup_Lists!$A$202:$A$211,0),MATCH(KOL_Database!$AK$7,Lookup_Lists!$B$201:$M$201,0)),40),IF(KOL_Database!$AK$7=Brand_Profile!$E$41,95,0)))</f>
      </c>
      <c r="Z38" s="47">
        <f>IFERROR(INDEX(Lookup_Lists!$B$215:$K$222,MATCH(Brand_Profile!$E$27,Lookup_Lists!$A$215:$A$222,0),MATCH(KOL_Database!$AJ$7,Lookup_Lists!$B$214:$K$214,0)),45)</f>
      </c>
      <c r="AA38" s="47">
        <f>ROUND((IF(Brand_Profile!$E$80=0,Lookup_Lists!$D$150,ROUND((IF(Brand_Profile!$E$75="",0,IF(ISNUMBER(SEARCH(Brand_Profile!$E$75,KOL_Database!$AL$7)),1,0))+IF(Brand_Profile!$E$76="",0,IF(ISNUMBER(SEARCH(Brand_Profile!$E$76,KOL_Database!$AL$7)),1,0))+IF(Brand_Profile!$E$77="",0,IF(ISNUMBER(SEARCH(Brand_Profile!$E$77,KOL_Database!$AL$7)),1,0))+IF(Brand_Profile!$E$78="",0,IF(ISNUMBER(SEARCH(Brand_Profile!$E$78,KOL_Database!$AL$7)),1,0))+IF(Brand_Profile!$E$79="",0,IF(ISNUMBER(SEARCH(Brand_Profile!$E$79,KOL_Database!$AL$7)),1,0)))/Brand_Profile!$E$80*100,0))+IF(Brand_Profile!$E$92=0,Lookup_Lists!$D$150,ROUND((IF(Brand_Profile!$E$87="",0,IF(ISNUMBER(SEARCH(Brand_Profile!$E$87,KOL_Database!$AL$7)),1,0))+IF(Brand_Profile!$E$88="",0,IF(ISNUMBER(SEARCH(Brand_Profile!$E$88,KOL_Database!$AL$7)),1,0))+IF(Brand_Profile!$E$89="",0,IF(ISNUMBER(SEARCH(Brand_Profile!$E$89,KOL_Database!$AL$7)),1,0))+IF(Brand_Profile!$E$90="",0,IF(ISNUMBER(SEARCH(Brand_Profile!$E$90,KOL_Database!$AL$7)),1,0))+IF(Brand_Profile!$E$91="",0,IF(ISNUMBER(SEARCH(Brand_Profile!$E$91,KOL_Database!$AL$7)),1,0)))/Brand_Profile!$E$92*100,0)))/2,0)</f>
      </c>
      <c r="AB38" s="47">
        <f>IFERROR(INDEX(Lookup_Lists!$B$226:$K$233,MATCH(Brand_Profile!$E$30,Lookup_Lists!$A$226:$A$233,0),MATCH(KOL_Database!$AJ$7,Lookup_Lists!$B$225:$K$225,0)),45)</f>
      </c>
      <c r="AC38" s="47">
        <f>ROUND((Matching_Engine!$Y$38*Lookup_Lists!$D$125+Matching_Engine!$Z$38*Lookup_Lists!$D$126+Matching_Engine!$AA$38*Lookup_Lists!$D$127+Matching_Engine!$AB$38*Lookup_Lists!$D$128)/(Lookup_Lists!$D$125+Lookup_Lists!$D$126+Lookup_Lists!$D$127+Lookup_Lists!$D$128),0)</f>
      </c>
      <c r="AD38" s="47">
        <f>IF(KOL_Database!$K$7="",0,MIN(100,ROUND(KOL_Database!$K$7/Lookup_Lists!$D$141*100,0)))</f>
      </c>
      <c r="AE38" s="47">
        <f>IF(KOL_Database!$R$7="",0,MIN(100,MAX(0,KOL_Database!$R$7)))</f>
      </c>
      <c r="AF38" s="47">
        <f>IF(KOL_Database!$P$7="",0,MIN(100,MAX(0,KOL_Database!$P$7)))</f>
      </c>
      <c r="AG38" s="47">
        <f>IF(KOL_Database!$Q$7="",0,MIN(100,MAX(0,KOL_Database!$Q$7)))</f>
      </c>
      <c r="AH38" s="47">
        <f>IF(OR(KOL_Database!$J$7="",KOL_Database!$J$7=0,KOL_Database!$L$7=""),0,MIN(100,ROUND(KOL_Database!$L$7/KOL_Database!$J$7/Lookup_Lists!$D$144*100,0)))</f>
      </c>
      <c r="AI38" s="47">
        <f>IF(KOL_Database!$N$7="",0,MIN(100,MAX(0,ROUND((KOL_Database!$N$7+2)/(Lookup_Lists!$D$145+2)*100,0))))</f>
      </c>
      <c r="AJ38" s="47">
        <f>ROUND((Matching_Engine!$AD$38*Lookup_Lists!$D$129+Matching_Engine!$AE$38*Lookup_Lists!$D$130+Matching_Engine!$AF$38*Lookup_Lists!$D$131+Matching_Engine!$AG$38*Lookup_Lists!$D$132+Matching_Engine!$AH$38*Lookup_Lists!$D$133+Matching_Engine!$AI$38*Lookup_Lists!$D$134)/(Lookup_Lists!$D$129+Lookup_Lists!$D$130+Lookup_Lists!$D$131+Lookup_Lists!$D$132+Lookup_Lists!$D$133+Lookup_Lists!$D$134),0)</f>
      </c>
      <c r="AK38" s="47">
        <f>IF(KOL_Database!$AT$7="",0,MIN(100,MAX(0,KOL_Database!$AT$7)))</f>
      </c>
      <c r="AL38" s="47">
        <f>IF(KOL_Database!$AU$7="",0,KOL_Database!$AU$7)</f>
      </c>
      <c r="AM38" s="44">
        <f>IF(KOL_Database!$AV$7="","None",KOL_Database!$AV$7)</f>
      </c>
      <c r="AN38" s="48">
        <f>IF(Matching_Engine!$AM$38="High",Lookup_Lists!$D$137,IF(Matching_Engine!$AM$38="Medium",Lookup_Lists!$D$138,IF(Matching_Engine!$AM$38="Low",Lookup_Lists!$D$139,Lookup_Lists!$D$140)))</f>
      </c>
      <c r="AO38" s="47">
        <f>ROUND(MIN(100,MAX(0,(Matching_Engine!$AK$38*Lookup_Lists!$D$135+(100-Matching_Engine!$AL$38)*Lookup_Lists!$D$136)/(Lookup_Lists!$D$135+Lookup_Lists!$D$136)*Matching_Engine!$AN$38)),0)</f>
      </c>
      <c r="AP38" s="49">
        <f>ROUND((Matching_Engine!$N$38*Lookup_Lists!$D$104+Matching_Engine!$S$38*Lookup_Lists!$D$105+Matching_Engine!$X$38*Lookup_Lists!$D$106+Matching_Engine!$AC$38*Lookup_Lists!$D$107+Matching_Engine!$AJ$38*Lookup_Lists!$D$108+Matching_Engine!$AO$38*Lookup_Lists!$D$109)/MAX(1,(Lookup_Lists!$D$104+Lookup_Lists!$D$105+Lookup_Lists!$D$106+Lookup_Lists!$D$107+Lookup_Lists!$D$108+Lookup_Lists!$D$109)),0)</f>
      </c>
      <c r="AQ38" s="44">
        <f>IF(Matching_Engine!$AP$38&gt;=Lookup_Lists!$D$152,"Excellent Match",IF(Matching_Engine!$AP$38&gt;=Lookup_Lists!$D$153,"Strong Match",IF(Matching_Engine!$AP$38&gt;=Lookup_Lists!$D$154,"Good Match",IF(Matching_Engine!$AP$38&gt;=Lookup_Lists!$D$155,"Moderate Match","Low Match"))))</f>
      </c>
      <c r="AR38" s="47">
        <f>KOL_Database!$BE$7</f>
      </c>
      <c r="AS38" s="44">
        <f>IF(Matching_Engine!$AR$38&gt;=Lookup_Lists!$D$159,"High",IF(Matching_Engine!$AR$38&gt;=Lookup_Lists!$D$160,"Medium","Limited Data"))</f>
      </c>
      <c r="AT38" s="47">
        <f>ROUND((Matching_Engine!$N$38+Matching_Engine!$X$38+Matching_Engine!$AC$38)/3,0)</f>
      </c>
      <c r="AU38" s="47">
        <f>ROUND(((100-Matching_Engine!$AL$38)*Lookup_Lists!$D$162+IF(KOL_Database!$BD$7="",Lookup_Lists!$D$150,KOL_Database!$BD$7)*Lookup_Lists!$D$163+Matching_Engine!$AI$38*Lookup_Lists!$D$164+Matching_Engine!$AD$38*Lookup_Lists!$D$165)/(Lookup_Lists!$D$162+Lookup_Lists!$D$163+Lookup_Lists!$D$164+Lookup_Lists!$D$165),0)</f>
      </c>
      <c r="AV38" s="44">
        <f>IF(Matching_Engine!$AW$38="","PASS","EXCLUDED")</f>
      </c>
      <c r="AW38" s="44">
        <f>IF(ISERROR(SEARCH(KOL_Database!$D$7,Brand_Profile!$E$32)),"Platform not in Preferred Platform",IF(AND(Brand_Profile!$E$36&gt;0,KOL_Database!$J$7&lt;Brand_Profile!$E$36),"Followers below Preferred Follower Range",IF(AND(Brand_Profile!$E$37&gt;0,KOL_Database!$J$7&gt;Brand_Profile!$E$37),"Followers above Preferred Follower Range",IF(AND(Brand_Profile!$E$38&gt;0,IF(KOL_Database!$K$7="",0,KOL_Database!$K$7)&lt;Brand_Profile!$E$38),"Engagement Rate below Minimum Engagement Rate",IF(ISERROR(SEARCH(KOL_Database!$G$7,Brand_Profile!$E$35)),"Tier not in Preferred Tier",IF(AND(Brand_Profile!$E$43&gt;0,Matching_Engine!$AE$38&lt;Brand_Profile!$E$43),"Audience Quality below Minimum Audience Quality",IF(AND(Brand_Profile!$E$44&gt;0,Matching_Engine!$AK$38&lt;Brand_Profile!$E$44),"Brand Safety below Minimum Brand Safety",IF(AND(Brand_Profile!$E$47="Yes",KOL_Database!$AD$7&lt;&gt;Brand_Profile!$E$19),"Audience Country does not match Target Country",IF(AND(Brand_Profile!$E$46="Yes",KOL_Database!$E$7&lt;&gt;Brand_Profile!$E$33),"Category is not the Preferred Category",IF(AND(Brand_Profile!$E$48&gt;0,Matching_Engine!$AL$38&gt;Brand_Profile!$E$48),"Competitor Saturation above Max Competitor Saturation",IF(AND(Brand_Profile!$E$50="Yes",KOL_Database!$AW$7="Yes"),"Already Selected",IF(AND(Brand_Profile!$E$51="Yes",KOL_Database!$AX$7="Yes"),"Already in Cart",IF(AND(Brand_Profile!$E$52="Yes",KOL_Database!$AY$7="Yes"),"Existing Partner",IF(AND(Brand_Profile!$E$53="Yes",KOL_Database!$AZ$7="Yes"),"Excluded Creator",IF(AND(Brand_Profile!$E$49&gt;0,Matching_Engine!$AP$38&lt;Brand_Profile!$E$49),"Brand Match below Minimum Brand Match","")))))))))))))))</f>
      </c>
      <c r="AX38" s="44">
        <f>IF(Matching_Engine!$AV$38="EXCLUDED","Excluded",IF(Matching_Engine!$AP$38&gt;=Lookup_Lists!$D$156,"Highly Recommended",IF(Matching_Engine!$AP$38&gt;=Lookup_Lists!$D$157,"Recommended",IF(Matching_Engine!$AP$38&gt;=Lookup_Lists!$D$158,"Consider","Low Priority"))))</f>
      </c>
      <c r="AY38" s="47">
        <f>IF(Matching_Engine!$AV$38="PASS",Matching_Engine!$AP$38,"")</f>
      </c>
      <c r="AZ38" s="44">
        <f>Matching_Engine!$A$38&amp;"|"&amp;Matching_Engine!$C$38</f>
      </c>
      <c r="BA38" s="44">
        <f>IFERROR(INDEX(Lookup_Lists!$B$51:$B$92,MATCH(Brand_Profile!$E$12,Lookup_Lists!$A$51:$A$92,0)),"")</f>
      </c>
      <c r="BB38" s="44">
        <f>IFERROR(INDEX(Lookup_Lists!$B$51:$B$92,MATCH(KOL_Database!$F$7,Lookup_Lists!$A$51:$A$92,0)),"")</f>
      </c>
      <c r="BC38" s="47">
        <f>IFERROR(INDEX(Lookup_Lists!$B$185:$O$198,MATCH(Matching_Engine!$BA$38,Lookup_Lists!$A$185:$A$198,0),MATCH(KOL_Database!$E$7,Lookup_Lists!$B$184:$O$184,0)),Lookup_Lists!$D$151)</f>
      </c>
      <c r="BD38" s="47">
        <f>IFERROR(INDEX(Lookup_Lists!$B$185:$O$198,MATCH(Brand_Profile!$E$33,Lookup_Lists!$A$185:$A$198,0),MATCH(KOL_Database!$E$7,Lookup_Lists!$B$184:$O$184,0)),Lookup_Lists!$D$151)</f>
      </c>
      <c r="BE38" s="44">
        <f>IFERROR(INDEX(Lookup_Lists!$B$51:$B$92,MATCH(Brand_Profile!$E$34,Lookup_Lists!$A$51:$A$92,0)),"")</f>
      </c>
      <c r="BF38" s="44">
        <f>KOL_Database!$AI$7&amp;", "&amp;KOL_Database!$AG$7&amp;", "&amp;KOL_Database!$F$7&amp;", "&amp;KOL_Database!$E$7</f>
      </c>
      <c r="BG38" s="44">
        <f>KOL_Database!$AI$7&amp;", "&amp;KOL_Database!$AG$7</f>
      </c>
    </row>
    <row r="39" spans="1:59" x14ac:dyDescent="0.25">
      <c r="A39" s="43" t="s">
        <v>76</v>
      </c>
      <c r="B39" s="44">
        <f>Brand_Profile!$E$9</f>
      </c>
      <c r="C39" s="44">
        <f>KOL_Database!$A$8</f>
      </c>
      <c r="D39" s="44">
        <f>KOL_Database!$B$8</f>
      </c>
      <c r="E39" s="44">
        <f>KOL_Database!$C$8</f>
      </c>
      <c r="F39" s="44">
        <f>KOL_Database!$D$8</f>
      </c>
      <c r="G39" s="44">
        <f>KOL_Database!$E$8</f>
      </c>
      <c r="H39" s="44">
        <f>KOL_Database!$G$8</f>
      </c>
      <c r="I39" s="45">
        <f>KOL_Database!$J$8</f>
      </c>
      <c r="J39" s="46">
        <f>KOL_Database!$K$8</f>
      </c>
      <c r="K39" s="47">
        <f>IFERROR(INDEX(Lookup_Lists!$B$170:$O$181,MATCH(Brand_Profile!$E$10,Lookup_Lists!$A$170:$A$181,0),MATCH(KOL_Database!$E$8,Lookup_Lists!$B$169:$O$169,0)),Lookup_Lists!$D$151)</f>
      </c>
      <c r="L39" s="47">
        <f>IF(KOL_Database!$F$8="",Matching_Engine!$BC$39,IF(Brand_Profile!$E$12=KOL_Database!$F$8,100,IF(Matching_Engine!$BA$39=KOL_Database!$E$8,80,IF(Matching_Engine!$BC$39&gt;=80,60,IF(Matching_Engine!$BC$39&gt;=60,40,Lookup_Lists!$D$151)))))</f>
      </c>
      <c r="M39" s="47">
        <f>ROUND((IF(Brand_Profile!$E$62=0,Lookup_Lists!$D$150,ROUND((IF(Brand_Profile!$E$57="",0,IF(ISNUMBER(SEARCH(Brand_Profile!$E$57,Matching_Engine!$BF$39)),1,0))+IF(Brand_Profile!$E$58="",0,IF(ISNUMBER(SEARCH(Brand_Profile!$E$58,Matching_Engine!$BF$39)),1,0))+IF(Brand_Profile!$E$59="",0,IF(ISNUMBER(SEARCH(Brand_Profile!$E$59,Matching_Engine!$BF$39)),1,0))+IF(Brand_Profile!$E$60="",0,IF(ISNUMBER(SEARCH(Brand_Profile!$E$60,Matching_Engine!$BF$39)),1,0))+IF(Brand_Profile!$E$61="",0,IF(ISNUMBER(SEARCH(Brand_Profile!$E$61,Matching_Engine!$BF$39)),1,0)))/Brand_Profile!$E$62*100,0))+IF(Brand_Profile!$E$74=0,Lookup_Lists!$D$150,ROUND((IF(Brand_Profile!$E$69="",0,IF(ISNUMBER(SEARCH(Brand_Profile!$E$69,Matching_Engine!$BF$39)),1,0))+IF(Brand_Profile!$E$70="",0,IF(ISNUMBER(SEARCH(Brand_Profile!$E$70,Matching_Engine!$BF$39)),1,0))+IF(Brand_Profile!$E$71="",0,IF(ISNUMBER(SEARCH(Brand_Profile!$E$71,Matching_Engine!$BF$39)),1,0))+IF(Brand_Profile!$E$72="",0,IF(ISNUMBER(SEARCH(Brand_Profile!$E$72,Matching_Engine!$BF$39)),1,0))+IF(Brand_Profile!$E$73="",0,IF(ISNUMBER(SEARCH(Brand_Profile!$E$73,Matching_Engine!$BF$39)),1,0)))/Brand_Profile!$E$74*100,0)))/2,0)</f>
      </c>
      <c r="N39" s="47">
        <f>ROUND((Matching_Engine!$K$39*Lookup_Lists!$D$110+Matching_Engine!$L$39*Lookup_Lists!$D$111+Matching_Engine!$M$39*Lookup_Lists!$D$112)/(Lookup_Lists!$D$110+Lookup_Lists!$D$111+Lookup_Lists!$D$112),0)</f>
      </c>
      <c r="O39" s="47">
        <f>IF(Brand_Profile!$E$16="",Lookup_Lists!$D$150,MIN(100,ROUND((IFERROR(INDEX(KOL_Database!$W$8:KOL_Database!$AA$8,1,MATCH(Brand_Profile!$E$16,Lookup_Lists!$F$6:$F$10,0)),0)+0.5*IFERROR(INDEX(KOL_Database!$W$8:KOL_Database!$AA$8,1,MATCH(Brand_Profile!$E$17,Lookup_Lists!$F$6:$F$10,0)),0))/Lookup_Lists!$D$142*100,0)))</f>
      </c>
      <c r="P39" s="47">
        <f>IF(OR(Brand_Profile!$E$18="",Brand_Profile!$E$18="Any"),100,IF(Brand_Profile!$E$18="Female",MIN(100,ROUND(KOL_Database!$AB$8/Lookup_Lists!$D$143*100,0)),IF(Brand_Profile!$E$18="Male",MIN(100,ROUND(KOL_Database!$AC$8/Lookup_Lists!$D$143*100,0)),MAX(0,ROUND(100-ABS(KOL_Database!$AB$8-50)*2,0)))))</f>
      </c>
      <c r="Q39" s="47">
        <f>ROUND((IF(Brand_Profile!$E$19="",100,IF(KOL_Database!$AD$8=Brand_Profile!$E$19,100,Lookup_Lists!$D$151))*Lookup_Lists!$D$118+IF(OR(Brand_Profile!$E$20="",Brand_Profile!$E$20="Nasional"),100,IF(KOL_Database!$AE$8="",Lookup_Lists!$D$150,IF(KOL_Database!$AE$8=Brand_Profile!$E$20,100,IF(KOL_Database!$AD$8=Brand_Profile!$E$19,40,Lookup_Lists!$D$151))))*Lookup_Lists!$D$119+IF(OR(Brand_Profile!$E$21="",Brand_Profile!$E$21="Nasional"),100,IF(KOL_Database!$AF$8="",Lookup_Lists!$D$150,IF(KOL_Database!$AF$8=Brand_Profile!$E$21,100,IF(KOL_Database!$AE$8=Brand_Profile!$E$20,60,Lookup_Lists!$D$151))))*Lookup_Lists!$D$120)/(Lookup_Lists!$D$118+Lookup_Lists!$D$119+Lookup_Lists!$D$120),0)</f>
      </c>
      <c r="R39" s="47">
        <f>IF(Brand_Profile!$E$68=0,Lookup_Lists!$D$150,ROUND((IF(Brand_Profile!$E$63="",0,IF(ISNUMBER(SEARCH(Brand_Profile!$E$63,KOL_Database!$AG$8)),1,0))+IF(Brand_Profile!$E$64="",0,IF(ISNUMBER(SEARCH(Brand_Profile!$E$64,KOL_Database!$AG$8)),1,0))+IF(Brand_Profile!$E$65="",0,IF(ISNUMBER(SEARCH(Brand_Profile!$E$65,KOL_Database!$AG$8)),1,0))+IF(Brand_Profile!$E$66="",0,IF(ISNUMBER(SEARCH(Brand_Profile!$E$66,KOL_Database!$AG$8)),1,0))+IF(Brand_Profile!$E$67="",0,IF(ISNUMBER(SEARCH(Brand_Profile!$E$67,KOL_Database!$AG$8)),1,0)))/Brand_Profile!$E$68*100,0))</f>
      </c>
      <c r="S39" s="47">
        <f>ROUND((Matching_Engine!$O$39*Brand_Profile!$E$96+Matching_Engine!$P$39*Brand_Profile!$E$97+Matching_Engine!$Q$39*Brand_Profile!$E$98+Matching_Engine!$R$39*Brand_Profile!$E$99)/MAX(1,Brand_Profile!$E$96+Brand_Profile!$E$97+Brand_Profile!$E$98+Brand_Profile!$E$99),0)</f>
      </c>
      <c r="T39" s="47">
        <f>IF(Brand_Profile!$E$33="",Lookup_Lists!$D$150,Matching_Engine!$BD$39)</f>
      </c>
      <c r="U39" s="47">
        <f>IF(Brand_Profile!$E$34="",Lookup_Lists!$D$150,IF(Brand_Profile!$E$34=KOL_Database!$F$8,100,IF(Matching_Engine!$BE$39=KOL_Database!$E$8,75,IF(Matching_Engine!$BD$39&gt;=80,Lookup_Lists!$D$150,IF(Matching_Engine!$BD$39&gt;=60,35,Lookup_Lists!$D$151)))))</f>
      </c>
      <c r="V39" s="47">
        <f>IF(Brand_Profile!$E$86=0,Lookup_Lists!$D$150,ROUND((IF(Brand_Profile!$E$81="",0,IF(ISNUMBER(SEARCH(Brand_Profile!$E$81,Matching_Engine!$BG$39)),1,0))+IF(Brand_Profile!$E$82="",0,IF(ISNUMBER(SEARCH(Brand_Profile!$E$82,Matching_Engine!$BG$39)),1,0))+IF(Brand_Profile!$E$83="",0,IF(ISNUMBER(SEARCH(Brand_Profile!$E$83,Matching_Engine!$BG$39)),1,0))+IF(Brand_Profile!$E$84="",0,IF(ISNUMBER(SEARCH(Brand_Profile!$E$84,Matching_Engine!$BG$39)),1,0))+IF(Brand_Profile!$E$85="",0,IF(ISNUMBER(SEARCH(Brand_Profile!$E$85,Matching_Engine!$BG$39)),1,0)))/Brand_Profile!$E$86*100,0))</f>
      </c>
      <c r="W39" s="47">
        <f>IF(Brand_Profile!$E$39="",Lookup_Lists!$D$150,IFERROR(INDEX(Lookup_Lists!$B$237:$K$246,MATCH(Brand_Profile!$E$39,Lookup_Lists!$A$237:$A$246,0),MATCH(KOL_Database!$AJ$8,Lookup_Lists!$B$236:$K$236,0)),45))</f>
      </c>
      <c r="X39" s="47">
        <f>ROUND((Matching_Engine!$T$39*Lookup_Lists!$D$121+Matching_Engine!$U$39*Lookup_Lists!$D$122+Matching_Engine!$V$39*Lookup_Lists!$D$123+Matching_Engine!$W$39*Lookup_Lists!$D$124)/(Lookup_Lists!$D$121+Lookup_Lists!$D$122+Lookup_Lists!$D$123+Lookup_Lists!$D$124),0)</f>
      </c>
      <c r="Y39" s="47">
        <f>MIN(100,MAX(IFERROR(INDEX(Lookup_Lists!$B$202:$M$211,MATCH(Brand_Profile!$E$25,Lookup_Lists!$A$202:$A$211,0),MATCH(KOL_Database!$AK$8,Lookup_Lists!$B$201:$M$201,0)),40),IF(KOL_Database!$AK$8=Brand_Profile!$E$41,95,0)))</f>
      </c>
      <c r="Z39" s="47">
        <f>IFERROR(INDEX(Lookup_Lists!$B$215:$K$222,MATCH(Brand_Profile!$E$27,Lookup_Lists!$A$215:$A$222,0),MATCH(KOL_Database!$AJ$8,Lookup_Lists!$B$214:$K$214,0)),45)</f>
      </c>
      <c r="AA39" s="47">
        <f>ROUND((IF(Brand_Profile!$E$80=0,Lookup_Lists!$D$150,ROUND((IF(Brand_Profile!$E$75="",0,IF(ISNUMBER(SEARCH(Brand_Profile!$E$75,KOL_Database!$AL$8)),1,0))+IF(Brand_Profile!$E$76="",0,IF(ISNUMBER(SEARCH(Brand_Profile!$E$76,KOL_Database!$AL$8)),1,0))+IF(Brand_Profile!$E$77="",0,IF(ISNUMBER(SEARCH(Brand_Profile!$E$77,KOL_Database!$AL$8)),1,0))+IF(Brand_Profile!$E$78="",0,IF(ISNUMBER(SEARCH(Brand_Profile!$E$78,KOL_Database!$AL$8)),1,0))+IF(Brand_Profile!$E$79="",0,IF(ISNUMBER(SEARCH(Brand_Profile!$E$79,KOL_Database!$AL$8)),1,0)))/Brand_Profile!$E$80*100,0))+IF(Brand_Profile!$E$92=0,Lookup_Lists!$D$150,ROUND((IF(Brand_Profile!$E$87="",0,IF(ISNUMBER(SEARCH(Brand_Profile!$E$87,KOL_Database!$AL$8)),1,0))+IF(Brand_Profile!$E$88="",0,IF(ISNUMBER(SEARCH(Brand_Profile!$E$88,KOL_Database!$AL$8)),1,0))+IF(Brand_Profile!$E$89="",0,IF(ISNUMBER(SEARCH(Brand_Profile!$E$89,KOL_Database!$AL$8)),1,0))+IF(Brand_Profile!$E$90="",0,IF(ISNUMBER(SEARCH(Brand_Profile!$E$90,KOL_Database!$AL$8)),1,0))+IF(Brand_Profile!$E$91="",0,IF(ISNUMBER(SEARCH(Brand_Profile!$E$91,KOL_Database!$AL$8)),1,0)))/Brand_Profile!$E$92*100,0)))/2,0)</f>
      </c>
      <c r="AB39" s="47">
        <f>IFERROR(INDEX(Lookup_Lists!$B$226:$K$233,MATCH(Brand_Profile!$E$30,Lookup_Lists!$A$226:$A$233,0),MATCH(KOL_Database!$AJ$8,Lookup_Lists!$B$225:$K$225,0)),45)</f>
      </c>
      <c r="AC39" s="47">
        <f>ROUND((Matching_Engine!$Y$39*Lookup_Lists!$D$125+Matching_Engine!$Z$39*Lookup_Lists!$D$126+Matching_Engine!$AA$39*Lookup_Lists!$D$127+Matching_Engine!$AB$39*Lookup_Lists!$D$128)/(Lookup_Lists!$D$125+Lookup_Lists!$D$126+Lookup_Lists!$D$127+Lookup_Lists!$D$128),0)</f>
      </c>
      <c r="AD39" s="47">
        <f>IF(KOL_Database!$K$8="",0,MIN(100,ROUND(KOL_Database!$K$8/Lookup_Lists!$D$141*100,0)))</f>
      </c>
      <c r="AE39" s="47">
        <f>IF(KOL_Database!$R$8="",0,MIN(100,MAX(0,KOL_Database!$R$8)))</f>
      </c>
      <c r="AF39" s="47">
        <f>IF(KOL_Database!$P$8="",0,MIN(100,MAX(0,KOL_Database!$P$8)))</f>
      </c>
      <c r="AG39" s="47">
        <f>IF(KOL_Database!$Q$8="",0,MIN(100,MAX(0,KOL_Database!$Q$8)))</f>
      </c>
      <c r="AH39" s="47">
        <f>IF(OR(KOL_Database!$J$8="",KOL_Database!$J$8=0,KOL_Database!$L$8=""),0,MIN(100,ROUND(KOL_Database!$L$8/KOL_Database!$J$8/Lookup_Lists!$D$144*100,0)))</f>
      </c>
      <c r="AI39" s="47">
        <f>IF(KOL_Database!$N$8="",0,MIN(100,MAX(0,ROUND((KOL_Database!$N$8+2)/(Lookup_Lists!$D$145+2)*100,0))))</f>
      </c>
      <c r="AJ39" s="47">
        <f>ROUND((Matching_Engine!$AD$39*Lookup_Lists!$D$129+Matching_Engine!$AE$39*Lookup_Lists!$D$130+Matching_Engine!$AF$39*Lookup_Lists!$D$131+Matching_Engine!$AG$39*Lookup_Lists!$D$132+Matching_Engine!$AH$39*Lookup_Lists!$D$133+Matching_Engine!$AI$39*Lookup_Lists!$D$134)/(Lookup_Lists!$D$129+Lookup_Lists!$D$130+Lookup_Lists!$D$131+Lookup_Lists!$D$132+Lookup_Lists!$D$133+Lookup_Lists!$D$134),0)</f>
      </c>
      <c r="AK39" s="47">
        <f>IF(KOL_Database!$AT$8="",0,MIN(100,MAX(0,KOL_Database!$AT$8)))</f>
      </c>
      <c r="AL39" s="47">
        <f>IF(KOL_Database!$AU$8="",0,KOL_Database!$AU$8)</f>
      </c>
      <c r="AM39" s="44">
        <f>IF(KOL_Database!$AV$8="","None",KOL_Database!$AV$8)</f>
      </c>
      <c r="AN39" s="48">
        <f>IF(Matching_Engine!$AM$39="High",Lookup_Lists!$D$137,IF(Matching_Engine!$AM$39="Medium",Lookup_Lists!$D$138,IF(Matching_Engine!$AM$39="Low",Lookup_Lists!$D$139,Lookup_Lists!$D$140)))</f>
      </c>
      <c r="AO39" s="47">
        <f>ROUND(MIN(100,MAX(0,(Matching_Engine!$AK$39*Lookup_Lists!$D$135+(100-Matching_Engine!$AL$39)*Lookup_Lists!$D$136)/(Lookup_Lists!$D$135+Lookup_Lists!$D$136)*Matching_Engine!$AN$39)),0)</f>
      </c>
      <c r="AP39" s="49">
        <f>ROUND((Matching_Engine!$N$39*Lookup_Lists!$D$104+Matching_Engine!$S$39*Lookup_Lists!$D$105+Matching_Engine!$X$39*Lookup_Lists!$D$106+Matching_Engine!$AC$39*Lookup_Lists!$D$107+Matching_Engine!$AJ$39*Lookup_Lists!$D$108+Matching_Engine!$AO$39*Lookup_Lists!$D$109)/MAX(1,(Lookup_Lists!$D$104+Lookup_Lists!$D$105+Lookup_Lists!$D$106+Lookup_Lists!$D$107+Lookup_Lists!$D$108+Lookup_Lists!$D$109)),0)</f>
      </c>
      <c r="AQ39" s="44">
        <f>IF(Matching_Engine!$AP$39&gt;=Lookup_Lists!$D$152,"Excellent Match",IF(Matching_Engine!$AP$39&gt;=Lookup_Lists!$D$153,"Strong Match",IF(Matching_Engine!$AP$39&gt;=Lookup_Lists!$D$154,"Good Match",IF(Matching_Engine!$AP$39&gt;=Lookup_Lists!$D$155,"Moderate Match","Low Match"))))</f>
      </c>
      <c r="AR39" s="47">
        <f>KOL_Database!$BE$8</f>
      </c>
      <c r="AS39" s="44">
        <f>IF(Matching_Engine!$AR$39&gt;=Lookup_Lists!$D$159,"High",IF(Matching_Engine!$AR$39&gt;=Lookup_Lists!$D$160,"Medium","Limited Data"))</f>
      </c>
      <c r="AT39" s="47">
        <f>ROUND((Matching_Engine!$N$39+Matching_Engine!$X$39+Matching_Engine!$AC$39)/3,0)</f>
      </c>
      <c r="AU39" s="47">
        <f>ROUND(((100-Matching_Engine!$AL$39)*Lookup_Lists!$D$162+IF(KOL_Database!$BD$8="",Lookup_Lists!$D$150,KOL_Database!$BD$8)*Lookup_Lists!$D$163+Matching_Engine!$AI$39*Lookup_Lists!$D$164+Matching_Engine!$AD$39*Lookup_Lists!$D$165)/(Lookup_Lists!$D$162+Lookup_Lists!$D$163+Lookup_Lists!$D$164+Lookup_Lists!$D$165),0)</f>
      </c>
      <c r="AV39" s="44">
        <f>IF(Matching_Engine!$AW$39="","PASS","EXCLUDED")</f>
      </c>
      <c r="AW39" s="44">
        <f>IF(ISERROR(SEARCH(KOL_Database!$D$8,Brand_Profile!$E$32)),"Platform not in Preferred Platform",IF(AND(Brand_Profile!$E$36&gt;0,KOL_Database!$J$8&lt;Brand_Profile!$E$36),"Followers below Preferred Follower Range",IF(AND(Brand_Profile!$E$37&gt;0,KOL_Database!$J$8&gt;Brand_Profile!$E$37),"Followers above Preferred Follower Range",IF(AND(Brand_Profile!$E$38&gt;0,IF(KOL_Database!$K$8="",0,KOL_Database!$K$8)&lt;Brand_Profile!$E$38),"Engagement Rate below Minimum Engagement Rate",IF(ISERROR(SEARCH(KOL_Database!$G$8,Brand_Profile!$E$35)),"Tier not in Preferred Tier",IF(AND(Brand_Profile!$E$43&gt;0,Matching_Engine!$AE$39&lt;Brand_Profile!$E$43),"Audience Quality below Minimum Audience Quality",IF(AND(Brand_Profile!$E$44&gt;0,Matching_Engine!$AK$39&lt;Brand_Profile!$E$44),"Brand Safety below Minimum Brand Safety",IF(AND(Brand_Profile!$E$47="Yes",KOL_Database!$AD$8&lt;&gt;Brand_Profile!$E$19),"Audience Country does not match Target Country",IF(AND(Brand_Profile!$E$46="Yes",KOL_Database!$E$8&lt;&gt;Brand_Profile!$E$33),"Category is not the Preferred Category",IF(AND(Brand_Profile!$E$48&gt;0,Matching_Engine!$AL$39&gt;Brand_Profile!$E$48),"Competitor Saturation above Max Competitor Saturation",IF(AND(Brand_Profile!$E$50="Yes",KOL_Database!$AW$8="Yes"),"Already Selected",IF(AND(Brand_Profile!$E$51="Yes",KOL_Database!$AX$8="Yes"),"Already in Cart",IF(AND(Brand_Profile!$E$52="Yes",KOL_Database!$AY$8="Yes"),"Existing Partner",IF(AND(Brand_Profile!$E$53="Yes",KOL_Database!$AZ$8="Yes"),"Excluded Creator",IF(AND(Brand_Profile!$E$49&gt;0,Matching_Engine!$AP$39&lt;Brand_Profile!$E$49),"Brand Match below Minimum Brand Match","")))))))))))))))</f>
      </c>
      <c r="AX39" s="44">
        <f>IF(Matching_Engine!$AV$39="EXCLUDED","Excluded",IF(Matching_Engine!$AP$39&gt;=Lookup_Lists!$D$156,"Highly Recommended",IF(Matching_Engine!$AP$39&gt;=Lookup_Lists!$D$157,"Recommended",IF(Matching_Engine!$AP$39&gt;=Lookup_Lists!$D$158,"Consider","Low Priority"))))</f>
      </c>
      <c r="AY39" s="47">
        <f>IF(Matching_Engine!$AV$39="PASS",Matching_Engine!$AP$39,"")</f>
      </c>
      <c r="AZ39" s="44">
        <f>Matching_Engine!$A$39&amp;"|"&amp;Matching_Engine!$C$39</f>
      </c>
      <c r="BA39" s="44">
        <f>IFERROR(INDEX(Lookup_Lists!$B$51:$B$92,MATCH(Brand_Profile!$E$12,Lookup_Lists!$A$51:$A$92,0)),"")</f>
      </c>
      <c r="BB39" s="44">
        <f>IFERROR(INDEX(Lookup_Lists!$B$51:$B$92,MATCH(KOL_Database!$F$8,Lookup_Lists!$A$51:$A$92,0)),"")</f>
      </c>
      <c r="BC39" s="47">
        <f>IFERROR(INDEX(Lookup_Lists!$B$185:$O$198,MATCH(Matching_Engine!$BA$39,Lookup_Lists!$A$185:$A$198,0),MATCH(KOL_Database!$E$8,Lookup_Lists!$B$184:$O$184,0)),Lookup_Lists!$D$151)</f>
      </c>
      <c r="BD39" s="47">
        <f>IFERROR(INDEX(Lookup_Lists!$B$185:$O$198,MATCH(Brand_Profile!$E$33,Lookup_Lists!$A$185:$A$198,0),MATCH(KOL_Database!$E$8,Lookup_Lists!$B$184:$O$184,0)),Lookup_Lists!$D$151)</f>
      </c>
      <c r="BE39" s="44">
        <f>IFERROR(INDEX(Lookup_Lists!$B$51:$B$92,MATCH(Brand_Profile!$E$34,Lookup_Lists!$A$51:$A$92,0)),"")</f>
      </c>
      <c r="BF39" s="44">
        <f>KOL_Database!$AI$8&amp;", "&amp;KOL_Database!$AG$8&amp;", "&amp;KOL_Database!$F$8&amp;", "&amp;KOL_Database!$E$8</f>
      </c>
      <c r="BG39" s="44">
        <f>KOL_Database!$AI$8&amp;", "&amp;KOL_Database!$AG$8</f>
      </c>
    </row>
    <row r="40" spans="1:59" x14ac:dyDescent="0.25">
      <c r="A40" s="43" t="s">
        <v>76</v>
      </c>
      <c r="B40" s="44">
        <f>Brand_Profile!$E$9</f>
      </c>
      <c r="C40" s="44">
        <f>KOL_Database!$A$9</f>
      </c>
      <c r="D40" s="44">
        <f>KOL_Database!$B$9</f>
      </c>
      <c r="E40" s="44">
        <f>KOL_Database!$C$9</f>
      </c>
      <c r="F40" s="44">
        <f>KOL_Database!$D$9</f>
      </c>
      <c r="G40" s="44">
        <f>KOL_Database!$E$9</f>
      </c>
      <c r="H40" s="44">
        <f>KOL_Database!$G$9</f>
      </c>
      <c r="I40" s="45">
        <f>KOL_Database!$J$9</f>
      </c>
      <c r="J40" s="46">
        <f>KOL_Database!$K$9</f>
      </c>
      <c r="K40" s="47">
        <f>IFERROR(INDEX(Lookup_Lists!$B$170:$O$181,MATCH(Brand_Profile!$E$10,Lookup_Lists!$A$170:$A$181,0),MATCH(KOL_Database!$E$9,Lookup_Lists!$B$169:$O$169,0)),Lookup_Lists!$D$151)</f>
      </c>
      <c r="L40" s="47">
        <f>IF(KOL_Database!$F$9="",Matching_Engine!$BC$40,IF(Brand_Profile!$E$12=KOL_Database!$F$9,100,IF(Matching_Engine!$BA$40=KOL_Database!$E$9,80,IF(Matching_Engine!$BC$40&gt;=80,60,IF(Matching_Engine!$BC$40&gt;=60,40,Lookup_Lists!$D$151)))))</f>
      </c>
      <c r="M40" s="47">
        <f>ROUND((IF(Brand_Profile!$E$62=0,Lookup_Lists!$D$150,ROUND((IF(Brand_Profile!$E$57="",0,IF(ISNUMBER(SEARCH(Brand_Profile!$E$57,Matching_Engine!$BF$40)),1,0))+IF(Brand_Profile!$E$58="",0,IF(ISNUMBER(SEARCH(Brand_Profile!$E$58,Matching_Engine!$BF$40)),1,0))+IF(Brand_Profile!$E$59="",0,IF(ISNUMBER(SEARCH(Brand_Profile!$E$59,Matching_Engine!$BF$40)),1,0))+IF(Brand_Profile!$E$60="",0,IF(ISNUMBER(SEARCH(Brand_Profile!$E$60,Matching_Engine!$BF$40)),1,0))+IF(Brand_Profile!$E$61="",0,IF(ISNUMBER(SEARCH(Brand_Profile!$E$61,Matching_Engine!$BF$40)),1,0)))/Brand_Profile!$E$62*100,0))+IF(Brand_Profile!$E$74=0,Lookup_Lists!$D$150,ROUND((IF(Brand_Profile!$E$69="",0,IF(ISNUMBER(SEARCH(Brand_Profile!$E$69,Matching_Engine!$BF$40)),1,0))+IF(Brand_Profile!$E$70="",0,IF(ISNUMBER(SEARCH(Brand_Profile!$E$70,Matching_Engine!$BF$40)),1,0))+IF(Brand_Profile!$E$71="",0,IF(ISNUMBER(SEARCH(Brand_Profile!$E$71,Matching_Engine!$BF$40)),1,0))+IF(Brand_Profile!$E$72="",0,IF(ISNUMBER(SEARCH(Brand_Profile!$E$72,Matching_Engine!$BF$40)),1,0))+IF(Brand_Profile!$E$73="",0,IF(ISNUMBER(SEARCH(Brand_Profile!$E$73,Matching_Engine!$BF$40)),1,0)))/Brand_Profile!$E$74*100,0)))/2,0)</f>
      </c>
      <c r="N40" s="47">
        <f>ROUND((Matching_Engine!$K$40*Lookup_Lists!$D$110+Matching_Engine!$L$40*Lookup_Lists!$D$111+Matching_Engine!$M$40*Lookup_Lists!$D$112)/(Lookup_Lists!$D$110+Lookup_Lists!$D$111+Lookup_Lists!$D$112),0)</f>
      </c>
      <c r="O40" s="47">
        <f>IF(Brand_Profile!$E$16="",Lookup_Lists!$D$150,MIN(100,ROUND((IFERROR(INDEX(KOL_Database!$W$9:KOL_Database!$AA$9,1,MATCH(Brand_Profile!$E$16,Lookup_Lists!$F$6:$F$10,0)),0)+0.5*IFERROR(INDEX(KOL_Database!$W$9:KOL_Database!$AA$9,1,MATCH(Brand_Profile!$E$17,Lookup_Lists!$F$6:$F$10,0)),0))/Lookup_Lists!$D$142*100,0)))</f>
      </c>
      <c r="P40" s="47">
        <f>IF(OR(Brand_Profile!$E$18="",Brand_Profile!$E$18="Any"),100,IF(Brand_Profile!$E$18="Female",MIN(100,ROUND(KOL_Database!$AB$9/Lookup_Lists!$D$143*100,0)),IF(Brand_Profile!$E$18="Male",MIN(100,ROUND(KOL_Database!$AC$9/Lookup_Lists!$D$143*100,0)),MAX(0,ROUND(100-ABS(KOL_Database!$AB$9-50)*2,0)))))</f>
      </c>
      <c r="Q40" s="47">
        <f>ROUND((IF(Brand_Profile!$E$19="",100,IF(KOL_Database!$AD$9=Brand_Profile!$E$19,100,Lookup_Lists!$D$151))*Lookup_Lists!$D$118+IF(OR(Brand_Profile!$E$20="",Brand_Profile!$E$20="Nasional"),100,IF(KOL_Database!$AE$9="",Lookup_Lists!$D$150,IF(KOL_Database!$AE$9=Brand_Profile!$E$20,100,IF(KOL_Database!$AD$9=Brand_Profile!$E$19,40,Lookup_Lists!$D$151))))*Lookup_Lists!$D$119+IF(OR(Brand_Profile!$E$21="",Brand_Profile!$E$21="Nasional"),100,IF(KOL_Database!$AF$9="",Lookup_Lists!$D$150,IF(KOL_Database!$AF$9=Brand_Profile!$E$21,100,IF(KOL_Database!$AE$9=Brand_Profile!$E$20,60,Lookup_Lists!$D$151))))*Lookup_Lists!$D$120)/(Lookup_Lists!$D$118+Lookup_Lists!$D$119+Lookup_Lists!$D$120),0)</f>
      </c>
      <c r="R40" s="47">
        <f>IF(Brand_Profile!$E$68=0,Lookup_Lists!$D$150,ROUND((IF(Brand_Profile!$E$63="",0,IF(ISNUMBER(SEARCH(Brand_Profile!$E$63,KOL_Database!$AG$9)),1,0))+IF(Brand_Profile!$E$64="",0,IF(ISNUMBER(SEARCH(Brand_Profile!$E$64,KOL_Database!$AG$9)),1,0))+IF(Brand_Profile!$E$65="",0,IF(ISNUMBER(SEARCH(Brand_Profile!$E$65,KOL_Database!$AG$9)),1,0))+IF(Brand_Profile!$E$66="",0,IF(ISNUMBER(SEARCH(Brand_Profile!$E$66,KOL_Database!$AG$9)),1,0))+IF(Brand_Profile!$E$67="",0,IF(ISNUMBER(SEARCH(Brand_Profile!$E$67,KOL_Database!$AG$9)),1,0)))/Brand_Profile!$E$68*100,0))</f>
      </c>
      <c r="S40" s="47">
        <f>ROUND((Matching_Engine!$O$40*Brand_Profile!$E$96+Matching_Engine!$P$40*Brand_Profile!$E$97+Matching_Engine!$Q$40*Brand_Profile!$E$98+Matching_Engine!$R$40*Brand_Profile!$E$99)/MAX(1,Brand_Profile!$E$96+Brand_Profile!$E$97+Brand_Profile!$E$98+Brand_Profile!$E$99),0)</f>
      </c>
      <c r="T40" s="47">
        <f>IF(Brand_Profile!$E$33="",Lookup_Lists!$D$150,Matching_Engine!$BD$40)</f>
      </c>
      <c r="U40" s="47">
        <f>IF(Brand_Profile!$E$34="",Lookup_Lists!$D$150,IF(Brand_Profile!$E$34=KOL_Database!$F$9,100,IF(Matching_Engine!$BE$40=KOL_Database!$E$9,75,IF(Matching_Engine!$BD$40&gt;=80,Lookup_Lists!$D$150,IF(Matching_Engine!$BD$40&gt;=60,35,Lookup_Lists!$D$151)))))</f>
      </c>
      <c r="V40" s="47">
        <f>IF(Brand_Profile!$E$86=0,Lookup_Lists!$D$150,ROUND((IF(Brand_Profile!$E$81="",0,IF(ISNUMBER(SEARCH(Brand_Profile!$E$81,Matching_Engine!$BG$40)),1,0))+IF(Brand_Profile!$E$82="",0,IF(ISNUMBER(SEARCH(Brand_Profile!$E$82,Matching_Engine!$BG$40)),1,0))+IF(Brand_Profile!$E$83="",0,IF(ISNUMBER(SEARCH(Brand_Profile!$E$83,Matching_Engine!$BG$40)),1,0))+IF(Brand_Profile!$E$84="",0,IF(ISNUMBER(SEARCH(Brand_Profile!$E$84,Matching_Engine!$BG$40)),1,0))+IF(Brand_Profile!$E$85="",0,IF(ISNUMBER(SEARCH(Brand_Profile!$E$85,Matching_Engine!$BG$40)),1,0)))/Brand_Profile!$E$86*100,0))</f>
      </c>
      <c r="W40" s="47">
        <f>IF(Brand_Profile!$E$39="",Lookup_Lists!$D$150,IFERROR(INDEX(Lookup_Lists!$B$237:$K$246,MATCH(Brand_Profile!$E$39,Lookup_Lists!$A$237:$A$246,0),MATCH(KOL_Database!$AJ$9,Lookup_Lists!$B$236:$K$236,0)),45))</f>
      </c>
      <c r="X40" s="47">
        <f>ROUND((Matching_Engine!$T$40*Lookup_Lists!$D$121+Matching_Engine!$U$40*Lookup_Lists!$D$122+Matching_Engine!$V$40*Lookup_Lists!$D$123+Matching_Engine!$W$40*Lookup_Lists!$D$124)/(Lookup_Lists!$D$121+Lookup_Lists!$D$122+Lookup_Lists!$D$123+Lookup_Lists!$D$124),0)</f>
      </c>
      <c r="Y40" s="47">
        <f>MIN(100,MAX(IFERROR(INDEX(Lookup_Lists!$B$202:$M$211,MATCH(Brand_Profile!$E$25,Lookup_Lists!$A$202:$A$211,0),MATCH(KOL_Database!$AK$9,Lookup_Lists!$B$201:$M$201,0)),40),IF(KOL_Database!$AK$9=Brand_Profile!$E$41,95,0)))</f>
      </c>
      <c r="Z40" s="47">
        <f>IFERROR(INDEX(Lookup_Lists!$B$215:$K$222,MATCH(Brand_Profile!$E$27,Lookup_Lists!$A$215:$A$222,0),MATCH(KOL_Database!$AJ$9,Lookup_Lists!$B$214:$K$214,0)),45)</f>
      </c>
      <c r="AA40" s="47">
        <f>ROUND((IF(Brand_Profile!$E$80=0,Lookup_Lists!$D$150,ROUND((IF(Brand_Profile!$E$75="",0,IF(ISNUMBER(SEARCH(Brand_Profile!$E$75,KOL_Database!$AL$9)),1,0))+IF(Brand_Profile!$E$76="",0,IF(ISNUMBER(SEARCH(Brand_Profile!$E$76,KOL_Database!$AL$9)),1,0))+IF(Brand_Profile!$E$77="",0,IF(ISNUMBER(SEARCH(Brand_Profile!$E$77,KOL_Database!$AL$9)),1,0))+IF(Brand_Profile!$E$78="",0,IF(ISNUMBER(SEARCH(Brand_Profile!$E$78,KOL_Database!$AL$9)),1,0))+IF(Brand_Profile!$E$79="",0,IF(ISNUMBER(SEARCH(Brand_Profile!$E$79,KOL_Database!$AL$9)),1,0)))/Brand_Profile!$E$80*100,0))+IF(Brand_Profile!$E$92=0,Lookup_Lists!$D$150,ROUND((IF(Brand_Profile!$E$87="",0,IF(ISNUMBER(SEARCH(Brand_Profile!$E$87,KOL_Database!$AL$9)),1,0))+IF(Brand_Profile!$E$88="",0,IF(ISNUMBER(SEARCH(Brand_Profile!$E$88,KOL_Database!$AL$9)),1,0))+IF(Brand_Profile!$E$89="",0,IF(ISNUMBER(SEARCH(Brand_Profile!$E$89,KOL_Database!$AL$9)),1,0))+IF(Brand_Profile!$E$90="",0,IF(ISNUMBER(SEARCH(Brand_Profile!$E$90,KOL_Database!$AL$9)),1,0))+IF(Brand_Profile!$E$91="",0,IF(ISNUMBER(SEARCH(Brand_Profile!$E$91,KOL_Database!$AL$9)),1,0)))/Brand_Profile!$E$92*100,0)))/2,0)</f>
      </c>
      <c r="AB40" s="47">
        <f>IFERROR(INDEX(Lookup_Lists!$B$226:$K$233,MATCH(Brand_Profile!$E$30,Lookup_Lists!$A$226:$A$233,0),MATCH(KOL_Database!$AJ$9,Lookup_Lists!$B$225:$K$225,0)),45)</f>
      </c>
      <c r="AC40" s="47">
        <f>ROUND((Matching_Engine!$Y$40*Lookup_Lists!$D$125+Matching_Engine!$Z$40*Lookup_Lists!$D$126+Matching_Engine!$AA$40*Lookup_Lists!$D$127+Matching_Engine!$AB$40*Lookup_Lists!$D$128)/(Lookup_Lists!$D$125+Lookup_Lists!$D$126+Lookup_Lists!$D$127+Lookup_Lists!$D$128),0)</f>
      </c>
      <c r="AD40" s="47">
        <f>IF(KOL_Database!$K$9="",0,MIN(100,ROUND(KOL_Database!$K$9/Lookup_Lists!$D$141*100,0)))</f>
      </c>
      <c r="AE40" s="47">
        <f>IF(KOL_Database!$R$9="",0,MIN(100,MAX(0,KOL_Database!$R$9)))</f>
      </c>
      <c r="AF40" s="47">
        <f>IF(KOL_Database!$P$9="",0,MIN(100,MAX(0,KOL_Database!$P$9)))</f>
      </c>
      <c r="AG40" s="47">
        <f>IF(KOL_Database!$Q$9="",0,MIN(100,MAX(0,KOL_Database!$Q$9)))</f>
      </c>
      <c r="AH40" s="47">
        <f>IF(OR(KOL_Database!$J$9="",KOL_Database!$J$9=0,KOL_Database!$L$9=""),0,MIN(100,ROUND(KOL_Database!$L$9/KOL_Database!$J$9/Lookup_Lists!$D$144*100,0)))</f>
      </c>
      <c r="AI40" s="47">
        <f>IF(KOL_Database!$N$9="",0,MIN(100,MAX(0,ROUND((KOL_Database!$N$9+2)/(Lookup_Lists!$D$145+2)*100,0))))</f>
      </c>
      <c r="AJ40" s="47">
        <f>ROUND((Matching_Engine!$AD$40*Lookup_Lists!$D$129+Matching_Engine!$AE$40*Lookup_Lists!$D$130+Matching_Engine!$AF$40*Lookup_Lists!$D$131+Matching_Engine!$AG$40*Lookup_Lists!$D$132+Matching_Engine!$AH$40*Lookup_Lists!$D$133+Matching_Engine!$AI$40*Lookup_Lists!$D$134)/(Lookup_Lists!$D$129+Lookup_Lists!$D$130+Lookup_Lists!$D$131+Lookup_Lists!$D$132+Lookup_Lists!$D$133+Lookup_Lists!$D$134),0)</f>
      </c>
      <c r="AK40" s="47">
        <f>IF(KOL_Database!$AT$9="",0,MIN(100,MAX(0,KOL_Database!$AT$9)))</f>
      </c>
      <c r="AL40" s="47">
        <f>IF(KOL_Database!$AU$9="",0,KOL_Database!$AU$9)</f>
      </c>
      <c r="AM40" s="44">
        <f>IF(KOL_Database!$AV$9="","None",KOL_Database!$AV$9)</f>
      </c>
      <c r="AN40" s="48">
        <f>IF(Matching_Engine!$AM$40="High",Lookup_Lists!$D$137,IF(Matching_Engine!$AM$40="Medium",Lookup_Lists!$D$138,IF(Matching_Engine!$AM$40="Low",Lookup_Lists!$D$139,Lookup_Lists!$D$140)))</f>
      </c>
      <c r="AO40" s="47">
        <f>ROUND(MIN(100,MAX(0,(Matching_Engine!$AK$40*Lookup_Lists!$D$135+(100-Matching_Engine!$AL$40)*Lookup_Lists!$D$136)/(Lookup_Lists!$D$135+Lookup_Lists!$D$136)*Matching_Engine!$AN$40)),0)</f>
      </c>
      <c r="AP40" s="49">
        <f>ROUND((Matching_Engine!$N$40*Lookup_Lists!$D$104+Matching_Engine!$S$40*Lookup_Lists!$D$105+Matching_Engine!$X$40*Lookup_Lists!$D$106+Matching_Engine!$AC$40*Lookup_Lists!$D$107+Matching_Engine!$AJ$40*Lookup_Lists!$D$108+Matching_Engine!$AO$40*Lookup_Lists!$D$109)/MAX(1,(Lookup_Lists!$D$104+Lookup_Lists!$D$105+Lookup_Lists!$D$106+Lookup_Lists!$D$107+Lookup_Lists!$D$108+Lookup_Lists!$D$109)),0)</f>
      </c>
      <c r="AQ40" s="44">
        <f>IF(Matching_Engine!$AP$40&gt;=Lookup_Lists!$D$152,"Excellent Match",IF(Matching_Engine!$AP$40&gt;=Lookup_Lists!$D$153,"Strong Match",IF(Matching_Engine!$AP$40&gt;=Lookup_Lists!$D$154,"Good Match",IF(Matching_Engine!$AP$40&gt;=Lookup_Lists!$D$155,"Moderate Match","Low Match"))))</f>
      </c>
      <c r="AR40" s="47">
        <f>KOL_Database!$BE$9</f>
      </c>
      <c r="AS40" s="44">
        <f>IF(Matching_Engine!$AR$40&gt;=Lookup_Lists!$D$159,"High",IF(Matching_Engine!$AR$40&gt;=Lookup_Lists!$D$160,"Medium","Limited Data"))</f>
      </c>
      <c r="AT40" s="47">
        <f>ROUND((Matching_Engine!$N$40+Matching_Engine!$X$40+Matching_Engine!$AC$40)/3,0)</f>
      </c>
      <c r="AU40" s="47">
        <f>ROUND(((100-Matching_Engine!$AL$40)*Lookup_Lists!$D$162+IF(KOL_Database!$BD$9="",Lookup_Lists!$D$150,KOL_Database!$BD$9)*Lookup_Lists!$D$163+Matching_Engine!$AI$40*Lookup_Lists!$D$164+Matching_Engine!$AD$40*Lookup_Lists!$D$165)/(Lookup_Lists!$D$162+Lookup_Lists!$D$163+Lookup_Lists!$D$164+Lookup_Lists!$D$165),0)</f>
      </c>
      <c r="AV40" s="44">
        <f>IF(Matching_Engine!$AW$40="","PASS","EXCLUDED")</f>
      </c>
      <c r="AW40" s="44">
        <f>IF(ISERROR(SEARCH(KOL_Database!$D$9,Brand_Profile!$E$32)),"Platform not in Preferred Platform",IF(AND(Brand_Profile!$E$36&gt;0,KOL_Database!$J$9&lt;Brand_Profile!$E$36),"Followers below Preferred Follower Range",IF(AND(Brand_Profile!$E$37&gt;0,KOL_Database!$J$9&gt;Brand_Profile!$E$37),"Followers above Preferred Follower Range",IF(AND(Brand_Profile!$E$38&gt;0,IF(KOL_Database!$K$9="",0,KOL_Database!$K$9)&lt;Brand_Profile!$E$38),"Engagement Rate below Minimum Engagement Rate",IF(ISERROR(SEARCH(KOL_Database!$G$9,Brand_Profile!$E$35)),"Tier not in Preferred Tier",IF(AND(Brand_Profile!$E$43&gt;0,Matching_Engine!$AE$40&lt;Brand_Profile!$E$43),"Audience Quality below Minimum Audience Quality",IF(AND(Brand_Profile!$E$44&gt;0,Matching_Engine!$AK$40&lt;Brand_Profile!$E$44),"Brand Safety below Minimum Brand Safety",IF(AND(Brand_Profile!$E$47="Yes",KOL_Database!$AD$9&lt;&gt;Brand_Profile!$E$19),"Audience Country does not match Target Country",IF(AND(Brand_Profile!$E$46="Yes",KOL_Database!$E$9&lt;&gt;Brand_Profile!$E$33),"Category is not the Preferred Category",IF(AND(Brand_Profile!$E$48&gt;0,Matching_Engine!$AL$40&gt;Brand_Profile!$E$48),"Competitor Saturation above Max Competitor Saturation",IF(AND(Brand_Profile!$E$50="Yes",KOL_Database!$AW$9="Yes"),"Already Selected",IF(AND(Brand_Profile!$E$51="Yes",KOL_Database!$AX$9="Yes"),"Already in Cart",IF(AND(Brand_Profile!$E$52="Yes",KOL_Database!$AY$9="Yes"),"Existing Partner",IF(AND(Brand_Profile!$E$53="Yes",KOL_Database!$AZ$9="Yes"),"Excluded Creator",IF(AND(Brand_Profile!$E$49&gt;0,Matching_Engine!$AP$40&lt;Brand_Profile!$E$49),"Brand Match below Minimum Brand Match","")))))))))))))))</f>
      </c>
      <c r="AX40" s="44">
        <f>IF(Matching_Engine!$AV$40="EXCLUDED","Excluded",IF(Matching_Engine!$AP$40&gt;=Lookup_Lists!$D$156,"Highly Recommended",IF(Matching_Engine!$AP$40&gt;=Lookup_Lists!$D$157,"Recommended",IF(Matching_Engine!$AP$40&gt;=Lookup_Lists!$D$158,"Consider","Low Priority"))))</f>
      </c>
      <c r="AY40" s="47">
        <f>IF(Matching_Engine!$AV$40="PASS",Matching_Engine!$AP$40,"")</f>
      </c>
      <c r="AZ40" s="44">
        <f>Matching_Engine!$A$40&amp;"|"&amp;Matching_Engine!$C$40</f>
      </c>
      <c r="BA40" s="44">
        <f>IFERROR(INDEX(Lookup_Lists!$B$51:$B$92,MATCH(Brand_Profile!$E$12,Lookup_Lists!$A$51:$A$92,0)),"")</f>
      </c>
      <c r="BB40" s="44">
        <f>IFERROR(INDEX(Lookup_Lists!$B$51:$B$92,MATCH(KOL_Database!$F$9,Lookup_Lists!$A$51:$A$92,0)),"")</f>
      </c>
      <c r="BC40" s="47">
        <f>IFERROR(INDEX(Lookup_Lists!$B$185:$O$198,MATCH(Matching_Engine!$BA$40,Lookup_Lists!$A$185:$A$198,0),MATCH(KOL_Database!$E$9,Lookup_Lists!$B$184:$O$184,0)),Lookup_Lists!$D$151)</f>
      </c>
      <c r="BD40" s="47">
        <f>IFERROR(INDEX(Lookup_Lists!$B$185:$O$198,MATCH(Brand_Profile!$E$33,Lookup_Lists!$A$185:$A$198,0),MATCH(KOL_Database!$E$9,Lookup_Lists!$B$184:$O$184,0)),Lookup_Lists!$D$151)</f>
      </c>
      <c r="BE40" s="44">
        <f>IFERROR(INDEX(Lookup_Lists!$B$51:$B$92,MATCH(Brand_Profile!$E$34,Lookup_Lists!$A$51:$A$92,0)),"")</f>
      </c>
      <c r="BF40" s="44">
        <f>KOL_Database!$AI$9&amp;", "&amp;KOL_Database!$AG$9&amp;", "&amp;KOL_Database!$F$9&amp;", "&amp;KOL_Database!$E$9</f>
      </c>
      <c r="BG40" s="44">
        <f>KOL_Database!$AI$9&amp;", "&amp;KOL_Database!$AG$9</f>
      </c>
    </row>
    <row r="41" spans="1:59" x14ac:dyDescent="0.25">
      <c r="A41" s="43" t="s">
        <v>76</v>
      </c>
      <c r="B41" s="44">
        <f>Brand_Profile!$E$9</f>
      </c>
      <c r="C41" s="44">
        <f>KOL_Database!$A$10</f>
      </c>
      <c r="D41" s="44">
        <f>KOL_Database!$B$10</f>
      </c>
      <c r="E41" s="44">
        <f>KOL_Database!$C$10</f>
      </c>
      <c r="F41" s="44">
        <f>KOL_Database!$D$10</f>
      </c>
      <c r="G41" s="44">
        <f>KOL_Database!$E$10</f>
      </c>
      <c r="H41" s="44">
        <f>KOL_Database!$G$10</f>
      </c>
      <c r="I41" s="45">
        <f>KOL_Database!$J$10</f>
      </c>
      <c r="J41" s="46">
        <f>KOL_Database!$K$10</f>
      </c>
      <c r="K41" s="47">
        <f>IFERROR(INDEX(Lookup_Lists!$B$170:$O$181,MATCH(Brand_Profile!$E$10,Lookup_Lists!$A$170:$A$181,0),MATCH(KOL_Database!$E$10,Lookup_Lists!$B$169:$O$169,0)),Lookup_Lists!$D$151)</f>
      </c>
      <c r="L41" s="47">
        <f>IF(KOL_Database!$F$10="",Matching_Engine!$BC$41,IF(Brand_Profile!$E$12=KOL_Database!$F$10,100,IF(Matching_Engine!$BA$41=KOL_Database!$E$10,80,IF(Matching_Engine!$BC$41&gt;=80,60,IF(Matching_Engine!$BC$41&gt;=60,40,Lookup_Lists!$D$151)))))</f>
      </c>
      <c r="M41" s="47">
        <f>ROUND((IF(Brand_Profile!$E$62=0,Lookup_Lists!$D$150,ROUND((IF(Brand_Profile!$E$57="",0,IF(ISNUMBER(SEARCH(Brand_Profile!$E$57,Matching_Engine!$BF$41)),1,0))+IF(Brand_Profile!$E$58="",0,IF(ISNUMBER(SEARCH(Brand_Profile!$E$58,Matching_Engine!$BF$41)),1,0))+IF(Brand_Profile!$E$59="",0,IF(ISNUMBER(SEARCH(Brand_Profile!$E$59,Matching_Engine!$BF$41)),1,0))+IF(Brand_Profile!$E$60="",0,IF(ISNUMBER(SEARCH(Brand_Profile!$E$60,Matching_Engine!$BF$41)),1,0))+IF(Brand_Profile!$E$61="",0,IF(ISNUMBER(SEARCH(Brand_Profile!$E$61,Matching_Engine!$BF$41)),1,0)))/Brand_Profile!$E$62*100,0))+IF(Brand_Profile!$E$74=0,Lookup_Lists!$D$150,ROUND((IF(Brand_Profile!$E$69="",0,IF(ISNUMBER(SEARCH(Brand_Profile!$E$69,Matching_Engine!$BF$41)),1,0))+IF(Brand_Profile!$E$70="",0,IF(ISNUMBER(SEARCH(Brand_Profile!$E$70,Matching_Engine!$BF$41)),1,0))+IF(Brand_Profile!$E$71="",0,IF(ISNUMBER(SEARCH(Brand_Profile!$E$71,Matching_Engine!$BF$41)),1,0))+IF(Brand_Profile!$E$72="",0,IF(ISNUMBER(SEARCH(Brand_Profile!$E$72,Matching_Engine!$BF$41)),1,0))+IF(Brand_Profile!$E$73="",0,IF(ISNUMBER(SEARCH(Brand_Profile!$E$73,Matching_Engine!$BF$41)),1,0)))/Brand_Profile!$E$74*100,0)))/2,0)</f>
      </c>
      <c r="N41" s="47">
        <f>ROUND((Matching_Engine!$K$41*Lookup_Lists!$D$110+Matching_Engine!$L$41*Lookup_Lists!$D$111+Matching_Engine!$M$41*Lookup_Lists!$D$112)/(Lookup_Lists!$D$110+Lookup_Lists!$D$111+Lookup_Lists!$D$112),0)</f>
      </c>
      <c r="O41" s="47">
        <f>IF(Brand_Profile!$E$16="",Lookup_Lists!$D$150,MIN(100,ROUND((IFERROR(INDEX(KOL_Database!$W$10:KOL_Database!$AA$10,1,MATCH(Brand_Profile!$E$16,Lookup_Lists!$F$6:$F$10,0)),0)+0.5*IFERROR(INDEX(KOL_Database!$W$10:KOL_Database!$AA$10,1,MATCH(Brand_Profile!$E$17,Lookup_Lists!$F$6:$F$10,0)),0))/Lookup_Lists!$D$142*100,0)))</f>
      </c>
      <c r="P41" s="47">
        <f>IF(OR(Brand_Profile!$E$18="",Brand_Profile!$E$18="Any"),100,IF(Brand_Profile!$E$18="Female",MIN(100,ROUND(KOL_Database!$AB$10/Lookup_Lists!$D$143*100,0)),IF(Brand_Profile!$E$18="Male",MIN(100,ROUND(KOL_Database!$AC$10/Lookup_Lists!$D$143*100,0)),MAX(0,ROUND(100-ABS(KOL_Database!$AB$10-50)*2,0)))))</f>
      </c>
      <c r="Q41" s="47">
        <f>ROUND((IF(Brand_Profile!$E$19="",100,IF(KOL_Database!$AD$10=Brand_Profile!$E$19,100,Lookup_Lists!$D$151))*Lookup_Lists!$D$118+IF(OR(Brand_Profile!$E$20="",Brand_Profile!$E$20="Nasional"),100,IF(KOL_Database!$AE$10="",Lookup_Lists!$D$150,IF(KOL_Database!$AE$10=Brand_Profile!$E$20,100,IF(KOL_Database!$AD$10=Brand_Profile!$E$19,40,Lookup_Lists!$D$151))))*Lookup_Lists!$D$119+IF(OR(Brand_Profile!$E$21="",Brand_Profile!$E$21="Nasional"),100,IF(KOL_Database!$AF$10="",Lookup_Lists!$D$150,IF(KOL_Database!$AF$10=Brand_Profile!$E$21,100,IF(KOL_Database!$AE$10=Brand_Profile!$E$20,60,Lookup_Lists!$D$151))))*Lookup_Lists!$D$120)/(Lookup_Lists!$D$118+Lookup_Lists!$D$119+Lookup_Lists!$D$120),0)</f>
      </c>
      <c r="R41" s="47">
        <f>IF(Brand_Profile!$E$68=0,Lookup_Lists!$D$150,ROUND((IF(Brand_Profile!$E$63="",0,IF(ISNUMBER(SEARCH(Brand_Profile!$E$63,KOL_Database!$AG$10)),1,0))+IF(Brand_Profile!$E$64="",0,IF(ISNUMBER(SEARCH(Brand_Profile!$E$64,KOL_Database!$AG$10)),1,0))+IF(Brand_Profile!$E$65="",0,IF(ISNUMBER(SEARCH(Brand_Profile!$E$65,KOL_Database!$AG$10)),1,0))+IF(Brand_Profile!$E$66="",0,IF(ISNUMBER(SEARCH(Brand_Profile!$E$66,KOL_Database!$AG$10)),1,0))+IF(Brand_Profile!$E$67="",0,IF(ISNUMBER(SEARCH(Brand_Profile!$E$67,KOL_Database!$AG$10)),1,0)))/Brand_Profile!$E$68*100,0))</f>
      </c>
      <c r="S41" s="47">
        <f>ROUND((Matching_Engine!$O$41*Brand_Profile!$E$96+Matching_Engine!$P$41*Brand_Profile!$E$97+Matching_Engine!$Q$41*Brand_Profile!$E$98+Matching_Engine!$R$41*Brand_Profile!$E$99)/MAX(1,Brand_Profile!$E$96+Brand_Profile!$E$97+Brand_Profile!$E$98+Brand_Profile!$E$99),0)</f>
      </c>
      <c r="T41" s="47">
        <f>IF(Brand_Profile!$E$33="",Lookup_Lists!$D$150,Matching_Engine!$BD$41)</f>
      </c>
      <c r="U41" s="47">
        <f>IF(Brand_Profile!$E$34="",Lookup_Lists!$D$150,IF(Brand_Profile!$E$34=KOL_Database!$F$10,100,IF(Matching_Engine!$BE$41=KOL_Database!$E$10,75,IF(Matching_Engine!$BD$41&gt;=80,Lookup_Lists!$D$150,IF(Matching_Engine!$BD$41&gt;=60,35,Lookup_Lists!$D$151)))))</f>
      </c>
      <c r="V41" s="47">
        <f>IF(Brand_Profile!$E$86=0,Lookup_Lists!$D$150,ROUND((IF(Brand_Profile!$E$81="",0,IF(ISNUMBER(SEARCH(Brand_Profile!$E$81,Matching_Engine!$BG$41)),1,0))+IF(Brand_Profile!$E$82="",0,IF(ISNUMBER(SEARCH(Brand_Profile!$E$82,Matching_Engine!$BG$41)),1,0))+IF(Brand_Profile!$E$83="",0,IF(ISNUMBER(SEARCH(Brand_Profile!$E$83,Matching_Engine!$BG$41)),1,0))+IF(Brand_Profile!$E$84="",0,IF(ISNUMBER(SEARCH(Brand_Profile!$E$84,Matching_Engine!$BG$41)),1,0))+IF(Brand_Profile!$E$85="",0,IF(ISNUMBER(SEARCH(Brand_Profile!$E$85,Matching_Engine!$BG$41)),1,0)))/Brand_Profile!$E$86*100,0))</f>
      </c>
      <c r="W41" s="47">
        <f>IF(Brand_Profile!$E$39="",Lookup_Lists!$D$150,IFERROR(INDEX(Lookup_Lists!$B$237:$K$246,MATCH(Brand_Profile!$E$39,Lookup_Lists!$A$237:$A$246,0),MATCH(KOL_Database!$AJ$10,Lookup_Lists!$B$236:$K$236,0)),45))</f>
      </c>
      <c r="X41" s="47">
        <f>ROUND((Matching_Engine!$T$41*Lookup_Lists!$D$121+Matching_Engine!$U$41*Lookup_Lists!$D$122+Matching_Engine!$V$41*Lookup_Lists!$D$123+Matching_Engine!$W$41*Lookup_Lists!$D$124)/(Lookup_Lists!$D$121+Lookup_Lists!$D$122+Lookup_Lists!$D$123+Lookup_Lists!$D$124),0)</f>
      </c>
      <c r="Y41" s="47">
        <f>MIN(100,MAX(IFERROR(INDEX(Lookup_Lists!$B$202:$M$211,MATCH(Brand_Profile!$E$25,Lookup_Lists!$A$202:$A$211,0),MATCH(KOL_Database!$AK$10,Lookup_Lists!$B$201:$M$201,0)),40),IF(KOL_Database!$AK$10=Brand_Profile!$E$41,95,0)))</f>
      </c>
      <c r="Z41" s="47">
        <f>IFERROR(INDEX(Lookup_Lists!$B$215:$K$222,MATCH(Brand_Profile!$E$27,Lookup_Lists!$A$215:$A$222,0),MATCH(KOL_Database!$AJ$10,Lookup_Lists!$B$214:$K$214,0)),45)</f>
      </c>
      <c r="AA41" s="47">
        <f>ROUND((IF(Brand_Profile!$E$80=0,Lookup_Lists!$D$150,ROUND((IF(Brand_Profile!$E$75="",0,IF(ISNUMBER(SEARCH(Brand_Profile!$E$75,KOL_Database!$AL$10)),1,0))+IF(Brand_Profile!$E$76="",0,IF(ISNUMBER(SEARCH(Brand_Profile!$E$76,KOL_Database!$AL$10)),1,0))+IF(Brand_Profile!$E$77="",0,IF(ISNUMBER(SEARCH(Brand_Profile!$E$77,KOL_Database!$AL$10)),1,0))+IF(Brand_Profile!$E$78="",0,IF(ISNUMBER(SEARCH(Brand_Profile!$E$78,KOL_Database!$AL$10)),1,0))+IF(Brand_Profile!$E$79="",0,IF(ISNUMBER(SEARCH(Brand_Profile!$E$79,KOL_Database!$AL$10)),1,0)))/Brand_Profile!$E$80*100,0))+IF(Brand_Profile!$E$92=0,Lookup_Lists!$D$150,ROUND((IF(Brand_Profile!$E$87="",0,IF(ISNUMBER(SEARCH(Brand_Profile!$E$87,KOL_Database!$AL$10)),1,0))+IF(Brand_Profile!$E$88="",0,IF(ISNUMBER(SEARCH(Brand_Profile!$E$88,KOL_Database!$AL$10)),1,0))+IF(Brand_Profile!$E$89="",0,IF(ISNUMBER(SEARCH(Brand_Profile!$E$89,KOL_Database!$AL$10)),1,0))+IF(Brand_Profile!$E$90="",0,IF(ISNUMBER(SEARCH(Brand_Profile!$E$90,KOL_Database!$AL$10)),1,0))+IF(Brand_Profile!$E$91="",0,IF(ISNUMBER(SEARCH(Brand_Profile!$E$91,KOL_Database!$AL$10)),1,0)))/Brand_Profile!$E$92*100,0)))/2,0)</f>
      </c>
      <c r="AB41" s="47">
        <f>IFERROR(INDEX(Lookup_Lists!$B$226:$K$233,MATCH(Brand_Profile!$E$30,Lookup_Lists!$A$226:$A$233,0),MATCH(KOL_Database!$AJ$10,Lookup_Lists!$B$225:$K$225,0)),45)</f>
      </c>
      <c r="AC41" s="47">
        <f>ROUND((Matching_Engine!$Y$41*Lookup_Lists!$D$125+Matching_Engine!$Z$41*Lookup_Lists!$D$126+Matching_Engine!$AA$41*Lookup_Lists!$D$127+Matching_Engine!$AB$41*Lookup_Lists!$D$128)/(Lookup_Lists!$D$125+Lookup_Lists!$D$126+Lookup_Lists!$D$127+Lookup_Lists!$D$128),0)</f>
      </c>
      <c r="AD41" s="47">
        <f>IF(KOL_Database!$K$10="",0,MIN(100,ROUND(KOL_Database!$K$10/Lookup_Lists!$D$141*100,0)))</f>
      </c>
      <c r="AE41" s="47">
        <f>IF(KOL_Database!$R$10="",0,MIN(100,MAX(0,KOL_Database!$R$10)))</f>
      </c>
      <c r="AF41" s="47">
        <f>IF(KOL_Database!$P$10="",0,MIN(100,MAX(0,KOL_Database!$P$10)))</f>
      </c>
      <c r="AG41" s="47">
        <f>IF(KOL_Database!$Q$10="",0,MIN(100,MAX(0,KOL_Database!$Q$10)))</f>
      </c>
      <c r="AH41" s="47">
        <f>IF(OR(KOL_Database!$J$10="",KOL_Database!$J$10=0,KOL_Database!$L$10=""),0,MIN(100,ROUND(KOL_Database!$L$10/KOL_Database!$J$10/Lookup_Lists!$D$144*100,0)))</f>
      </c>
      <c r="AI41" s="47">
        <f>IF(KOL_Database!$N$10="",0,MIN(100,MAX(0,ROUND((KOL_Database!$N$10+2)/(Lookup_Lists!$D$145+2)*100,0))))</f>
      </c>
      <c r="AJ41" s="47">
        <f>ROUND((Matching_Engine!$AD$41*Lookup_Lists!$D$129+Matching_Engine!$AE$41*Lookup_Lists!$D$130+Matching_Engine!$AF$41*Lookup_Lists!$D$131+Matching_Engine!$AG$41*Lookup_Lists!$D$132+Matching_Engine!$AH$41*Lookup_Lists!$D$133+Matching_Engine!$AI$41*Lookup_Lists!$D$134)/(Lookup_Lists!$D$129+Lookup_Lists!$D$130+Lookup_Lists!$D$131+Lookup_Lists!$D$132+Lookup_Lists!$D$133+Lookup_Lists!$D$134),0)</f>
      </c>
      <c r="AK41" s="47">
        <f>IF(KOL_Database!$AT$10="",0,MIN(100,MAX(0,KOL_Database!$AT$10)))</f>
      </c>
      <c r="AL41" s="47">
        <f>IF(KOL_Database!$AU$10="",0,KOL_Database!$AU$10)</f>
      </c>
      <c r="AM41" s="44">
        <f>IF(KOL_Database!$AV$10="","None",KOL_Database!$AV$10)</f>
      </c>
      <c r="AN41" s="48">
        <f>IF(Matching_Engine!$AM$41="High",Lookup_Lists!$D$137,IF(Matching_Engine!$AM$41="Medium",Lookup_Lists!$D$138,IF(Matching_Engine!$AM$41="Low",Lookup_Lists!$D$139,Lookup_Lists!$D$140)))</f>
      </c>
      <c r="AO41" s="47">
        <f>ROUND(MIN(100,MAX(0,(Matching_Engine!$AK$41*Lookup_Lists!$D$135+(100-Matching_Engine!$AL$41)*Lookup_Lists!$D$136)/(Lookup_Lists!$D$135+Lookup_Lists!$D$136)*Matching_Engine!$AN$41)),0)</f>
      </c>
      <c r="AP41" s="49">
        <f>ROUND((Matching_Engine!$N$41*Lookup_Lists!$D$104+Matching_Engine!$S$41*Lookup_Lists!$D$105+Matching_Engine!$X$41*Lookup_Lists!$D$106+Matching_Engine!$AC$41*Lookup_Lists!$D$107+Matching_Engine!$AJ$41*Lookup_Lists!$D$108+Matching_Engine!$AO$41*Lookup_Lists!$D$109)/MAX(1,(Lookup_Lists!$D$104+Lookup_Lists!$D$105+Lookup_Lists!$D$106+Lookup_Lists!$D$107+Lookup_Lists!$D$108+Lookup_Lists!$D$109)),0)</f>
      </c>
      <c r="AQ41" s="44">
        <f>IF(Matching_Engine!$AP$41&gt;=Lookup_Lists!$D$152,"Excellent Match",IF(Matching_Engine!$AP$41&gt;=Lookup_Lists!$D$153,"Strong Match",IF(Matching_Engine!$AP$41&gt;=Lookup_Lists!$D$154,"Good Match",IF(Matching_Engine!$AP$41&gt;=Lookup_Lists!$D$155,"Moderate Match","Low Match"))))</f>
      </c>
      <c r="AR41" s="47">
        <f>KOL_Database!$BE$10</f>
      </c>
      <c r="AS41" s="44">
        <f>IF(Matching_Engine!$AR$41&gt;=Lookup_Lists!$D$159,"High",IF(Matching_Engine!$AR$41&gt;=Lookup_Lists!$D$160,"Medium","Limited Data"))</f>
      </c>
      <c r="AT41" s="47">
        <f>ROUND((Matching_Engine!$N$41+Matching_Engine!$X$41+Matching_Engine!$AC$41)/3,0)</f>
      </c>
      <c r="AU41" s="47">
        <f>ROUND(((100-Matching_Engine!$AL$41)*Lookup_Lists!$D$162+IF(KOL_Database!$BD$10="",Lookup_Lists!$D$150,KOL_Database!$BD$10)*Lookup_Lists!$D$163+Matching_Engine!$AI$41*Lookup_Lists!$D$164+Matching_Engine!$AD$41*Lookup_Lists!$D$165)/(Lookup_Lists!$D$162+Lookup_Lists!$D$163+Lookup_Lists!$D$164+Lookup_Lists!$D$165),0)</f>
      </c>
      <c r="AV41" s="44">
        <f>IF(Matching_Engine!$AW$41="","PASS","EXCLUDED")</f>
      </c>
      <c r="AW41" s="44">
        <f>IF(ISERROR(SEARCH(KOL_Database!$D$10,Brand_Profile!$E$32)),"Platform not in Preferred Platform",IF(AND(Brand_Profile!$E$36&gt;0,KOL_Database!$J$10&lt;Brand_Profile!$E$36),"Followers below Preferred Follower Range",IF(AND(Brand_Profile!$E$37&gt;0,KOL_Database!$J$10&gt;Brand_Profile!$E$37),"Followers above Preferred Follower Range",IF(AND(Brand_Profile!$E$38&gt;0,IF(KOL_Database!$K$10="",0,KOL_Database!$K$10)&lt;Brand_Profile!$E$38),"Engagement Rate below Minimum Engagement Rate",IF(ISERROR(SEARCH(KOL_Database!$G$10,Brand_Profile!$E$35)),"Tier not in Preferred Tier",IF(AND(Brand_Profile!$E$43&gt;0,Matching_Engine!$AE$41&lt;Brand_Profile!$E$43),"Audience Quality below Minimum Audience Quality",IF(AND(Brand_Profile!$E$44&gt;0,Matching_Engine!$AK$41&lt;Brand_Profile!$E$44),"Brand Safety below Minimum Brand Safety",IF(AND(Brand_Profile!$E$47="Yes",KOL_Database!$AD$10&lt;&gt;Brand_Profile!$E$19),"Audience Country does not match Target Country",IF(AND(Brand_Profile!$E$46="Yes",KOL_Database!$E$10&lt;&gt;Brand_Profile!$E$33),"Category is not the Preferred Category",IF(AND(Brand_Profile!$E$48&gt;0,Matching_Engine!$AL$41&gt;Brand_Profile!$E$48),"Competitor Saturation above Max Competitor Saturation",IF(AND(Brand_Profile!$E$50="Yes",KOL_Database!$AW$10="Yes"),"Already Selected",IF(AND(Brand_Profile!$E$51="Yes",KOL_Database!$AX$10="Yes"),"Already in Cart",IF(AND(Brand_Profile!$E$52="Yes",KOL_Database!$AY$10="Yes"),"Existing Partner",IF(AND(Brand_Profile!$E$53="Yes",KOL_Database!$AZ$10="Yes"),"Excluded Creator",IF(AND(Brand_Profile!$E$49&gt;0,Matching_Engine!$AP$41&lt;Brand_Profile!$E$49),"Brand Match below Minimum Brand Match","")))))))))))))))</f>
      </c>
      <c r="AX41" s="44">
        <f>IF(Matching_Engine!$AV$41="EXCLUDED","Excluded",IF(Matching_Engine!$AP$41&gt;=Lookup_Lists!$D$156,"Highly Recommended",IF(Matching_Engine!$AP$41&gt;=Lookup_Lists!$D$157,"Recommended",IF(Matching_Engine!$AP$41&gt;=Lookup_Lists!$D$158,"Consider","Low Priority"))))</f>
      </c>
      <c r="AY41" s="47">
        <f>IF(Matching_Engine!$AV$41="PASS",Matching_Engine!$AP$41,"")</f>
      </c>
      <c r="AZ41" s="44">
        <f>Matching_Engine!$A$41&amp;"|"&amp;Matching_Engine!$C$41</f>
      </c>
      <c r="BA41" s="44">
        <f>IFERROR(INDEX(Lookup_Lists!$B$51:$B$92,MATCH(Brand_Profile!$E$12,Lookup_Lists!$A$51:$A$92,0)),"")</f>
      </c>
      <c r="BB41" s="44">
        <f>IFERROR(INDEX(Lookup_Lists!$B$51:$B$92,MATCH(KOL_Database!$F$10,Lookup_Lists!$A$51:$A$92,0)),"")</f>
      </c>
      <c r="BC41" s="47">
        <f>IFERROR(INDEX(Lookup_Lists!$B$185:$O$198,MATCH(Matching_Engine!$BA$41,Lookup_Lists!$A$185:$A$198,0),MATCH(KOL_Database!$E$10,Lookup_Lists!$B$184:$O$184,0)),Lookup_Lists!$D$151)</f>
      </c>
      <c r="BD41" s="47">
        <f>IFERROR(INDEX(Lookup_Lists!$B$185:$O$198,MATCH(Brand_Profile!$E$33,Lookup_Lists!$A$185:$A$198,0),MATCH(KOL_Database!$E$10,Lookup_Lists!$B$184:$O$184,0)),Lookup_Lists!$D$151)</f>
      </c>
      <c r="BE41" s="44">
        <f>IFERROR(INDEX(Lookup_Lists!$B$51:$B$92,MATCH(Brand_Profile!$E$34,Lookup_Lists!$A$51:$A$92,0)),"")</f>
      </c>
      <c r="BF41" s="44">
        <f>KOL_Database!$AI$10&amp;", "&amp;KOL_Database!$AG$10&amp;", "&amp;KOL_Database!$F$10&amp;", "&amp;KOL_Database!$E$10</f>
      </c>
      <c r="BG41" s="44">
        <f>KOL_Database!$AI$10&amp;", "&amp;KOL_Database!$AG$10</f>
      </c>
    </row>
    <row r="42" spans="1:59" x14ac:dyDescent="0.25">
      <c r="A42" s="43" t="s">
        <v>76</v>
      </c>
      <c r="B42" s="44">
        <f>Brand_Profile!$E$9</f>
      </c>
      <c r="C42" s="44">
        <f>KOL_Database!$A$11</f>
      </c>
      <c r="D42" s="44">
        <f>KOL_Database!$B$11</f>
      </c>
      <c r="E42" s="44">
        <f>KOL_Database!$C$11</f>
      </c>
      <c r="F42" s="44">
        <f>KOL_Database!$D$11</f>
      </c>
      <c r="G42" s="44">
        <f>KOL_Database!$E$11</f>
      </c>
      <c r="H42" s="44">
        <f>KOL_Database!$G$11</f>
      </c>
      <c r="I42" s="45">
        <f>KOL_Database!$J$11</f>
      </c>
      <c r="J42" s="46">
        <f>KOL_Database!$K$11</f>
      </c>
      <c r="K42" s="47">
        <f>IFERROR(INDEX(Lookup_Lists!$B$170:$O$181,MATCH(Brand_Profile!$E$10,Lookup_Lists!$A$170:$A$181,0),MATCH(KOL_Database!$E$11,Lookup_Lists!$B$169:$O$169,0)),Lookup_Lists!$D$151)</f>
      </c>
      <c r="L42" s="47">
        <f>IF(KOL_Database!$F$11="",Matching_Engine!$BC$42,IF(Brand_Profile!$E$12=KOL_Database!$F$11,100,IF(Matching_Engine!$BA$42=KOL_Database!$E$11,80,IF(Matching_Engine!$BC$42&gt;=80,60,IF(Matching_Engine!$BC$42&gt;=60,40,Lookup_Lists!$D$151)))))</f>
      </c>
      <c r="M42" s="47">
        <f>ROUND((IF(Brand_Profile!$E$62=0,Lookup_Lists!$D$150,ROUND((IF(Brand_Profile!$E$57="",0,IF(ISNUMBER(SEARCH(Brand_Profile!$E$57,Matching_Engine!$BF$42)),1,0))+IF(Brand_Profile!$E$58="",0,IF(ISNUMBER(SEARCH(Brand_Profile!$E$58,Matching_Engine!$BF$42)),1,0))+IF(Brand_Profile!$E$59="",0,IF(ISNUMBER(SEARCH(Brand_Profile!$E$59,Matching_Engine!$BF$42)),1,0))+IF(Brand_Profile!$E$60="",0,IF(ISNUMBER(SEARCH(Brand_Profile!$E$60,Matching_Engine!$BF$42)),1,0))+IF(Brand_Profile!$E$61="",0,IF(ISNUMBER(SEARCH(Brand_Profile!$E$61,Matching_Engine!$BF$42)),1,0)))/Brand_Profile!$E$62*100,0))+IF(Brand_Profile!$E$74=0,Lookup_Lists!$D$150,ROUND((IF(Brand_Profile!$E$69="",0,IF(ISNUMBER(SEARCH(Brand_Profile!$E$69,Matching_Engine!$BF$42)),1,0))+IF(Brand_Profile!$E$70="",0,IF(ISNUMBER(SEARCH(Brand_Profile!$E$70,Matching_Engine!$BF$42)),1,0))+IF(Brand_Profile!$E$71="",0,IF(ISNUMBER(SEARCH(Brand_Profile!$E$71,Matching_Engine!$BF$42)),1,0))+IF(Brand_Profile!$E$72="",0,IF(ISNUMBER(SEARCH(Brand_Profile!$E$72,Matching_Engine!$BF$42)),1,0))+IF(Brand_Profile!$E$73="",0,IF(ISNUMBER(SEARCH(Brand_Profile!$E$73,Matching_Engine!$BF$42)),1,0)))/Brand_Profile!$E$74*100,0)))/2,0)</f>
      </c>
      <c r="N42" s="47">
        <f>ROUND((Matching_Engine!$K$42*Lookup_Lists!$D$110+Matching_Engine!$L$42*Lookup_Lists!$D$111+Matching_Engine!$M$42*Lookup_Lists!$D$112)/(Lookup_Lists!$D$110+Lookup_Lists!$D$111+Lookup_Lists!$D$112),0)</f>
      </c>
      <c r="O42" s="47">
        <f>IF(Brand_Profile!$E$16="",Lookup_Lists!$D$150,MIN(100,ROUND((IFERROR(INDEX(KOL_Database!$W$11:KOL_Database!$AA$11,1,MATCH(Brand_Profile!$E$16,Lookup_Lists!$F$6:$F$10,0)),0)+0.5*IFERROR(INDEX(KOL_Database!$W$11:KOL_Database!$AA$11,1,MATCH(Brand_Profile!$E$17,Lookup_Lists!$F$6:$F$10,0)),0))/Lookup_Lists!$D$142*100,0)))</f>
      </c>
      <c r="P42" s="47">
        <f>IF(OR(Brand_Profile!$E$18="",Brand_Profile!$E$18="Any"),100,IF(Brand_Profile!$E$18="Female",MIN(100,ROUND(KOL_Database!$AB$11/Lookup_Lists!$D$143*100,0)),IF(Brand_Profile!$E$18="Male",MIN(100,ROUND(KOL_Database!$AC$11/Lookup_Lists!$D$143*100,0)),MAX(0,ROUND(100-ABS(KOL_Database!$AB$11-50)*2,0)))))</f>
      </c>
      <c r="Q42" s="47">
        <f>ROUND((IF(Brand_Profile!$E$19="",100,IF(KOL_Database!$AD$11=Brand_Profile!$E$19,100,Lookup_Lists!$D$151))*Lookup_Lists!$D$118+IF(OR(Brand_Profile!$E$20="",Brand_Profile!$E$20="Nasional"),100,IF(KOL_Database!$AE$11="",Lookup_Lists!$D$150,IF(KOL_Database!$AE$11=Brand_Profile!$E$20,100,IF(KOL_Database!$AD$11=Brand_Profile!$E$19,40,Lookup_Lists!$D$151))))*Lookup_Lists!$D$119+IF(OR(Brand_Profile!$E$21="",Brand_Profile!$E$21="Nasional"),100,IF(KOL_Database!$AF$11="",Lookup_Lists!$D$150,IF(KOL_Database!$AF$11=Brand_Profile!$E$21,100,IF(KOL_Database!$AE$11=Brand_Profile!$E$20,60,Lookup_Lists!$D$151))))*Lookup_Lists!$D$120)/(Lookup_Lists!$D$118+Lookup_Lists!$D$119+Lookup_Lists!$D$120),0)</f>
      </c>
      <c r="R42" s="47">
        <f>IF(Brand_Profile!$E$68=0,Lookup_Lists!$D$150,ROUND((IF(Brand_Profile!$E$63="",0,IF(ISNUMBER(SEARCH(Brand_Profile!$E$63,KOL_Database!$AG$11)),1,0))+IF(Brand_Profile!$E$64="",0,IF(ISNUMBER(SEARCH(Brand_Profile!$E$64,KOL_Database!$AG$11)),1,0))+IF(Brand_Profile!$E$65="",0,IF(ISNUMBER(SEARCH(Brand_Profile!$E$65,KOL_Database!$AG$11)),1,0))+IF(Brand_Profile!$E$66="",0,IF(ISNUMBER(SEARCH(Brand_Profile!$E$66,KOL_Database!$AG$11)),1,0))+IF(Brand_Profile!$E$67="",0,IF(ISNUMBER(SEARCH(Brand_Profile!$E$67,KOL_Database!$AG$11)),1,0)))/Brand_Profile!$E$68*100,0))</f>
      </c>
      <c r="S42" s="47">
        <f>ROUND((Matching_Engine!$O$42*Brand_Profile!$E$96+Matching_Engine!$P$42*Brand_Profile!$E$97+Matching_Engine!$Q$42*Brand_Profile!$E$98+Matching_Engine!$R$42*Brand_Profile!$E$99)/MAX(1,Brand_Profile!$E$96+Brand_Profile!$E$97+Brand_Profile!$E$98+Brand_Profile!$E$99),0)</f>
      </c>
      <c r="T42" s="47">
        <f>IF(Brand_Profile!$E$33="",Lookup_Lists!$D$150,Matching_Engine!$BD$42)</f>
      </c>
      <c r="U42" s="47">
        <f>IF(Brand_Profile!$E$34="",Lookup_Lists!$D$150,IF(Brand_Profile!$E$34=KOL_Database!$F$11,100,IF(Matching_Engine!$BE$42=KOL_Database!$E$11,75,IF(Matching_Engine!$BD$42&gt;=80,Lookup_Lists!$D$150,IF(Matching_Engine!$BD$42&gt;=60,35,Lookup_Lists!$D$151)))))</f>
      </c>
      <c r="V42" s="47">
        <f>IF(Brand_Profile!$E$86=0,Lookup_Lists!$D$150,ROUND((IF(Brand_Profile!$E$81="",0,IF(ISNUMBER(SEARCH(Brand_Profile!$E$81,Matching_Engine!$BG$42)),1,0))+IF(Brand_Profile!$E$82="",0,IF(ISNUMBER(SEARCH(Brand_Profile!$E$82,Matching_Engine!$BG$42)),1,0))+IF(Brand_Profile!$E$83="",0,IF(ISNUMBER(SEARCH(Brand_Profile!$E$83,Matching_Engine!$BG$42)),1,0))+IF(Brand_Profile!$E$84="",0,IF(ISNUMBER(SEARCH(Brand_Profile!$E$84,Matching_Engine!$BG$42)),1,0))+IF(Brand_Profile!$E$85="",0,IF(ISNUMBER(SEARCH(Brand_Profile!$E$85,Matching_Engine!$BG$42)),1,0)))/Brand_Profile!$E$86*100,0))</f>
      </c>
      <c r="W42" s="47">
        <f>IF(Brand_Profile!$E$39="",Lookup_Lists!$D$150,IFERROR(INDEX(Lookup_Lists!$B$237:$K$246,MATCH(Brand_Profile!$E$39,Lookup_Lists!$A$237:$A$246,0),MATCH(KOL_Database!$AJ$11,Lookup_Lists!$B$236:$K$236,0)),45))</f>
      </c>
      <c r="X42" s="47">
        <f>ROUND((Matching_Engine!$T$42*Lookup_Lists!$D$121+Matching_Engine!$U$42*Lookup_Lists!$D$122+Matching_Engine!$V$42*Lookup_Lists!$D$123+Matching_Engine!$W$42*Lookup_Lists!$D$124)/(Lookup_Lists!$D$121+Lookup_Lists!$D$122+Lookup_Lists!$D$123+Lookup_Lists!$D$124),0)</f>
      </c>
      <c r="Y42" s="47">
        <f>MIN(100,MAX(IFERROR(INDEX(Lookup_Lists!$B$202:$M$211,MATCH(Brand_Profile!$E$25,Lookup_Lists!$A$202:$A$211,0),MATCH(KOL_Database!$AK$11,Lookup_Lists!$B$201:$M$201,0)),40),IF(KOL_Database!$AK$11=Brand_Profile!$E$41,95,0)))</f>
      </c>
      <c r="Z42" s="47">
        <f>IFERROR(INDEX(Lookup_Lists!$B$215:$K$222,MATCH(Brand_Profile!$E$27,Lookup_Lists!$A$215:$A$222,0),MATCH(KOL_Database!$AJ$11,Lookup_Lists!$B$214:$K$214,0)),45)</f>
      </c>
      <c r="AA42" s="47">
        <f>ROUND((IF(Brand_Profile!$E$80=0,Lookup_Lists!$D$150,ROUND((IF(Brand_Profile!$E$75="",0,IF(ISNUMBER(SEARCH(Brand_Profile!$E$75,KOL_Database!$AL$11)),1,0))+IF(Brand_Profile!$E$76="",0,IF(ISNUMBER(SEARCH(Brand_Profile!$E$76,KOL_Database!$AL$11)),1,0))+IF(Brand_Profile!$E$77="",0,IF(ISNUMBER(SEARCH(Brand_Profile!$E$77,KOL_Database!$AL$11)),1,0))+IF(Brand_Profile!$E$78="",0,IF(ISNUMBER(SEARCH(Brand_Profile!$E$78,KOL_Database!$AL$11)),1,0))+IF(Brand_Profile!$E$79="",0,IF(ISNUMBER(SEARCH(Brand_Profile!$E$79,KOL_Database!$AL$11)),1,0)))/Brand_Profile!$E$80*100,0))+IF(Brand_Profile!$E$92=0,Lookup_Lists!$D$150,ROUND((IF(Brand_Profile!$E$87="",0,IF(ISNUMBER(SEARCH(Brand_Profile!$E$87,KOL_Database!$AL$11)),1,0))+IF(Brand_Profile!$E$88="",0,IF(ISNUMBER(SEARCH(Brand_Profile!$E$88,KOL_Database!$AL$11)),1,0))+IF(Brand_Profile!$E$89="",0,IF(ISNUMBER(SEARCH(Brand_Profile!$E$89,KOL_Database!$AL$11)),1,0))+IF(Brand_Profile!$E$90="",0,IF(ISNUMBER(SEARCH(Brand_Profile!$E$90,KOL_Database!$AL$11)),1,0))+IF(Brand_Profile!$E$91="",0,IF(ISNUMBER(SEARCH(Brand_Profile!$E$91,KOL_Database!$AL$11)),1,0)))/Brand_Profile!$E$92*100,0)))/2,0)</f>
      </c>
      <c r="AB42" s="47">
        <f>IFERROR(INDEX(Lookup_Lists!$B$226:$K$233,MATCH(Brand_Profile!$E$30,Lookup_Lists!$A$226:$A$233,0),MATCH(KOL_Database!$AJ$11,Lookup_Lists!$B$225:$K$225,0)),45)</f>
      </c>
      <c r="AC42" s="47">
        <f>ROUND((Matching_Engine!$Y$42*Lookup_Lists!$D$125+Matching_Engine!$Z$42*Lookup_Lists!$D$126+Matching_Engine!$AA$42*Lookup_Lists!$D$127+Matching_Engine!$AB$42*Lookup_Lists!$D$128)/(Lookup_Lists!$D$125+Lookup_Lists!$D$126+Lookup_Lists!$D$127+Lookup_Lists!$D$128),0)</f>
      </c>
      <c r="AD42" s="47">
        <f>IF(KOL_Database!$K$11="",0,MIN(100,ROUND(KOL_Database!$K$11/Lookup_Lists!$D$141*100,0)))</f>
      </c>
      <c r="AE42" s="47">
        <f>IF(KOL_Database!$R$11="",0,MIN(100,MAX(0,KOL_Database!$R$11)))</f>
      </c>
      <c r="AF42" s="47">
        <f>IF(KOL_Database!$P$11="",0,MIN(100,MAX(0,KOL_Database!$P$11)))</f>
      </c>
      <c r="AG42" s="47">
        <f>IF(KOL_Database!$Q$11="",0,MIN(100,MAX(0,KOL_Database!$Q$11)))</f>
      </c>
      <c r="AH42" s="47">
        <f>IF(OR(KOL_Database!$J$11="",KOL_Database!$J$11=0,KOL_Database!$L$11=""),0,MIN(100,ROUND(KOL_Database!$L$11/KOL_Database!$J$11/Lookup_Lists!$D$144*100,0)))</f>
      </c>
      <c r="AI42" s="47">
        <f>IF(KOL_Database!$N$11="",0,MIN(100,MAX(0,ROUND((KOL_Database!$N$11+2)/(Lookup_Lists!$D$145+2)*100,0))))</f>
      </c>
      <c r="AJ42" s="47">
        <f>ROUND((Matching_Engine!$AD$42*Lookup_Lists!$D$129+Matching_Engine!$AE$42*Lookup_Lists!$D$130+Matching_Engine!$AF$42*Lookup_Lists!$D$131+Matching_Engine!$AG$42*Lookup_Lists!$D$132+Matching_Engine!$AH$42*Lookup_Lists!$D$133+Matching_Engine!$AI$42*Lookup_Lists!$D$134)/(Lookup_Lists!$D$129+Lookup_Lists!$D$130+Lookup_Lists!$D$131+Lookup_Lists!$D$132+Lookup_Lists!$D$133+Lookup_Lists!$D$134),0)</f>
      </c>
      <c r="AK42" s="47">
        <f>IF(KOL_Database!$AT$11="",0,MIN(100,MAX(0,KOL_Database!$AT$11)))</f>
      </c>
      <c r="AL42" s="47">
        <f>IF(KOL_Database!$AU$11="",0,KOL_Database!$AU$11)</f>
      </c>
      <c r="AM42" s="44">
        <f>IF(KOL_Database!$AV$11="","None",KOL_Database!$AV$11)</f>
      </c>
      <c r="AN42" s="48">
        <f>IF(Matching_Engine!$AM$42="High",Lookup_Lists!$D$137,IF(Matching_Engine!$AM$42="Medium",Lookup_Lists!$D$138,IF(Matching_Engine!$AM$42="Low",Lookup_Lists!$D$139,Lookup_Lists!$D$140)))</f>
      </c>
      <c r="AO42" s="47">
        <f>ROUND(MIN(100,MAX(0,(Matching_Engine!$AK$42*Lookup_Lists!$D$135+(100-Matching_Engine!$AL$42)*Lookup_Lists!$D$136)/(Lookup_Lists!$D$135+Lookup_Lists!$D$136)*Matching_Engine!$AN$42)),0)</f>
      </c>
      <c r="AP42" s="49">
        <f>ROUND((Matching_Engine!$N$42*Lookup_Lists!$D$104+Matching_Engine!$S$42*Lookup_Lists!$D$105+Matching_Engine!$X$42*Lookup_Lists!$D$106+Matching_Engine!$AC$42*Lookup_Lists!$D$107+Matching_Engine!$AJ$42*Lookup_Lists!$D$108+Matching_Engine!$AO$42*Lookup_Lists!$D$109)/MAX(1,(Lookup_Lists!$D$104+Lookup_Lists!$D$105+Lookup_Lists!$D$106+Lookup_Lists!$D$107+Lookup_Lists!$D$108+Lookup_Lists!$D$109)),0)</f>
      </c>
      <c r="AQ42" s="44">
        <f>IF(Matching_Engine!$AP$42&gt;=Lookup_Lists!$D$152,"Excellent Match",IF(Matching_Engine!$AP$42&gt;=Lookup_Lists!$D$153,"Strong Match",IF(Matching_Engine!$AP$42&gt;=Lookup_Lists!$D$154,"Good Match",IF(Matching_Engine!$AP$42&gt;=Lookup_Lists!$D$155,"Moderate Match","Low Match"))))</f>
      </c>
      <c r="AR42" s="47">
        <f>KOL_Database!$BE$11</f>
      </c>
      <c r="AS42" s="44">
        <f>IF(Matching_Engine!$AR$42&gt;=Lookup_Lists!$D$159,"High",IF(Matching_Engine!$AR$42&gt;=Lookup_Lists!$D$160,"Medium","Limited Data"))</f>
      </c>
      <c r="AT42" s="47">
        <f>ROUND((Matching_Engine!$N$42+Matching_Engine!$X$42+Matching_Engine!$AC$42)/3,0)</f>
      </c>
      <c r="AU42" s="47">
        <f>ROUND(((100-Matching_Engine!$AL$42)*Lookup_Lists!$D$162+IF(KOL_Database!$BD$11="",Lookup_Lists!$D$150,KOL_Database!$BD$11)*Lookup_Lists!$D$163+Matching_Engine!$AI$42*Lookup_Lists!$D$164+Matching_Engine!$AD$42*Lookup_Lists!$D$165)/(Lookup_Lists!$D$162+Lookup_Lists!$D$163+Lookup_Lists!$D$164+Lookup_Lists!$D$165),0)</f>
      </c>
      <c r="AV42" s="44">
        <f>IF(Matching_Engine!$AW$42="","PASS","EXCLUDED")</f>
      </c>
      <c r="AW42" s="44">
        <f>IF(ISERROR(SEARCH(KOL_Database!$D$11,Brand_Profile!$E$32)),"Platform not in Preferred Platform",IF(AND(Brand_Profile!$E$36&gt;0,KOL_Database!$J$11&lt;Brand_Profile!$E$36),"Followers below Preferred Follower Range",IF(AND(Brand_Profile!$E$37&gt;0,KOL_Database!$J$11&gt;Brand_Profile!$E$37),"Followers above Preferred Follower Range",IF(AND(Brand_Profile!$E$38&gt;0,IF(KOL_Database!$K$11="",0,KOL_Database!$K$11)&lt;Brand_Profile!$E$38),"Engagement Rate below Minimum Engagement Rate",IF(ISERROR(SEARCH(KOL_Database!$G$11,Brand_Profile!$E$35)),"Tier not in Preferred Tier",IF(AND(Brand_Profile!$E$43&gt;0,Matching_Engine!$AE$42&lt;Brand_Profile!$E$43),"Audience Quality below Minimum Audience Quality",IF(AND(Brand_Profile!$E$44&gt;0,Matching_Engine!$AK$42&lt;Brand_Profile!$E$44),"Brand Safety below Minimum Brand Safety",IF(AND(Brand_Profile!$E$47="Yes",KOL_Database!$AD$11&lt;&gt;Brand_Profile!$E$19),"Audience Country does not match Target Country",IF(AND(Brand_Profile!$E$46="Yes",KOL_Database!$E$11&lt;&gt;Brand_Profile!$E$33),"Category is not the Preferred Category",IF(AND(Brand_Profile!$E$48&gt;0,Matching_Engine!$AL$42&gt;Brand_Profile!$E$48),"Competitor Saturation above Max Competitor Saturation",IF(AND(Brand_Profile!$E$50="Yes",KOL_Database!$AW$11="Yes"),"Already Selected",IF(AND(Brand_Profile!$E$51="Yes",KOL_Database!$AX$11="Yes"),"Already in Cart",IF(AND(Brand_Profile!$E$52="Yes",KOL_Database!$AY$11="Yes"),"Existing Partner",IF(AND(Brand_Profile!$E$53="Yes",KOL_Database!$AZ$11="Yes"),"Excluded Creator",IF(AND(Brand_Profile!$E$49&gt;0,Matching_Engine!$AP$42&lt;Brand_Profile!$E$49),"Brand Match below Minimum Brand Match","")))))))))))))))</f>
      </c>
      <c r="AX42" s="44">
        <f>IF(Matching_Engine!$AV$42="EXCLUDED","Excluded",IF(Matching_Engine!$AP$42&gt;=Lookup_Lists!$D$156,"Highly Recommended",IF(Matching_Engine!$AP$42&gt;=Lookup_Lists!$D$157,"Recommended",IF(Matching_Engine!$AP$42&gt;=Lookup_Lists!$D$158,"Consider","Low Priority"))))</f>
      </c>
      <c r="AY42" s="47">
        <f>IF(Matching_Engine!$AV$42="PASS",Matching_Engine!$AP$42,"")</f>
      </c>
      <c r="AZ42" s="44">
        <f>Matching_Engine!$A$42&amp;"|"&amp;Matching_Engine!$C$42</f>
      </c>
      <c r="BA42" s="44">
        <f>IFERROR(INDEX(Lookup_Lists!$B$51:$B$92,MATCH(Brand_Profile!$E$12,Lookup_Lists!$A$51:$A$92,0)),"")</f>
      </c>
      <c r="BB42" s="44">
        <f>IFERROR(INDEX(Lookup_Lists!$B$51:$B$92,MATCH(KOL_Database!$F$11,Lookup_Lists!$A$51:$A$92,0)),"")</f>
      </c>
      <c r="BC42" s="47">
        <f>IFERROR(INDEX(Lookup_Lists!$B$185:$O$198,MATCH(Matching_Engine!$BA$42,Lookup_Lists!$A$185:$A$198,0),MATCH(KOL_Database!$E$11,Lookup_Lists!$B$184:$O$184,0)),Lookup_Lists!$D$151)</f>
      </c>
      <c r="BD42" s="47">
        <f>IFERROR(INDEX(Lookup_Lists!$B$185:$O$198,MATCH(Brand_Profile!$E$33,Lookup_Lists!$A$185:$A$198,0),MATCH(KOL_Database!$E$11,Lookup_Lists!$B$184:$O$184,0)),Lookup_Lists!$D$151)</f>
      </c>
      <c r="BE42" s="44">
        <f>IFERROR(INDEX(Lookup_Lists!$B$51:$B$92,MATCH(Brand_Profile!$E$34,Lookup_Lists!$A$51:$A$92,0)),"")</f>
      </c>
      <c r="BF42" s="44">
        <f>KOL_Database!$AI$11&amp;", "&amp;KOL_Database!$AG$11&amp;", "&amp;KOL_Database!$F$11&amp;", "&amp;KOL_Database!$E$11</f>
      </c>
      <c r="BG42" s="44">
        <f>KOL_Database!$AI$11&amp;", "&amp;KOL_Database!$AG$11</f>
      </c>
    </row>
    <row r="43" spans="1:59" x14ac:dyDescent="0.25">
      <c r="A43" s="43" t="s">
        <v>76</v>
      </c>
      <c r="B43" s="44">
        <f>Brand_Profile!$E$9</f>
      </c>
      <c r="C43" s="44">
        <f>KOL_Database!$A$12</f>
      </c>
      <c r="D43" s="44">
        <f>KOL_Database!$B$12</f>
      </c>
      <c r="E43" s="44">
        <f>KOL_Database!$C$12</f>
      </c>
      <c r="F43" s="44">
        <f>KOL_Database!$D$12</f>
      </c>
      <c r="G43" s="44">
        <f>KOL_Database!$E$12</f>
      </c>
      <c r="H43" s="44">
        <f>KOL_Database!$G$12</f>
      </c>
      <c r="I43" s="45">
        <f>KOL_Database!$J$12</f>
      </c>
      <c r="J43" s="46">
        <f>KOL_Database!$K$12</f>
      </c>
      <c r="K43" s="47">
        <f>IFERROR(INDEX(Lookup_Lists!$B$170:$O$181,MATCH(Brand_Profile!$E$10,Lookup_Lists!$A$170:$A$181,0),MATCH(KOL_Database!$E$12,Lookup_Lists!$B$169:$O$169,0)),Lookup_Lists!$D$151)</f>
      </c>
      <c r="L43" s="47">
        <f>IF(KOL_Database!$F$12="",Matching_Engine!$BC$43,IF(Brand_Profile!$E$12=KOL_Database!$F$12,100,IF(Matching_Engine!$BA$43=KOL_Database!$E$12,80,IF(Matching_Engine!$BC$43&gt;=80,60,IF(Matching_Engine!$BC$43&gt;=60,40,Lookup_Lists!$D$151)))))</f>
      </c>
      <c r="M43" s="47">
        <f>ROUND((IF(Brand_Profile!$E$62=0,Lookup_Lists!$D$150,ROUND((IF(Brand_Profile!$E$57="",0,IF(ISNUMBER(SEARCH(Brand_Profile!$E$57,Matching_Engine!$BF$43)),1,0))+IF(Brand_Profile!$E$58="",0,IF(ISNUMBER(SEARCH(Brand_Profile!$E$58,Matching_Engine!$BF$43)),1,0))+IF(Brand_Profile!$E$59="",0,IF(ISNUMBER(SEARCH(Brand_Profile!$E$59,Matching_Engine!$BF$43)),1,0))+IF(Brand_Profile!$E$60="",0,IF(ISNUMBER(SEARCH(Brand_Profile!$E$60,Matching_Engine!$BF$43)),1,0))+IF(Brand_Profile!$E$61="",0,IF(ISNUMBER(SEARCH(Brand_Profile!$E$61,Matching_Engine!$BF$43)),1,0)))/Brand_Profile!$E$62*100,0))+IF(Brand_Profile!$E$74=0,Lookup_Lists!$D$150,ROUND((IF(Brand_Profile!$E$69="",0,IF(ISNUMBER(SEARCH(Brand_Profile!$E$69,Matching_Engine!$BF$43)),1,0))+IF(Brand_Profile!$E$70="",0,IF(ISNUMBER(SEARCH(Brand_Profile!$E$70,Matching_Engine!$BF$43)),1,0))+IF(Brand_Profile!$E$71="",0,IF(ISNUMBER(SEARCH(Brand_Profile!$E$71,Matching_Engine!$BF$43)),1,0))+IF(Brand_Profile!$E$72="",0,IF(ISNUMBER(SEARCH(Brand_Profile!$E$72,Matching_Engine!$BF$43)),1,0))+IF(Brand_Profile!$E$73="",0,IF(ISNUMBER(SEARCH(Brand_Profile!$E$73,Matching_Engine!$BF$43)),1,0)))/Brand_Profile!$E$74*100,0)))/2,0)</f>
      </c>
      <c r="N43" s="47">
        <f>ROUND((Matching_Engine!$K$43*Lookup_Lists!$D$110+Matching_Engine!$L$43*Lookup_Lists!$D$111+Matching_Engine!$M$43*Lookup_Lists!$D$112)/(Lookup_Lists!$D$110+Lookup_Lists!$D$111+Lookup_Lists!$D$112),0)</f>
      </c>
      <c r="O43" s="47">
        <f>IF(Brand_Profile!$E$16="",Lookup_Lists!$D$150,MIN(100,ROUND((IFERROR(INDEX(KOL_Database!$W$12:KOL_Database!$AA$12,1,MATCH(Brand_Profile!$E$16,Lookup_Lists!$F$6:$F$10,0)),0)+0.5*IFERROR(INDEX(KOL_Database!$W$12:KOL_Database!$AA$12,1,MATCH(Brand_Profile!$E$17,Lookup_Lists!$F$6:$F$10,0)),0))/Lookup_Lists!$D$142*100,0)))</f>
      </c>
      <c r="P43" s="47">
        <f>IF(OR(Brand_Profile!$E$18="",Brand_Profile!$E$18="Any"),100,IF(Brand_Profile!$E$18="Female",MIN(100,ROUND(KOL_Database!$AB$12/Lookup_Lists!$D$143*100,0)),IF(Brand_Profile!$E$18="Male",MIN(100,ROUND(KOL_Database!$AC$12/Lookup_Lists!$D$143*100,0)),MAX(0,ROUND(100-ABS(KOL_Database!$AB$12-50)*2,0)))))</f>
      </c>
      <c r="Q43" s="47">
        <f>ROUND((IF(Brand_Profile!$E$19="",100,IF(KOL_Database!$AD$12=Brand_Profile!$E$19,100,Lookup_Lists!$D$151))*Lookup_Lists!$D$118+IF(OR(Brand_Profile!$E$20="",Brand_Profile!$E$20="Nasional"),100,IF(KOL_Database!$AE$12="",Lookup_Lists!$D$150,IF(KOL_Database!$AE$12=Brand_Profile!$E$20,100,IF(KOL_Database!$AD$12=Brand_Profile!$E$19,40,Lookup_Lists!$D$151))))*Lookup_Lists!$D$119+IF(OR(Brand_Profile!$E$21="",Brand_Profile!$E$21="Nasional"),100,IF(KOL_Database!$AF$12="",Lookup_Lists!$D$150,IF(KOL_Database!$AF$12=Brand_Profile!$E$21,100,IF(KOL_Database!$AE$12=Brand_Profile!$E$20,60,Lookup_Lists!$D$151))))*Lookup_Lists!$D$120)/(Lookup_Lists!$D$118+Lookup_Lists!$D$119+Lookup_Lists!$D$120),0)</f>
      </c>
      <c r="R43" s="47">
        <f>IF(Brand_Profile!$E$68=0,Lookup_Lists!$D$150,ROUND((IF(Brand_Profile!$E$63="",0,IF(ISNUMBER(SEARCH(Brand_Profile!$E$63,KOL_Database!$AG$12)),1,0))+IF(Brand_Profile!$E$64="",0,IF(ISNUMBER(SEARCH(Brand_Profile!$E$64,KOL_Database!$AG$12)),1,0))+IF(Brand_Profile!$E$65="",0,IF(ISNUMBER(SEARCH(Brand_Profile!$E$65,KOL_Database!$AG$12)),1,0))+IF(Brand_Profile!$E$66="",0,IF(ISNUMBER(SEARCH(Brand_Profile!$E$66,KOL_Database!$AG$12)),1,0))+IF(Brand_Profile!$E$67="",0,IF(ISNUMBER(SEARCH(Brand_Profile!$E$67,KOL_Database!$AG$12)),1,0)))/Brand_Profile!$E$68*100,0))</f>
      </c>
      <c r="S43" s="47">
        <f>ROUND((Matching_Engine!$O$43*Brand_Profile!$E$96+Matching_Engine!$P$43*Brand_Profile!$E$97+Matching_Engine!$Q$43*Brand_Profile!$E$98+Matching_Engine!$R$43*Brand_Profile!$E$99)/MAX(1,Brand_Profile!$E$96+Brand_Profile!$E$97+Brand_Profile!$E$98+Brand_Profile!$E$99),0)</f>
      </c>
      <c r="T43" s="47">
        <f>IF(Brand_Profile!$E$33="",Lookup_Lists!$D$150,Matching_Engine!$BD$43)</f>
      </c>
      <c r="U43" s="47">
        <f>IF(Brand_Profile!$E$34="",Lookup_Lists!$D$150,IF(Brand_Profile!$E$34=KOL_Database!$F$12,100,IF(Matching_Engine!$BE$43=KOL_Database!$E$12,75,IF(Matching_Engine!$BD$43&gt;=80,Lookup_Lists!$D$150,IF(Matching_Engine!$BD$43&gt;=60,35,Lookup_Lists!$D$151)))))</f>
      </c>
      <c r="V43" s="47">
        <f>IF(Brand_Profile!$E$86=0,Lookup_Lists!$D$150,ROUND((IF(Brand_Profile!$E$81="",0,IF(ISNUMBER(SEARCH(Brand_Profile!$E$81,Matching_Engine!$BG$43)),1,0))+IF(Brand_Profile!$E$82="",0,IF(ISNUMBER(SEARCH(Brand_Profile!$E$82,Matching_Engine!$BG$43)),1,0))+IF(Brand_Profile!$E$83="",0,IF(ISNUMBER(SEARCH(Brand_Profile!$E$83,Matching_Engine!$BG$43)),1,0))+IF(Brand_Profile!$E$84="",0,IF(ISNUMBER(SEARCH(Brand_Profile!$E$84,Matching_Engine!$BG$43)),1,0))+IF(Brand_Profile!$E$85="",0,IF(ISNUMBER(SEARCH(Brand_Profile!$E$85,Matching_Engine!$BG$43)),1,0)))/Brand_Profile!$E$86*100,0))</f>
      </c>
      <c r="W43" s="47">
        <f>IF(Brand_Profile!$E$39="",Lookup_Lists!$D$150,IFERROR(INDEX(Lookup_Lists!$B$237:$K$246,MATCH(Brand_Profile!$E$39,Lookup_Lists!$A$237:$A$246,0),MATCH(KOL_Database!$AJ$12,Lookup_Lists!$B$236:$K$236,0)),45))</f>
      </c>
      <c r="X43" s="47">
        <f>ROUND((Matching_Engine!$T$43*Lookup_Lists!$D$121+Matching_Engine!$U$43*Lookup_Lists!$D$122+Matching_Engine!$V$43*Lookup_Lists!$D$123+Matching_Engine!$W$43*Lookup_Lists!$D$124)/(Lookup_Lists!$D$121+Lookup_Lists!$D$122+Lookup_Lists!$D$123+Lookup_Lists!$D$124),0)</f>
      </c>
      <c r="Y43" s="47">
        <f>MIN(100,MAX(IFERROR(INDEX(Lookup_Lists!$B$202:$M$211,MATCH(Brand_Profile!$E$25,Lookup_Lists!$A$202:$A$211,0),MATCH(KOL_Database!$AK$12,Lookup_Lists!$B$201:$M$201,0)),40),IF(KOL_Database!$AK$12=Brand_Profile!$E$41,95,0)))</f>
      </c>
      <c r="Z43" s="47">
        <f>IFERROR(INDEX(Lookup_Lists!$B$215:$K$222,MATCH(Brand_Profile!$E$27,Lookup_Lists!$A$215:$A$222,0),MATCH(KOL_Database!$AJ$12,Lookup_Lists!$B$214:$K$214,0)),45)</f>
      </c>
      <c r="AA43" s="47">
        <f>ROUND((IF(Brand_Profile!$E$80=0,Lookup_Lists!$D$150,ROUND((IF(Brand_Profile!$E$75="",0,IF(ISNUMBER(SEARCH(Brand_Profile!$E$75,KOL_Database!$AL$12)),1,0))+IF(Brand_Profile!$E$76="",0,IF(ISNUMBER(SEARCH(Brand_Profile!$E$76,KOL_Database!$AL$12)),1,0))+IF(Brand_Profile!$E$77="",0,IF(ISNUMBER(SEARCH(Brand_Profile!$E$77,KOL_Database!$AL$12)),1,0))+IF(Brand_Profile!$E$78="",0,IF(ISNUMBER(SEARCH(Brand_Profile!$E$78,KOL_Database!$AL$12)),1,0))+IF(Brand_Profile!$E$79="",0,IF(ISNUMBER(SEARCH(Brand_Profile!$E$79,KOL_Database!$AL$12)),1,0)))/Brand_Profile!$E$80*100,0))+IF(Brand_Profile!$E$92=0,Lookup_Lists!$D$150,ROUND((IF(Brand_Profile!$E$87="",0,IF(ISNUMBER(SEARCH(Brand_Profile!$E$87,KOL_Database!$AL$12)),1,0))+IF(Brand_Profile!$E$88="",0,IF(ISNUMBER(SEARCH(Brand_Profile!$E$88,KOL_Database!$AL$12)),1,0))+IF(Brand_Profile!$E$89="",0,IF(ISNUMBER(SEARCH(Brand_Profile!$E$89,KOL_Database!$AL$12)),1,0))+IF(Brand_Profile!$E$90="",0,IF(ISNUMBER(SEARCH(Brand_Profile!$E$90,KOL_Database!$AL$12)),1,0))+IF(Brand_Profile!$E$91="",0,IF(ISNUMBER(SEARCH(Brand_Profile!$E$91,KOL_Database!$AL$12)),1,0)))/Brand_Profile!$E$92*100,0)))/2,0)</f>
      </c>
      <c r="AB43" s="47">
        <f>IFERROR(INDEX(Lookup_Lists!$B$226:$K$233,MATCH(Brand_Profile!$E$30,Lookup_Lists!$A$226:$A$233,0),MATCH(KOL_Database!$AJ$12,Lookup_Lists!$B$225:$K$225,0)),45)</f>
      </c>
      <c r="AC43" s="47">
        <f>ROUND((Matching_Engine!$Y$43*Lookup_Lists!$D$125+Matching_Engine!$Z$43*Lookup_Lists!$D$126+Matching_Engine!$AA$43*Lookup_Lists!$D$127+Matching_Engine!$AB$43*Lookup_Lists!$D$128)/(Lookup_Lists!$D$125+Lookup_Lists!$D$126+Lookup_Lists!$D$127+Lookup_Lists!$D$128),0)</f>
      </c>
      <c r="AD43" s="47">
        <f>IF(KOL_Database!$K$12="",0,MIN(100,ROUND(KOL_Database!$K$12/Lookup_Lists!$D$141*100,0)))</f>
      </c>
      <c r="AE43" s="47">
        <f>IF(KOL_Database!$R$12="",0,MIN(100,MAX(0,KOL_Database!$R$12)))</f>
      </c>
      <c r="AF43" s="47">
        <f>IF(KOL_Database!$P$12="",0,MIN(100,MAX(0,KOL_Database!$P$12)))</f>
      </c>
      <c r="AG43" s="47">
        <f>IF(KOL_Database!$Q$12="",0,MIN(100,MAX(0,KOL_Database!$Q$12)))</f>
      </c>
      <c r="AH43" s="47">
        <f>IF(OR(KOL_Database!$J$12="",KOL_Database!$J$12=0,KOL_Database!$L$12=""),0,MIN(100,ROUND(KOL_Database!$L$12/KOL_Database!$J$12/Lookup_Lists!$D$144*100,0)))</f>
      </c>
      <c r="AI43" s="47">
        <f>IF(KOL_Database!$N$12="",0,MIN(100,MAX(0,ROUND((KOL_Database!$N$12+2)/(Lookup_Lists!$D$145+2)*100,0))))</f>
      </c>
      <c r="AJ43" s="47">
        <f>ROUND((Matching_Engine!$AD$43*Lookup_Lists!$D$129+Matching_Engine!$AE$43*Lookup_Lists!$D$130+Matching_Engine!$AF$43*Lookup_Lists!$D$131+Matching_Engine!$AG$43*Lookup_Lists!$D$132+Matching_Engine!$AH$43*Lookup_Lists!$D$133+Matching_Engine!$AI$43*Lookup_Lists!$D$134)/(Lookup_Lists!$D$129+Lookup_Lists!$D$130+Lookup_Lists!$D$131+Lookup_Lists!$D$132+Lookup_Lists!$D$133+Lookup_Lists!$D$134),0)</f>
      </c>
      <c r="AK43" s="47">
        <f>IF(KOL_Database!$AT$12="",0,MIN(100,MAX(0,KOL_Database!$AT$12)))</f>
      </c>
      <c r="AL43" s="47">
        <f>IF(KOL_Database!$AU$12="",0,KOL_Database!$AU$12)</f>
      </c>
      <c r="AM43" s="44">
        <f>IF(KOL_Database!$AV$12="","None",KOL_Database!$AV$12)</f>
      </c>
      <c r="AN43" s="48">
        <f>IF(Matching_Engine!$AM$43="High",Lookup_Lists!$D$137,IF(Matching_Engine!$AM$43="Medium",Lookup_Lists!$D$138,IF(Matching_Engine!$AM$43="Low",Lookup_Lists!$D$139,Lookup_Lists!$D$140)))</f>
      </c>
      <c r="AO43" s="47">
        <f>ROUND(MIN(100,MAX(0,(Matching_Engine!$AK$43*Lookup_Lists!$D$135+(100-Matching_Engine!$AL$43)*Lookup_Lists!$D$136)/(Lookup_Lists!$D$135+Lookup_Lists!$D$136)*Matching_Engine!$AN$43)),0)</f>
      </c>
      <c r="AP43" s="49">
        <f>ROUND((Matching_Engine!$N$43*Lookup_Lists!$D$104+Matching_Engine!$S$43*Lookup_Lists!$D$105+Matching_Engine!$X$43*Lookup_Lists!$D$106+Matching_Engine!$AC$43*Lookup_Lists!$D$107+Matching_Engine!$AJ$43*Lookup_Lists!$D$108+Matching_Engine!$AO$43*Lookup_Lists!$D$109)/MAX(1,(Lookup_Lists!$D$104+Lookup_Lists!$D$105+Lookup_Lists!$D$106+Lookup_Lists!$D$107+Lookup_Lists!$D$108+Lookup_Lists!$D$109)),0)</f>
      </c>
      <c r="AQ43" s="44">
        <f>IF(Matching_Engine!$AP$43&gt;=Lookup_Lists!$D$152,"Excellent Match",IF(Matching_Engine!$AP$43&gt;=Lookup_Lists!$D$153,"Strong Match",IF(Matching_Engine!$AP$43&gt;=Lookup_Lists!$D$154,"Good Match",IF(Matching_Engine!$AP$43&gt;=Lookup_Lists!$D$155,"Moderate Match","Low Match"))))</f>
      </c>
      <c r="AR43" s="47">
        <f>KOL_Database!$BE$12</f>
      </c>
      <c r="AS43" s="44">
        <f>IF(Matching_Engine!$AR$43&gt;=Lookup_Lists!$D$159,"High",IF(Matching_Engine!$AR$43&gt;=Lookup_Lists!$D$160,"Medium","Limited Data"))</f>
      </c>
      <c r="AT43" s="47">
        <f>ROUND((Matching_Engine!$N$43+Matching_Engine!$X$43+Matching_Engine!$AC$43)/3,0)</f>
      </c>
      <c r="AU43" s="47">
        <f>ROUND(((100-Matching_Engine!$AL$43)*Lookup_Lists!$D$162+IF(KOL_Database!$BD$12="",Lookup_Lists!$D$150,KOL_Database!$BD$12)*Lookup_Lists!$D$163+Matching_Engine!$AI$43*Lookup_Lists!$D$164+Matching_Engine!$AD$43*Lookup_Lists!$D$165)/(Lookup_Lists!$D$162+Lookup_Lists!$D$163+Lookup_Lists!$D$164+Lookup_Lists!$D$165),0)</f>
      </c>
      <c r="AV43" s="44">
        <f>IF(Matching_Engine!$AW$43="","PASS","EXCLUDED")</f>
      </c>
      <c r="AW43" s="44">
        <f>IF(ISERROR(SEARCH(KOL_Database!$D$12,Brand_Profile!$E$32)),"Platform not in Preferred Platform",IF(AND(Brand_Profile!$E$36&gt;0,KOL_Database!$J$12&lt;Brand_Profile!$E$36),"Followers below Preferred Follower Range",IF(AND(Brand_Profile!$E$37&gt;0,KOL_Database!$J$12&gt;Brand_Profile!$E$37),"Followers above Preferred Follower Range",IF(AND(Brand_Profile!$E$38&gt;0,IF(KOL_Database!$K$12="",0,KOL_Database!$K$12)&lt;Brand_Profile!$E$38),"Engagement Rate below Minimum Engagement Rate",IF(ISERROR(SEARCH(KOL_Database!$G$12,Brand_Profile!$E$35)),"Tier not in Preferred Tier",IF(AND(Brand_Profile!$E$43&gt;0,Matching_Engine!$AE$43&lt;Brand_Profile!$E$43),"Audience Quality below Minimum Audience Quality",IF(AND(Brand_Profile!$E$44&gt;0,Matching_Engine!$AK$43&lt;Brand_Profile!$E$44),"Brand Safety below Minimum Brand Safety",IF(AND(Brand_Profile!$E$47="Yes",KOL_Database!$AD$12&lt;&gt;Brand_Profile!$E$19),"Audience Country does not match Target Country",IF(AND(Brand_Profile!$E$46="Yes",KOL_Database!$E$12&lt;&gt;Brand_Profile!$E$33),"Category is not the Preferred Category",IF(AND(Brand_Profile!$E$48&gt;0,Matching_Engine!$AL$43&gt;Brand_Profile!$E$48),"Competitor Saturation above Max Competitor Saturation",IF(AND(Brand_Profile!$E$50="Yes",KOL_Database!$AW$12="Yes"),"Already Selected",IF(AND(Brand_Profile!$E$51="Yes",KOL_Database!$AX$12="Yes"),"Already in Cart",IF(AND(Brand_Profile!$E$52="Yes",KOL_Database!$AY$12="Yes"),"Existing Partner",IF(AND(Brand_Profile!$E$53="Yes",KOL_Database!$AZ$12="Yes"),"Excluded Creator",IF(AND(Brand_Profile!$E$49&gt;0,Matching_Engine!$AP$43&lt;Brand_Profile!$E$49),"Brand Match below Minimum Brand Match","")))))))))))))))</f>
      </c>
      <c r="AX43" s="44">
        <f>IF(Matching_Engine!$AV$43="EXCLUDED","Excluded",IF(Matching_Engine!$AP$43&gt;=Lookup_Lists!$D$156,"Highly Recommended",IF(Matching_Engine!$AP$43&gt;=Lookup_Lists!$D$157,"Recommended",IF(Matching_Engine!$AP$43&gt;=Lookup_Lists!$D$158,"Consider","Low Priority"))))</f>
      </c>
      <c r="AY43" s="47">
        <f>IF(Matching_Engine!$AV$43="PASS",Matching_Engine!$AP$43,"")</f>
      </c>
      <c r="AZ43" s="44">
        <f>Matching_Engine!$A$43&amp;"|"&amp;Matching_Engine!$C$43</f>
      </c>
      <c r="BA43" s="44">
        <f>IFERROR(INDEX(Lookup_Lists!$B$51:$B$92,MATCH(Brand_Profile!$E$12,Lookup_Lists!$A$51:$A$92,0)),"")</f>
      </c>
      <c r="BB43" s="44">
        <f>IFERROR(INDEX(Lookup_Lists!$B$51:$B$92,MATCH(KOL_Database!$F$12,Lookup_Lists!$A$51:$A$92,0)),"")</f>
      </c>
      <c r="BC43" s="47">
        <f>IFERROR(INDEX(Lookup_Lists!$B$185:$O$198,MATCH(Matching_Engine!$BA$43,Lookup_Lists!$A$185:$A$198,0),MATCH(KOL_Database!$E$12,Lookup_Lists!$B$184:$O$184,0)),Lookup_Lists!$D$151)</f>
      </c>
      <c r="BD43" s="47">
        <f>IFERROR(INDEX(Lookup_Lists!$B$185:$O$198,MATCH(Brand_Profile!$E$33,Lookup_Lists!$A$185:$A$198,0),MATCH(KOL_Database!$E$12,Lookup_Lists!$B$184:$O$184,0)),Lookup_Lists!$D$151)</f>
      </c>
      <c r="BE43" s="44">
        <f>IFERROR(INDEX(Lookup_Lists!$B$51:$B$92,MATCH(Brand_Profile!$E$34,Lookup_Lists!$A$51:$A$92,0)),"")</f>
      </c>
      <c r="BF43" s="44">
        <f>KOL_Database!$AI$12&amp;", "&amp;KOL_Database!$AG$12&amp;", "&amp;KOL_Database!$F$12&amp;", "&amp;KOL_Database!$E$12</f>
      </c>
      <c r="BG43" s="44">
        <f>KOL_Database!$AI$12&amp;", "&amp;KOL_Database!$AG$12</f>
      </c>
    </row>
    <row r="44" spans="1:59" x14ac:dyDescent="0.25">
      <c r="A44" s="43" t="s">
        <v>76</v>
      </c>
      <c r="B44" s="44">
        <f>Brand_Profile!$E$9</f>
      </c>
      <c r="C44" s="44">
        <f>KOL_Database!$A$13</f>
      </c>
      <c r="D44" s="44">
        <f>KOL_Database!$B$13</f>
      </c>
      <c r="E44" s="44">
        <f>KOL_Database!$C$13</f>
      </c>
      <c r="F44" s="44">
        <f>KOL_Database!$D$13</f>
      </c>
      <c r="G44" s="44">
        <f>KOL_Database!$E$13</f>
      </c>
      <c r="H44" s="44">
        <f>KOL_Database!$G$13</f>
      </c>
      <c r="I44" s="45">
        <f>KOL_Database!$J$13</f>
      </c>
      <c r="J44" s="46">
        <f>KOL_Database!$K$13</f>
      </c>
      <c r="K44" s="47">
        <f>IFERROR(INDEX(Lookup_Lists!$B$170:$O$181,MATCH(Brand_Profile!$E$10,Lookup_Lists!$A$170:$A$181,0),MATCH(KOL_Database!$E$13,Lookup_Lists!$B$169:$O$169,0)),Lookup_Lists!$D$151)</f>
      </c>
      <c r="L44" s="47">
        <f>IF(KOL_Database!$F$13="",Matching_Engine!$BC$44,IF(Brand_Profile!$E$12=KOL_Database!$F$13,100,IF(Matching_Engine!$BA$44=KOL_Database!$E$13,80,IF(Matching_Engine!$BC$44&gt;=80,60,IF(Matching_Engine!$BC$44&gt;=60,40,Lookup_Lists!$D$151)))))</f>
      </c>
      <c r="M44" s="47">
        <f>ROUND((IF(Brand_Profile!$E$62=0,Lookup_Lists!$D$150,ROUND((IF(Brand_Profile!$E$57="",0,IF(ISNUMBER(SEARCH(Brand_Profile!$E$57,Matching_Engine!$BF$44)),1,0))+IF(Brand_Profile!$E$58="",0,IF(ISNUMBER(SEARCH(Brand_Profile!$E$58,Matching_Engine!$BF$44)),1,0))+IF(Brand_Profile!$E$59="",0,IF(ISNUMBER(SEARCH(Brand_Profile!$E$59,Matching_Engine!$BF$44)),1,0))+IF(Brand_Profile!$E$60="",0,IF(ISNUMBER(SEARCH(Brand_Profile!$E$60,Matching_Engine!$BF$44)),1,0))+IF(Brand_Profile!$E$61="",0,IF(ISNUMBER(SEARCH(Brand_Profile!$E$61,Matching_Engine!$BF$44)),1,0)))/Brand_Profile!$E$62*100,0))+IF(Brand_Profile!$E$74=0,Lookup_Lists!$D$150,ROUND((IF(Brand_Profile!$E$69="",0,IF(ISNUMBER(SEARCH(Brand_Profile!$E$69,Matching_Engine!$BF$44)),1,0))+IF(Brand_Profile!$E$70="",0,IF(ISNUMBER(SEARCH(Brand_Profile!$E$70,Matching_Engine!$BF$44)),1,0))+IF(Brand_Profile!$E$71="",0,IF(ISNUMBER(SEARCH(Brand_Profile!$E$71,Matching_Engine!$BF$44)),1,0))+IF(Brand_Profile!$E$72="",0,IF(ISNUMBER(SEARCH(Brand_Profile!$E$72,Matching_Engine!$BF$44)),1,0))+IF(Brand_Profile!$E$73="",0,IF(ISNUMBER(SEARCH(Brand_Profile!$E$73,Matching_Engine!$BF$44)),1,0)))/Brand_Profile!$E$74*100,0)))/2,0)</f>
      </c>
      <c r="N44" s="47">
        <f>ROUND((Matching_Engine!$K$44*Lookup_Lists!$D$110+Matching_Engine!$L$44*Lookup_Lists!$D$111+Matching_Engine!$M$44*Lookup_Lists!$D$112)/(Lookup_Lists!$D$110+Lookup_Lists!$D$111+Lookup_Lists!$D$112),0)</f>
      </c>
      <c r="O44" s="47">
        <f>IF(Brand_Profile!$E$16="",Lookup_Lists!$D$150,MIN(100,ROUND((IFERROR(INDEX(KOL_Database!$W$13:KOL_Database!$AA$13,1,MATCH(Brand_Profile!$E$16,Lookup_Lists!$F$6:$F$10,0)),0)+0.5*IFERROR(INDEX(KOL_Database!$W$13:KOL_Database!$AA$13,1,MATCH(Brand_Profile!$E$17,Lookup_Lists!$F$6:$F$10,0)),0))/Lookup_Lists!$D$142*100,0)))</f>
      </c>
      <c r="P44" s="47">
        <f>IF(OR(Brand_Profile!$E$18="",Brand_Profile!$E$18="Any"),100,IF(Brand_Profile!$E$18="Female",MIN(100,ROUND(KOL_Database!$AB$13/Lookup_Lists!$D$143*100,0)),IF(Brand_Profile!$E$18="Male",MIN(100,ROUND(KOL_Database!$AC$13/Lookup_Lists!$D$143*100,0)),MAX(0,ROUND(100-ABS(KOL_Database!$AB$13-50)*2,0)))))</f>
      </c>
      <c r="Q44" s="47">
        <f>ROUND((IF(Brand_Profile!$E$19="",100,IF(KOL_Database!$AD$13=Brand_Profile!$E$19,100,Lookup_Lists!$D$151))*Lookup_Lists!$D$118+IF(OR(Brand_Profile!$E$20="",Brand_Profile!$E$20="Nasional"),100,IF(KOL_Database!$AE$13="",Lookup_Lists!$D$150,IF(KOL_Database!$AE$13=Brand_Profile!$E$20,100,IF(KOL_Database!$AD$13=Brand_Profile!$E$19,40,Lookup_Lists!$D$151))))*Lookup_Lists!$D$119+IF(OR(Brand_Profile!$E$21="",Brand_Profile!$E$21="Nasional"),100,IF(KOL_Database!$AF$13="",Lookup_Lists!$D$150,IF(KOL_Database!$AF$13=Brand_Profile!$E$21,100,IF(KOL_Database!$AE$13=Brand_Profile!$E$20,60,Lookup_Lists!$D$151))))*Lookup_Lists!$D$120)/(Lookup_Lists!$D$118+Lookup_Lists!$D$119+Lookup_Lists!$D$120),0)</f>
      </c>
      <c r="R44" s="47">
        <f>IF(Brand_Profile!$E$68=0,Lookup_Lists!$D$150,ROUND((IF(Brand_Profile!$E$63="",0,IF(ISNUMBER(SEARCH(Brand_Profile!$E$63,KOL_Database!$AG$13)),1,0))+IF(Brand_Profile!$E$64="",0,IF(ISNUMBER(SEARCH(Brand_Profile!$E$64,KOL_Database!$AG$13)),1,0))+IF(Brand_Profile!$E$65="",0,IF(ISNUMBER(SEARCH(Brand_Profile!$E$65,KOL_Database!$AG$13)),1,0))+IF(Brand_Profile!$E$66="",0,IF(ISNUMBER(SEARCH(Brand_Profile!$E$66,KOL_Database!$AG$13)),1,0))+IF(Brand_Profile!$E$67="",0,IF(ISNUMBER(SEARCH(Brand_Profile!$E$67,KOL_Database!$AG$13)),1,0)))/Brand_Profile!$E$68*100,0))</f>
      </c>
      <c r="S44" s="47">
        <f>ROUND((Matching_Engine!$O$44*Brand_Profile!$E$96+Matching_Engine!$P$44*Brand_Profile!$E$97+Matching_Engine!$Q$44*Brand_Profile!$E$98+Matching_Engine!$R$44*Brand_Profile!$E$99)/MAX(1,Brand_Profile!$E$96+Brand_Profile!$E$97+Brand_Profile!$E$98+Brand_Profile!$E$99),0)</f>
      </c>
      <c r="T44" s="47">
        <f>IF(Brand_Profile!$E$33="",Lookup_Lists!$D$150,Matching_Engine!$BD$44)</f>
      </c>
      <c r="U44" s="47">
        <f>IF(Brand_Profile!$E$34="",Lookup_Lists!$D$150,IF(Brand_Profile!$E$34=KOL_Database!$F$13,100,IF(Matching_Engine!$BE$44=KOL_Database!$E$13,75,IF(Matching_Engine!$BD$44&gt;=80,Lookup_Lists!$D$150,IF(Matching_Engine!$BD$44&gt;=60,35,Lookup_Lists!$D$151)))))</f>
      </c>
      <c r="V44" s="47">
        <f>IF(Brand_Profile!$E$86=0,Lookup_Lists!$D$150,ROUND((IF(Brand_Profile!$E$81="",0,IF(ISNUMBER(SEARCH(Brand_Profile!$E$81,Matching_Engine!$BG$44)),1,0))+IF(Brand_Profile!$E$82="",0,IF(ISNUMBER(SEARCH(Brand_Profile!$E$82,Matching_Engine!$BG$44)),1,0))+IF(Brand_Profile!$E$83="",0,IF(ISNUMBER(SEARCH(Brand_Profile!$E$83,Matching_Engine!$BG$44)),1,0))+IF(Brand_Profile!$E$84="",0,IF(ISNUMBER(SEARCH(Brand_Profile!$E$84,Matching_Engine!$BG$44)),1,0))+IF(Brand_Profile!$E$85="",0,IF(ISNUMBER(SEARCH(Brand_Profile!$E$85,Matching_Engine!$BG$44)),1,0)))/Brand_Profile!$E$86*100,0))</f>
      </c>
      <c r="W44" s="47">
        <f>IF(Brand_Profile!$E$39="",Lookup_Lists!$D$150,IFERROR(INDEX(Lookup_Lists!$B$237:$K$246,MATCH(Brand_Profile!$E$39,Lookup_Lists!$A$237:$A$246,0),MATCH(KOL_Database!$AJ$13,Lookup_Lists!$B$236:$K$236,0)),45))</f>
      </c>
      <c r="X44" s="47">
        <f>ROUND((Matching_Engine!$T$44*Lookup_Lists!$D$121+Matching_Engine!$U$44*Lookup_Lists!$D$122+Matching_Engine!$V$44*Lookup_Lists!$D$123+Matching_Engine!$W$44*Lookup_Lists!$D$124)/(Lookup_Lists!$D$121+Lookup_Lists!$D$122+Lookup_Lists!$D$123+Lookup_Lists!$D$124),0)</f>
      </c>
      <c r="Y44" s="47">
        <f>MIN(100,MAX(IFERROR(INDEX(Lookup_Lists!$B$202:$M$211,MATCH(Brand_Profile!$E$25,Lookup_Lists!$A$202:$A$211,0),MATCH(KOL_Database!$AK$13,Lookup_Lists!$B$201:$M$201,0)),40),IF(KOL_Database!$AK$13=Brand_Profile!$E$41,95,0)))</f>
      </c>
      <c r="Z44" s="47">
        <f>IFERROR(INDEX(Lookup_Lists!$B$215:$K$222,MATCH(Brand_Profile!$E$27,Lookup_Lists!$A$215:$A$222,0),MATCH(KOL_Database!$AJ$13,Lookup_Lists!$B$214:$K$214,0)),45)</f>
      </c>
      <c r="AA44" s="47">
        <f>ROUND((IF(Brand_Profile!$E$80=0,Lookup_Lists!$D$150,ROUND((IF(Brand_Profile!$E$75="",0,IF(ISNUMBER(SEARCH(Brand_Profile!$E$75,KOL_Database!$AL$13)),1,0))+IF(Brand_Profile!$E$76="",0,IF(ISNUMBER(SEARCH(Brand_Profile!$E$76,KOL_Database!$AL$13)),1,0))+IF(Brand_Profile!$E$77="",0,IF(ISNUMBER(SEARCH(Brand_Profile!$E$77,KOL_Database!$AL$13)),1,0))+IF(Brand_Profile!$E$78="",0,IF(ISNUMBER(SEARCH(Brand_Profile!$E$78,KOL_Database!$AL$13)),1,0))+IF(Brand_Profile!$E$79="",0,IF(ISNUMBER(SEARCH(Brand_Profile!$E$79,KOL_Database!$AL$13)),1,0)))/Brand_Profile!$E$80*100,0))+IF(Brand_Profile!$E$92=0,Lookup_Lists!$D$150,ROUND((IF(Brand_Profile!$E$87="",0,IF(ISNUMBER(SEARCH(Brand_Profile!$E$87,KOL_Database!$AL$13)),1,0))+IF(Brand_Profile!$E$88="",0,IF(ISNUMBER(SEARCH(Brand_Profile!$E$88,KOL_Database!$AL$13)),1,0))+IF(Brand_Profile!$E$89="",0,IF(ISNUMBER(SEARCH(Brand_Profile!$E$89,KOL_Database!$AL$13)),1,0))+IF(Brand_Profile!$E$90="",0,IF(ISNUMBER(SEARCH(Brand_Profile!$E$90,KOL_Database!$AL$13)),1,0))+IF(Brand_Profile!$E$91="",0,IF(ISNUMBER(SEARCH(Brand_Profile!$E$91,KOL_Database!$AL$13)),1,0)))/Brand_Profile!$E$92*100,0)))/2,0)</f>
      </c>
      <c r="AB44" s="47">
        <f>IFERROR(INDEX(Lookup_Lists!$B$226:$K$233,MATCH(Brand_Profile!$E$30,Lookup_Lists!$A$226:$A$233,0),MATCH(KOL_Database!$AJ$13,Lookup_Lists!$B$225:$K$225,0)),45)</f>
      </c>
      <c r="AC44" s="47">
        <f>ROUND((Matching_Engine!$Y$44*Lookup_Lists!$D$125+Matching_Engine!$Z$44*Lookup_Lists!$D$126+Matching_Engine!$AA$44*Lookup_Lists!$D$127+Matching_Engine!$AB$44*Lookup_Lists!$D$128)/(Lookup_Lists!$D$125+Lookup_Lists!$D$126+Lookup_Lists!$D$127+Lookup_Lists!$D$128),0)</f>
      </c>
      <c r="AD44" s="47">
        <f>IF(KOL_Database!$K$13="",0,MIN(100,ROUND(KOL_Database!$K$13/Lookup_Lists!$D$141*100,0)))</f>
      </c>
      <c r="AE44" s="47">
        <f>IF(KOL_Database!$R$13="",0,MIN(100,MAX(0,KOL_Database!$R$13)))</f>
      </c>
      <c r="AF44" s="47">
        <f>IF(KOL_Database!$P$13="",0,MIN(100,MAX(0,KOL_Database!$P$13)))</f>
      </c>
      <c r="AG44" s="47">
        <f>IF(KOL_Database!$Q$13="",0,MIN(100,MAX(0,KOL_Database!$Q$13)))</f>
      </c>
      <c r="AH44" s="47">
        <f>IF(OR(KOL_Database!$J$13="",KOL_Database!$J$13=0,KOL_Database!$L$13=""),0,MIN(100,ROUND(KOL_Database!$L$13/KOL_Database!$J$13/Lookup_Lists!$D$144*100,0)))</f>
      </c>
      <c r="AI44" s="47">
        <f>IF(KOL_Database!$N$13="",0,MIN(100,MAX(0,ROUND((KOL_Database!$N$13+2)/(Lookup_Lists!$D$145+2)*100,0))))</f>
      </c>
      <c r="AJ44" s="47">
        <f>ROUND((Matching_Engine!$AD$44*Lookup_Lists!$D$129+Matching_Engine!$AE$44*Lookup_Lists!$D$130+Matching_Engine!$AF$44*Lookup_Lists!$D$131+Matching_Engine!$AG$44*Lookup_Lists!$D$132+Matching_Engine!$AH$44*Lookup_Lists!$D$133+Matching_Engine!$AI$44*Lookup_Lists!$D$134)/(Lookup_Lists!$D$129+Lookup_Lists!$D$130+Lookup_Lists!$D$131+Lookup_Lists!$D$132+Lookup_Lists!$D$133+Lookup_Lists!$D$134),0)</f>
      </c>
      <c r="AK44" s="47">
        <f>IF(KOL_Database!$AT$13="",0,MIN(100,MAX(0,KOL_Database!$AT$13)))</f>
      </c>
      <c r="AL44" s="47">
        <f>IF(KOL_Database!$AU$13="",0,KOL_Database!$AU$13)</f>
      </c>
      <c r="AM44" s="44">
        <f>IF(KOL_Database!$AV$13="","None",KOL_Database!$AV$13)</f>
      </c>
      <c r="AN44" s="48">
        <f>IF(Matching_Engine!$AM$44="High",Lookup_Lists!$D$137,IF(Matching_Engine!$AM$44="Medium",Lookup_Lists!$D$138,IF(Matching_Engine!$AM$44="Low",Lookup_Lists!$D$139,Lookup_Lists!$D$140)))</f>
      </c>
      <c r="AO44" s="47">
        <f>ROUND(MIN(100,MAX(0,(Matching_Engine!$AK$44*Lookup_Lists!$D$135+(100-Matching_Engine!$AL$44)*Lookup_Lists!$D$136)/(Lookup_Lists!$D$135+Lookup_Lists!$D$136)*Matching_Engine!$AN$44)),0)</f>
      </c>
      <c r="AP44" s="49">
        <f>ROUND((Matching_Engine!$N$44*Lookup_Lists!$D$104+Matching_Engine!$S$44*Lookup_Lists!$D$105+Matching_Engine!$X$44*Lookup_Lists!$D$106+Matching_Engine!$AC$44*Lookup_Lists!$D$107+Matching_Engine!$AJ$44*Lookup_Lists!$D$108+Matching_Engine!$AO$44*Lookup_Lists!$D$109)/MAX(1,(Lookup_Lists!$D$104+Lookup_Lists!$D$105+Lookup_Lists!$D$106+Lookup_Lists!$D$107+Lookup_Lists!$D$108+Lookup_Lists!$D$109)),0)</f>
      </c>
      <c r="AQ44" s="44">
        <f>IF(Matching_Engine!$AP$44&gt;=Lookup_Lists!$D$152,"Excellent Match",IF(Matching_Engine!$AP$44&gt;=Lookup_Lists!$D$153,"Strong Match",IF(Matching_Engine!$AP$44&gt;=Lookup_Lists!$D$154,"Good Match",IF(Matching_Engine!$AP$44&gt;=Lookup_Lists!$D$155,"Moderate Match","Low Match"))))</f>
      </c>
      <c r="AR44" s="47">
        <f>KOL_Database!$BE$13</f>
      </c>
      <c r="AS44" s="44">
        <f>IF(Matching_Engine!$AR$44&gt;=Lookup_Lists!$D$159,"High",IF(Matching_Engine!$AR$44&gt;=Lookup_Lists!$D$160,"Medium","Limited Data"))</f>
      </c>
      <c r="AT44" s="47">
        <f>ROUND((Matching_Engine!$N$44+Matching_Engine!$X$44+Matching_Engine!$AC$44)/3,0)</f>
      </c>
      <c r="AU44" s="47">
        <f>ROUND(((100-Matching_Engine!$AL$44)*Lookup_Lists!$D$162+IF(KOL_Database!$BD$13="",Lookup_Lists!$D$150,KOL_Database!$BD$13)*Lookup_Lists!$D$163+Matching_Engine!$AI$44*Lookup_Lists!$D$164+Matching_Engine!$AD$44*Lookup_Lists!$D$165)/(Lookup_Lists!$D$162+Lookup_Lists!$D$163+Lookup_Lists!$D$164+Lookup_Lists!$D$165),0)</f>
      </c>
      <c r="AV44" s="44">
        <f>IF(Matching_Engine!$AW$44="","PASS","EXCLUDED")</f>
      </c>
      <c r="AW44" s="44">
        <f>IF(ISERROR(SEARCH(KOL_Database!$D$13,Brand_Profile!$E$32)),"Platform not in Preferred Platform",IF(AND(Brand_Profile!$E$36&gt;0,KOL_Database!$J$13&lt;Brand_Profile!$E$36),"Followers below Preferred Follower Range",IF(AND(Brand_Profile!$E$37&gt;0,KOL_Database!$J$13&gt;Brand_Profile!$E$37),"Followers above Preferred Follower Range",IF(AND(Brand_Profile!$E$38&gt;0,IF(KOL_Database!$K$13="",0,KOL_Database!$K$13)&lt;Brand_Profile!$E$38),"Engagement Rate below Minimum Engagement Rate",IF(ISERROR(SEARCH(KOL_Database!$G$13,Brand_Profile!$E$35)),"Tier not in Preferred Tier",IF(AND(Brand_Profile!$E$43&gt;0,Matching_Engine!$AE$44&lt;Brand_Profile!$E$43),"Audience Quality below Minimum Audience Quality",IF(AND(Brand_Profile!$E$44&gt;0,Matching_Engine!$AK$44&lt;Brand_Profile!$E$44),"Brand Safety below Minimum Brand Safety",IF(AND(Brand_Profile!$E$47="Yes",KOL_Database!$AD$13&lt;&gt;Brand_Profile!$E$19),"Audience Country does not match Target Country",IF(AND(Brand_Profile!$E$46="Yes",KOL_Database!$E$13&lt;&gt;Brand_Profile!$E$33),"Category is not the Preferred Category",IF(AND(Brand_Profile!$E$48&gt;0,Matching_Engine!$AL$44&gt;Brand_Profile!$E$48),"Competitor Saturation above Max Competitor Saturation",IF(AND(Brand_Profile!$E$50="Yes",KOL_Database!$AW$13="Yes"),"Already Selected",IF(AND(Brand_Profile!$E$51="Yes",KOL_Database!$AX$13="Yes"),"Already in Cart",IF(AND(Brand_Profile!$E$52="Yes",KOL_Database!$AY$13="Yes"),"Existing Partner",IF(AND(Brand_Profile!$E$53="Yes",KOL_Database!$AZ$13="Yes"),"Excluded Creator",IF(AND(Brand_Profile!$E$49&gt;0,Matching_Engine!$AP$44&lt;Brand_Profile!$E$49),"Brand Match below Minimum Brand Match","")))))))))))))))</f>
      </c>
      <c r="AX44" s="44">
        <f>IF(Matching_Engine!$AV$44="EXCLUDED","Excluded",IF(Matching_Engine!$AP$44&gt;=Lookup_Lists!$D$156,"Highly Recommended",IF(Matching_Engine!$AP$44&gt;=Lookup_Lists!$D$157,"Recommended",IF(Matching_Engine!$AP$44&gt;=Lookup_Lists!$D$158,"Consider","Low Priority"))))</f>
      </c>
      <c r="AY44" s="47">
        <f>IF(Matching_Engine!$AV$44="PASS",Matching_Engine!$AP$44,"")</f>
      </c>
      <c r="AZ44" s="44">
        <f>Matching_Engine!$A$44&amp;"|"&amp;Matching_Engine!$C$44</f>
      </c>
      <c r="BA44" s="44">
        <f>IFERROR(INDEX(Lookup_Lists!$B$51:$B$92,MATCH(Brand_Profile!$E$12,Lookup_Lists!$A$51:$A$92,0)),"")</f>
      </c>
      <c r="BB44" s="44">
        <f>IFERROR(INDEX(Lookup_Lists!$B$51:$B$92,MATCH(KOL_Database!$F$13,Lookup_Lists!$A$51:$A$92,0)),"")</f>
      </c>
      <c r="BC44" s="47">
        <f>IFERROR(INDEX(Lookup_Lists!$B$185:$O$198,MATCH(Matching_Engine!$BA$44,Lookup_Lists!$A$185:$A$198,0),MATCH(KOL_Database!$E$13,Lookup_Lists!$B$184:$O$184,0)),Lookup_Lists!$D$151)</f>
      </c>
      <c r="BD44" s="47">
        <f>IFERROR(INDEX(Lookup_Lists!$B$185:$O$198,MATCH(Brand_Profile!$E$33,Lookup_Lists!$A$185:$A$198,0),MATCH(KOL_Database!$E$13,Lookup_Lists!$B$184:$O$184,0)),Lookup_Lists!$D$151)</f>
      </c>
      <c r="BE44" s="44">
        <f>IFERROR(INDEX(Lookup_Lists!$B$51:$B$92,MATCH(Brand_Profile!$E$34,Lookup_Lists!$A$51:$A$92,0)),"")</f>
      </c>
      <c r="BF44" s="44">
        <f>KOL_Database!$AI$13&amp;", "&amp;KOL_Database!$AG$13&amp;", "&amp;KOL_Database!$F$13&amp;", "&amp;KOL_Database!$E$13</f>
      </c>
      <c r="BG44" s="44">
        <f>KOL_Database!$AI$13&amp;", "&amp;KOL_Database!$AG$13</f>
      </c>
    </row>
    <row r="45" spans="1:59" x14ac:dyDescent="0.25">
      <c r="A45" s="43" t="s">
        <v>76</v>
      </c>
      <c r="B45" s="44">
        <f>Brand_Profile!$E$9</f>
      </c>
      <c r="C45" s="44">
        <f>KOL_Database!$A$14</f>
      </c>
      <c r="D45" s="44">
        <f>KOL_Database!$B$14</f>
      </c>
      <c r="E45" s="44">
        <f>KOL_Database!$C$14</f>
      </c>
      <c r="F45" s="44">
        <f>KOL_Database!$D$14</f>
      </c>
      <c r="G45" s="44">
        <f>KOL_Database!$E$14</f>
      </c>
      <c r="H45" s="44">
        <f>KOL_Database!$G$14</f>
      </c>
      <c r="I45" s="45">
        <f>KOL_Database!$J$14</f>
      </c>
      <c r="J45" s="46">
        <f>KOL_Database!$K$14</f>
      </c>
      <c r="K45" s="47">
        <f>IFERROR(INDEX(Lookup_Lists!$B$170:$O$181,MATCH(Brand_Profile!$E$10,Lookup_Lists!$A$170:$A$181,0),MATCH(KOL_Database!$E$14,Lookup_Lists!$B$169:$O$169,0)),Lookup_Lists!$D$151)</f>
      </c>
      <c r="L45" s="47">
        <f>IF(KOL_Database!$F$14="",Matching_Engine!$BC$45,IF(Brand_Profile!$E$12=KOL_Database!$F$14,100,IF(Matching_Engine!$BA$45=KOL_Database!$E$14,80,IF(Matching_Engine!$BC$45&gt;=80,60,IF(Matching_Engine!$BC$45&gt;=60,40,Lookup_Lists!$D$151)))))</f>
      </c>
      <c r="M45" s="47">
        <f>ROUND((IF(Brand_Profile!$E$62=0,Lookup_Lists!$D$150,ROUND((IF(Brand_Profile!$E$57="",0,IF(ISNUMBER(SEARCH(Brand_Profile!$E$57,Matching_Engine!$BF$45)),1,0))+IF(Brand_Profile!$E$58="",0,IF(ISNUMBER(SEARCH(Brand_Profile!$E$58,Matching_Engine!$BF$45)),1,0))+IF(Brand_Profile!$E$59="",0,IF(ISNUMBER(SEARCH(Brand_Profile!$E$59,Matching_Engine!$BF$45)),1,0))+IF(Brand_Profile!$E$60="",0,IF(ISNUMBER(SEARCH(Brand_Profile!$E$60,Matching_Engine!$BF$45)),1,0))+IF(Brand_Profile!$E$61="",0,IF(ISNUMBER(SEARCH(Brand_Profile!$E$61,Matching_Engine!$BF$45)),1,0)))/Brand_Profile!$E$62*100,0))+IF(Brand_Profile!$E$74=0,Lookup_Lists!$D$150,ROUND((IF(Brand_Profile!$E$69="",0,IF(ISNUMBER(SEARCH(Brand_Profile!$E$69,Matching_Engine!$BF$45)),1,0))+IF(Brand_Profile!$E$70="",0,IF(ISNUMBER(SEARCH(Brand_Profile!$E$70,Matching_Engine!$BF$45)),1,0))+IF(Brand_Profile!$E$71="",0,IF(ISNUMBER(SEARCH(Brand_Profile!$E$71,Matching_Engine!$BF$45)),1,0))+IF(Brand_Profile!$E$72="",0,IF(ISNUMBER(SEARCH(Brand_Profile!$E$72,Matching_Engine!$BF$45)),1,0))+IF(Brand_Profile!$E$73="",0,IF(ISNUMBER(SEARCH(Brand_Profile!$E$73,Matching_Engine!$BF$45)),1,0)))/Brand_Profile!$E$74*100,0)))/2,0)</f>
      </c>
      <c r="N45" s="47">
        <f>ROUND((Matching_Engine!$K$45*Lookup_Lists!$D$110+Matching_Engine!$L$45*Lookup_Lists!$D$111+Matching_Engine!$M$45*Lookup_Lists!$D$112)/(Lookup_Lists!$D$110+Lookup_Lists!$D$111+Lookup_Lists!$D$112),0)</f>
      </c>
      <c r="O45" s="47">
        <f>IF(Brand_Profile!$E$16="",Lookup_Lists!$D$150,MIN(100,ROUND((IFERROR(INDEX(KOL_Database!$W$14:KOL_Database!$AA$14,1,MATCH(Brand_Profile!$E$16,Lookup_Lists!$F$6:$F$10,0)),0)+0.5*IFERROR(INDEX(KOL_Database!$W$14:KOL_Database!$AA$14,1,MATCH(Brand_Profile!$E$17,Lookup_Lists!$F$6:$F$10,0)),0))/Lookup_Lists!$D$142*100,0)))</f>
      </c>
      <c r="P45" s="47">
        <f>IF(OR(Brand_Profile!$E$18="",Brand_Profile!$E$18="Any"),100,IF(Brand_Profile!$E$18="Female",MIN(100,ROUND(KOL_Database!$AB$14/Lookup_Lists!$D$143*100,0)),IF(Brand_Profile!$E$18="Male",MIN(100,ROUND(KOL_Database!$AC$14/Lookup_Lists!$D$143*100,0)),MAX(0,ROUND(100-ABS(KOL_Database!$AB$14-50)*2,0)))))</f>
      </c>
      <c r="Q45" s="47">
        <f>ROUND((IF(Brand_Profile!$E$19="",100,IF(KOL_Database!$AD$14=Brand_Profile!$E$19,100,Lookup_Lists!$D$151))*Lookup_Lists!$D$118+IF(OR(Brand_Profile!$E$20="",Brand_Profile!$E$20="Nasional"),100,IF(KOL_Database!$AE$14="",Lookup_Lists!$D$150,IF(KOL_Database!$AE$14=Brand_Profile!$E$20,100,IF(KOL_Database!$AD$14=Brand_Profile!$E$19,40,Lookup_Lists!$D$151))))*Lookup_Lists!$D$119+IF(OR(Brand_Profile!$E$21="",Brand_Profile!$E$21="Nasional"),100,IF(KOL_Database!$AF$14="",Lookup_Lists!$D$150,IF(KOL_Database!$AF$14=Brand_Profile!$E$21,100,IF(KOL_Database!$AE$14=Brand_Profile!$E$20,60,Lookup_Lists!$D$151))))*Lookup_Lists!$D$120)/(Lookup_Lists!$D$118+Lookup_Lists!$D$119+Lookup_Lists!$D$120),0)</f>
      </c>
      <c r="R45" s="47">
        <f>IF(Brand_Profile!$E$68=0,Lookup_Lists!$D$150,ROUND((IF(Brand_Profile!$E$63="",0,IF(ISNUMBER(SEARCH(Brand_Profile!$E$63,KOL_Database!$AG$14)),1,0))+IF(Brand_Profile!$E$64="",0,IF(ISNUMBER(SEARCH(Brand_Profile!$E$64,KOL_Database!$AG$14)),1,0))+IF(Brand_Profile!$E$65="",0,IF(ISNUMBER(SEARCH(Brand_Profile!$E$65,KOL_Database!$AG$14)),1,0))+IF(Brand_Profile!$E$66="",0,IF(ISNUMBER(SEARCH(Brand_Profile!$E$66,KOL_Database!$AG$14)),1,0))+IF(Brand_Profile!$E$67="",0,IF(ISNUMBER(SEARCH(Brand_Profile!$E$67,KOL_Database!$AG$14)),1,0)))/Brand_Profile!$E$68*100,0))</f>
      </c>
      <c r="S45" s="47">
        <f>ROUND((Matching_Engine!$O$45*Brand_Profile!$E$96+Matching_Engine!$P$45*Brand_Profile!$E$97+Matching_Engine!$Q$45*Brand_Profile!$E$98+Matching_Engine!$R$45*Brand_Profile!$E$99)/MAX(1,Brand_Profile!$E$96+Brand_Profile!$E$97+Brand_Profile!$E$98+Brand_Profile!$E$99),0)</f>
      </c>
      <c r="T45" s="47">
        <f>IF(Brand_Profile!$E$33="",Lookup_Lists!$D$150,Matching_Engine!$BD$45)</f>
      </c>
      <c r="U45" s="47">
        <f>IF(Brand_Profile!$E$34="",Lookup_Lists!$D$150,IF(Brand_Profile!$E$34=KOL_Database!$F$14,100,IF(Matching_Engine!$BE$45=KOL_Database!$E$14,75,IF(Matching_Engine!$BD$45&gt;=80,Lookup_Lists!$D$150,IF(Matching_Engine!$BD$45&gt;=60,35,Lookup_Lists!$D$151)))))</f>
      </c>
      <c r="V45" s="47">
        <f>IF(Brand_Profile!$E$86=0,Lookup_Lists!$D$150,ROUND((IF(Brand_Profile!$E$81="",0,IF(ISNUMBER(SEARCH(Brand_Profile!$E$81,Matching_Engine!$BG$45)),1,0))+IF(Brand_Profile!$E$82="",0,IF(ISNUMBER(SEARCH(Brand_Profile!$E$82,Matching_Engine!$BG$45)),1,0))+IF(Brand_Profile!$E$83="",0,IF(ISNUMBER(SEARCH(Brand_Profile!$E$83,Matching_Engine!$BG$45)),1,0))+IF(Brand_Profile!$E$84="",0,IF(ISNUMBER(SEARCH(Brand_Profile!$E$84,Matching_Engine!$BG$45)),1,0))+IF(Brand_Profile!$E$85="",0,IF(ISNUMBER(SEARCH(Brand_Profile!$E$85,Matching_Engine!$BG$45)),1,0)))/Brand_Profile!$E$86*100,0))</f>
      </c>
      <c r="W45" s="47">
        <f>IF(Brand_Profile!$E$39="",Lookup_Lists!$D$150,IFERROR(INDEX(Lookup_Lists!$B$237:$K$246,MATCH(Brand_Profile!$E$39,Lookup_Lists!$A$237:$A$246,0),MATCH(KOL_Database!$AJ$14,Lookup_Lists!$B$236:$K$236,0)),45))</f>
      </c>
      <c r="X45" s="47">
        <f>ROUND((Matching_Engine!$T$45*Lookup_Lists!$D$121+Matching_Engine!$U$45*Lookup_Lists!$D$122+Matching_Engine!$V$45*Lookup_Lists!$D$123+Matching_Engine!$W$45*Lookup_Lists!$D$124)/(Lookup_Lists!$D$121+Lookup_Lists!$D$122+Lookup_Lists!$D$123+Lookup_Lists!$D$124),0)</f>
      </c>
      <c r="Y45" s="47">
        <f>MIN(100,MAX(IFERROR(INDEX(Lookup_Lists!$B$202:$M$211,MATCH(Brand_Profile!$E$25,Lookup_Lists!$A$202:$A$211,0),MATCH(KOL_Database!$AK$14,Lookup_Lists!$B$201:$M$201,0)),40),IF(KOL_Database!$AK$14=Brand_Profile!$E$41,95,0)))</f>
      </c>
      <c r="Z45" s="47">
        <f>IFERROR(INDEX(Lookup_Lists!$B$215:$K$222,MATCH(Brand_Profile!$E$27,Lookup_Lists!$A$215:$A$222,0),MATCH(KOL_Database!$AJ$14,Lookup_Lists!$B$214:$K$214,0)),45)</f>
      </c>
      <c r="AA45" s="47">
        <f>ROUND((IF(Brand_Profile!$E$80=0,Lookup_Lists!$D$150,ROUND((IF(Brand_Profile!$E$75="",0,IF(ISNUMBER(SEARCH(Brand_Profile!$E$75,KOL_Database!$AL$14)),1,0))+IF(Brand_Profile!$E$76="",0,IF(ISNUMBER(SEARCH(Brand_Profile!$E$76,KOL_Database!$AL$14)),1,0))+IF(Brand_Profile!$E$77="",0,IF(ISNUMBER(SEARCH(Brand_Profile!$E$77,KOL_Database!$AL$14)),1,0))+IF(Brand_Profile!$E$78="",0,IF(ISNUMBER(SEARCH(Brand_Profile!$E$78,KOL_Database!$AL$14)),1,0))+IF(Brand_Profile!$E$79="",0,IF(ISNUMBER(SEARCH(Brand_Profile!$E$79,KOL_Database!$AL$14)),1,0)))/Brand_Profile!$E$80*100,0))+IF(Brand_Profile!$E$92=0,Lookup_Lists!$D$150,ROUND((IF(Brand_Profile!$E$87="",0,IF(ISNUMBER(SEARCH(Brand_Profile!$E$87,KOL_Database!$AL$14)),1,0))+IF(Brand_Profile!$E$88="",0,IF(ISNUMBER(SEARCH(Brand_Profile!$E$88,KOL_Database!$AL$14)),1,0))+IF(Brand_Profile!$E$89="",0,IF(ISNUMBER(SEARCH(Brand_Profile!$E$89,KOL_Database!$AL$14)),1,0))+IF(Brand_Profile!$E$90="",0,IF(ISNUMBER(SEARCH(Brand_Profile!$E$90,KOL_Database!$AL$14)),1,0))+IF(Brand_Profile!$E$91="",0,IF(ISNUMBER(SEARCH(Brand_Profile!$E$91,KOL_Database!$AL$14)),1,0)))/Brand_Profile!$E$92*100,0)))/2,0)</f>
      </c>
      <c r="AB45" s="47">
        <f>IFERROR(INDEX(Lookup_Lists!$B$226:$K$233,MATCH(Brand_Profile!$E$30,Lookup_Lists!$A$226:$A$233,0),MATCH(KOL_Database!$AJ$14,Lookup_Lists!$B$225:$K$225,0)),45)</f>
      </c>
      <c r="AC45" s="47">
        <f>ROUND((Matching_Engine!$Y$45*Lookup_Lists!$D$125+Matching_Engine!$Z$45*Lookup_Lists!$D$126+Matching_Engine!$AA$45*Lookup_Lists!$D$127+Matching_Engine!$AB$45*Lookup_Lists!$D$128)/(Lookup_Lists!$D$125+Lookup_Lists!$D$126+Lookup_Lists!$D$127+Lookup_Lists!$D$128),0)</f>
      </c>
      <c r="AD45" s="47">
        <f>IF(KOL_Database!$K$14="",0,MIN(100,ROUND(KOL_Database!$K$14/Lookup_Lists!$D$141*100,0)))</f>
      </c>
      <c r="AE45" s="47">
        <f>IF(KOL_Database!$R$14="",0,MIN(100,MAX(0,KOL_Database!$R$14)))</f>
      </c>
      <c r="AF45" s="47">
        <f>IF(KOL_Database!$P$14="",0,MIN(100,MAX(0,KOL_Database!$P$14)))</f>
      </c>
      <c r="AG45" s="47">
        <f>IF(KOL_Database!$Q$14="",0,MIN(100,MAX(0,KOL_Database!$Q$14)))</f>
      </c>
      <c r="AH45" s="47">
        <f>IF(OR(KOL_Database!$J$14="",KOL_Database!$J$14=0,KOL_Database!$L$14=""),0,MIN(100,ROUND(KOL_Database!$L$14/KOL_Database!$J$14/Lookup_Lists!$D$144*100,0)))</f>
      </c>
      <c r="AI45" s="47">
        <f>IF(KOL_Database!$N$14="",0,MIN(100,MAX(0,ROUND((KOL_Database!$N$14+2)/(Lookup_Lists!$D$145+2)*100,0))))</f>
      </c>
      <c r="AJ45" s="47">
        <f>ROUND((Matching_Engine!$AD$45*Lookup_Lists!$D$129+Matching_Engine!$AE$45*Lookup_Lists!$D$130+Matching_Engine!$AF$45*Lookup_Lists!$D$131+Matching_Engine!$AG$45*Lookup_Lists!$D$132+Matching_Engine!$AH$45*Lookup_Lists!$D$133+Matching_Engine!$AI$45*Lookup_Lists!$D$134)/(Lookup_Lists!$D$129+Lookup_Lists!$D$130+Lookup_Lists!$D$131+Lookup_Lists!$D$132+Lookup_Lists!$D$133+Lookup_Lists!$D$134),0)</f>
      </c>
      <c r="AK45" s="47">
        <f>IF(KOL_Database!$AT$14="",0,MIN(100,MAX(0,KOL_Database!$AT$14)))</f>
      </c>
      <c r="AL45" s="47">
        <f>IF(KOL_Database!$AU$14="",0,KOL_Database!$AU$14)</f>
      </c>
      <c r="AM45" s="44">
        <f>IF(KOL_Database!$AV$14="","None",KOL_Database!$AV$14)</f>
      </c>
      <c r="AN45" s="48">
        <f>IF(Matching_Engine!$AM$45="High",Lookup_Lists!$D$137,IF(Matching_Engine!$AM$45="Medium",Lookup_Lists!$D$138,IF(Matching_Engine!$AM$45="Low",Lookup_Lists!$D$139,Lookup_Lists!$D$140)))</f>
      </c>
      <c r="AO45" s="47">
        <f>ROUND(MIN(100,MAX(0,(Matching_Engine!$AK$45*Lookup_Lists!$D$135+(100-Matching_Engine!$AL$45)*Lookup_Lists!$D$136)/(Lookup_Lists!$D$135+Lookup_Lists!$D$136)*Matching_Engine!$AN$45)),0)</f>
      </c>
      <c r="AP45" s="49">
        <f>ROUND((Matching_Engine!$N$45*Lookup_Lists!$D$104+Matching_Engine!$S$45*Lookup_Lists!$D$105+Matching_Engine!$X$45*Lookup_Lists!$D$106+Matching_Engine!$AC$45*Lookup_Lists!$D$107+Matching_Engine!$AJ$45*Lookup_Lists!$D$108+Matching_Engine!$AO$45*Lookup_Lists!$D$109)/MAX(1,(Lookup_Lists!$D$104+Lookup_Lists!$D$105+Lookup_Lists!$D$106+Lookup_Lists!$D$107+Lookup_Lists!$D$108+Lookup_Lists!$D$109)),0)</f>
      </c>
      <c r="AQ45" s="44">
        <f>IF(Matching_Engine!$AP$45&gt;=Lookup_Lists!$D$152,"Excellent Match",IF(Matching_Engine!$AP$45&gt;=Lookup_Lists!$D$153,"Strong Match",IF(Matching_Engine!$AP$45&gt;=Lookup_Lists!$D$154,"Good Match",IF(Matching_Engine!$AP$45&gt;=Lookup_Lists!$D$155,"Moderate Match","Low Match"))))</f>
      </c>
      <c r="AR45" s="47">
        <f>KOL_Database!$BE$14</f>
      </c>
      <c r="AS45" s="44">
        <f>IF(Matching_Engine!$AR$45&gt;=Lookup_Lists!$D$159,"High",IF(Matching_Engine!$AR$45&gt;=Lookup_Lists!$D$160,"Medium","Limited Data"))</f>
      </c>
      <c r="AT45" s="47">
        <f>ROUND((Matching_Engine!$N$45+Matching_Engine!$X$45+Matching_Engine!$AC$45)/3,0)</f>
      </c>
      <c r="AU45" s="47">
        <f>ROUND(((100-Matching_Engine!$AL$45)*Lookup_Lists!$D$162+IF(KOL_Database!$BD$14="",Lookup_Lists!$D$150,KOL_Database!$BD$14)*Lookup_Lists!$D$163+Matching_Engine!$AI$45*Lookup_Lists!$D$164+Matching_Engine!$AD$45*Lookup_Lists!$D$165)/(Lookup_Lists!$D$162+Lookup_Lists!$D$163+Lookup_Lists!$D$164+Lookup_Lists!$D$165),0)</f>
      </c>
      <c r="AV45" s="44">
        <f>IF(Matching_Engine!$AW$45="","PASS","EXCLUDED")</f>
      </c>
      <c r="AW45" s="44">
        <f>IF(ISERROR(SEARCH(KOL_Database!$D$14,Brand_Profile!$E$32)),"Platform not in Preferred Platform",IF(AND(Brand_Profile!$E$36&gt;0,KOL_Database!$J$14&lt;Brand_Profile!$E$36),"Followers below Preferred Follower Range",IF(AND(Brand_Profile!$E$37&gt;0,KOL_Database!$J$14&gt;Brand_Profile!$E$37),"Followers above Preferred Follower Range",IF(AND(Brand_Profile!$E$38&gt;0,IF(KOL_Database!$K$14="",0,KOL_Database!$K$14)&lt;Brand_Profile!$E$38),"Engagement Rate below Minimum Engagement Rate",IF(ISERROR(SEARCH(KOL_Database!$G$14,Brand_Profile!$E$35)),"Tier not in Preferred Tier",IF(AND(Brand_Profile!$E$43&gt;0,Matching_Engine!$AE$45&lt;Brand_Profile!$E$43),"Audience Quality below Minimum Audience Quality",IF(AND(Brand_Profile!$E$44&gt;0,Matching_Engine!$AK$45&lt;Brand_Profile!$E$44),"Brand Safety below Minimum Brand Safety",IF(AND(Brand_Profile!$E$47="Yes",KOL_Database!$AD$14&lt;&gt;Brand_Profile!$E$19),"Audience Country does not match Target Country",IF(AND(Brand_Profile!$E$46="Yes",KOL_Database!$E$14&lt;&gt;Brand_Profile!$E$33),"Category is not the Preferred Category",IF(AND(Brand_Profile!$E$48&gt;0,Matching_Engine!$AL$45&gt;Brand_Profile!$E$48),"Competitor Saturation above Max Competitor Saturation",IF(AND(Brand_Profile!$E$50="Yes",KOL_Database!$AW$14="Yes"),"Already Selected",IF(AND(Brand_Profile!$E$51="Yes",KOL_Database!$AX$14="Yes"),"Already in Cart",IF(AND(Brand_Profile!$E$52="Yes",KOL_Database!$AY$14="Yes"),"Existing Partner",IF(AND(Brand_Profile!$E$53="Yes",KOL_Database!$AZ$14="Yes"),"Excluded Creator",IF(AND(Brand_Profile!$E$49&gt;0,Matching_Engine!$AP$45&lt;Brand_Profile!$E$49),"Brand Match below Minimum Brand Match","")))))))))))))))</f>
      </c>
      <c r="AX45" s="44">
        <f>IF(Matching_Engine!$AV$45="EXCLUDED","Excluded",IF(Matching_Engine!$AP$45&gt;=Lookup_Lists!$D$156,"Highly Recommended",IF(Matching_Engine!$AP$45&gt;=Lookup_Lists!$D$157,"Recommended",IF(Matching_Engine!$AP$45&gt;=Lookup_Lists!$D$158,"Consider","Low Priority"))))</f>
      </c>
      <c r="AY45" s="47">
        <f>IF(Matching_Engine!$AV$45="PASS",Matching_Engine!$AP$45,"")</f>
      </c>
      <c r="AZ45" s="44">
        <f>Matching_Engine!$A$45&amp;"|"&amp;Matching_Engine!$C$45</f>
      </c>
      <c r="BA45" s="44">
        <f>IFERROR(INDEX(Lookup_Lists!$B$51:$B$92,MATCH(Brand_Profile!$E$12,Lookup_Lists!$A$51:$A$92,0)),"")</f>
      </c>
      <c r="BB45" s="44">
        <f>IFERROR(INDEX(Lookup_Lists!$B$51:$B$92,MATCH(KOL_Database!$F$14,Lookup_Lists!$A$51:$A$92,0)),"")</f>
      </c>
      <c r="BC45" s="47">
        <f>IFERROR(INDEX(Lookup_Lists!$B$185:$O$198,MATCH(Matching_Engine!$BA$45,Lookup_Lists!$A$185:$A$198,0),MATCH(KOL_Database!$E$14,Lookup_Lists!$B$184:$O$184,0)),Lookup_Lists!$D$151)</f>
      </c>
      <c r="BD45" s="47">
        <f>IFERROR(INDEX(Lookup_Lists!$B$185:$O$198,MATCH(Brand_Profile!$E$33,Lookup_Lists!$A$185:$A$198,0),MATCH(KOL_Database!$E$14,Lookup_Lists!$B$184:$O$184,0)),Lookup_Lists!$D$151)</f>
      </c>
      <c r="BE45" s="44">
        <f>IFERROR(INDEX(Lookup_Lists!$B$51:$B$92,MATCH(Brand_Profile!$E$34,Lookup_Lists!$A$51:$A$92,0)),"")</f>
      </c>
      <c r="BF45" s="44">
        <f>KOL_Database!$AI$14&amp;", "&amp;KOL_Database!$AG$14&amp;", "&amp;KOL_Database!$F$14&amp;", "&amp;KOL_Database!$E$14</f>
      </c>
      <c r="BG45" s="44">
        <f>KOL_Database!$AI$14&amp;", "&amp;KOL_Database!$AG$14</f>
      </c>
    </row>
    <row r="46" spans="1:59" x14ac:dyDescent="0.25">
      <c r="A46" s="43" t="s">
        <v>76</v>
      </c>
      <c r="B46" s="44">
        <f>Brand_Profile!$E$9</f>
      </c>
      <c r="C46" s="44">
        <f>KOL_Database!$A$15</f>
      </c>
      <c r="D46" s="44">
        <f>KOL_Database!$B$15</f>
      </c>
      <c r="E46" s="44">
        <f>KOL_Database!$C$15</f>
      </c>
      <c r="F46" s="44">
        <f>KOL_Database!$D$15</f>
      </c>
      <c r="G46" s="44">
        <f>KOL_Database!$E$15</f>
      </c>
      <c r="H46" s="44">
        <f>KOL_Database!$G$15</f>
      </c>
      <c r="I46" s="45">
        <f>KOL_Database!$J$15</f>
      </c>
      <c r="J46" s="46">
        <f>KOL_Database!$K$15</f>
      </c>
      <c r="K46" s="47">
        <f>IFERROR(INDEX(Lookup_Lists!$B$170:$O$181,MATCH(Brand_Profile!$E$10,Lookup_Lists!$A$170:$A$181,0),MATCH(KOL_Database!$E$15,Lookup_Lists!$B$169:$O$169,0)),Lookup_Lists!$D$151)</f>
      </c>
      <c r="L46" s="47">
        <f>IF(KOL_Database!$F$15="",Matching_Engine!$BC$46,IF(Brand_Profile!$E$12=KOL_Database!$F$15,100,IF(Matching_Engine!$BA$46=KOL_Database!$E$15,80,IF(Matching_Engine!$BC$46&gt;=80,60,IF(Matching_Engine!$BC$46&gt;=60,40,Lookup_Lists!$D$151)))))</f>
      </c>
      <c r="M46" s="47">
        <f>ROUND((IF(Brand_Profile!$E$62=0,Lookup_Lists!$D$150,ROUND((IF(Brand_Profile!$E$57="",0,IF(ISNUMBER(SEARCH(Brand_Profile!$E$57,Matching_Engine!$BF$46)),1,0))+IF(Brand_Profile!$E$58="",0,IF(ISNUMBER(SEARCH(Brand_Profile!$E$58,Matching_Engine!$BF$46)),1,0))+IF(Brand_Profile!$E$59="",0,IF(ISNUMBER(SEARCH(Brand_Profile!$E$59,Matching_Engine!$BF$46)),1,0))+IF(Brand_Profile!$E$60="",0,IF(ISNUMBER(SEARCH(Brand_Profile!$E$60,Matching_Engine!$BF$46)),1,0))+IF(Brand_Profile!$E$61="",0,IF(ISNUMBER(SEARCH(Brand_Profile!$E$61,Matching_Engine!$BF$46)),1,0)))/Brand_Profile!$E$62*100,0))+IF(Brand_Profile!$E$74=0,Lookup_Lists!$D$150,ROUND((IF(Brand_Profile!$E$69="",0,IF(ISNUMBER(SEARCH(Brand_Profile!$E$69,Matching_Engine!$BF$46)),1,0))+IF(Brand_Profile!$E$70="",0,IF(ISNUMBER(SEARCH(Brand_Profile!$E$70,Matching_Engine!$BF$46)),1,0))+IF(Brand_Profile!$E$71="",0,IF(ISNUMBER(SEARCH(Brand_Profile!$E$71,Matching_Engine!$BF$46)),1,0))+IF(Brand_Profile!$E$72="",0,IF(ISNUMBER(SEARCH(Brand_Profile!$E$72,Matching_Engine!$BF$46)),1,0))+IF(Brand_Profile!$E$73="",0,IF(ISNUMBER(SEARCH(Brand_Profile!$E$73,Matching_Engine!$BF$46)),1,0)))/Brand_Profile!$E$74*100,0)))/2,0)</f>
      </c>
      <c r="N46" s="47">
        <f>ROUND((Matching_Engine!$K$46*Lookup_Lists!$D$110+Matching_Engine!$L$46*Lookup_Lists!$D$111+Matching_Engine!$M$46*Lookup_Lists!$D$112)/(Lookup_Lists!$D$110+Lookup_Lists!$D$111+Lookup_Lists!$D$112),0)</f>
      </c>
      <c r="O46" s="47">
        <f>IF(Brand_Profile!$E$16="",Lookup_Lists!$D$150,MIN(100,ROUND((IFERROR(INDEX(KOL_Database!$W$15:KOL_Database!$AA$15,1,MATCH(Brand_Profile!$E$16,Lookup_Lists!$F$6:$F$10,0)),0)+0.5*IFERROR(INDEX(KOL_Database!$W$15:KOL_Database!$AA$15,1,MATCH(Brand_Profile!$E$17,Lookup_Lists!$F$6:$F$10,0)),0))/Lookup_Lists!$D$142*100,0)))</f>
      </c>
      <c r="P46" s="47">
        <f>IF(OR(Brand_Profile!$E$18="",Brand_Profile!$E$18="Any"),100,IF(Brand_Profile!$E$18="Female",MIN(100,ROUND(KOL_Database!$AB$15/Lookup_Lists!$D$143*100,0)),IF(Brand_Profile!$E$18="Male",MIN(100,ROUND(KOL_Database!$AC$15/Lookup_Lists!$D$143*100,0)),MAX(0,ROUND(100-ABS(KOL_Database!$AB$15-50)*2,0)))))</f>
      </c>
      <c r="Q46" s="47">
        <f>ROUND((IF(Brand_Profile!$E$19="",100,IF(KOL_Database!$AD$15=Brand_Profile!$E$19,100,Lookup_Lists!$D$151))*Lookup_Lists!$D$118+IF(OR(Brand_Profile!$E$20="",Brand_Profile!$E$20="Nasional"),100,IF(KOL_Database!$AE$15="",Lookup_Lists!$D$150,IF(KOL_Database!$AE$15=Brand_Profile!$E$20,100,IF(KOL_Database!$AD$15=Brand_Profile!$E$19,40,Lookup_Lists!$D$151))))*Lookup_Lists!$D$119+IF(OR(Brand_Profile!$E$21="",Brand_Profile!$E$21="Nasional"),100,IF(KOL_Database!$AF$15="",Lookup_Lists!$D$150,IF(KOL_Database!$AF$15=Brand_Profile!$E$21,100,IF(KOL_Database!$AE$15=Brand_Profile!$E$20,60,Lookup_Lists!$D$151))))*Lookup_Lists!$D$120)/(Lookup_Lists!$D$118+Lookup_Lists!$D$119+Lookup_Lists!$D$120),0)</f>
      </c>
      <c r="R46" s="47">
        <f>IF(Brand_Profile!$E$68=0,Lookup_Lists!$D$150,ROUND((IF(Brand_Profile!$E$63="",0,IF(ISNUMBER(SEARCH(Brand_Profile!$E$63,KOL_Database!$AG$15)),1,0))+IF(Brand_Profile!$E$64="",0,IF(ISNUMBER(SEARCH(Brand_Profile!$E$64,KOL_Database!$AG$15)),1,0))+IF(Brand_Profile!$E$65="",0,IF(ISNUMBER(SEARCH(Brand_Profile!$E$65,KOL_Database!$AG$15)),1,0))+IF(Brand_Profile!$E$66="",0,IF(ISNUMBER(SEARCH(Brand_Profile!$E$66,KOL_Database!$AG$15)),1,0))+IF(Brand_Profile!$E$67="",0,IF(ISNUMBER(SEARCH(Brand_Profile!$E$67,KOL_Database!$AG$15)),1,0)))/Brand_Profile!$E$68*100,0))</f>
      </c>
      <c r="S46" s="47">
        <f>ROUND((Matching_Engine!$O$46*Brand_Profile!$E$96+Matching_Engine!$P$46*Brand_Profile!$E$97+Matching_Engine!$Q$46*Brand_Profile!$E$98+Matching_Engine!$R$46*Brand_Profile!$E$99)/MAX(1,Brand_Profile!$E$96+Brand_Profile!$E$97+Brand_Profile!$E$98+Brand_Profile!$E$99),0)</f>
      </c>
      <c r="T46" s="47">
        <f>IF(Brand_Profile!$E$33="",Lookup_Lists!$D$150,Matching_Engine!$BD$46)</f>
      </c>
      <c r="U46" s="47">
        <f>IF(Brand_Profile!$E$34="",Lookup_Lists!$D$150,IF(Brand_Profile!$E$34=KOL_Database!$F$15,100,IF(Matching_Engine!$BE$46=KOL_Database!$E$15,75,IF(Matching_Engine!$BD$46&gt;=80,Lookup_Lists!$D$150,IF(Matching_Engine!$BD$46&gt;=60,35,Lookup_Lists!$D$151)))))</f>
      </c>
      <c r="V46" s="47">
        <f>IF(Brand_Profile!$E$86=0,Lookup_Lists!$D$150,ROUND((IF(Brand_Profile!$E$81="",0,IF(ISNUMBER(SEARCH(Brand_Profile!$E$81,Matching_Engine!$BG$46)),1,0))+IF(Brand_Profile!$E$82="",0,IF(ISNUMBER(SEARCH(Brand_Profile!$E$82,Matching_Engine!$BG$46)),1,0))+IF(Brand_Profile!$E$83="",0,IF(ISNUMBER(SEARCH(Brand_Profile!$E$83,Matching_Engine!$BG$46)),1,0))+IF(Brand_Profile!$E$84="",0,IF(ISNUMBER(SEARCH(Brand_Profile!$E$84,Matching_Engine!$BG$46)),1,0))+IF(Brand_Profile!$E$85="",0,IF(ISNUMBER(SEARCH(Brand_Profile!$E$85,Matching_Engine!$BG$46)),1,0)))/Brand_Profile!$E$86*100,0))</f>
      </c>
      <c r="W46" s="47">
        <f>IF(Brand_Profile!$E$39="",Lookup_Lists!$D$150,IFERROR(INDEX(Lookup_Lists!$B$237:$K$246,MATCH(Brand_Profile!$E$39,Lookup_Lists!$A$237:$A$246,0),MATCH(KOL_Database!$AJ$15,Lookup_Lists!$B$236:$K$236,0)),45))</f>
      </c>
      <c r="X46" s="47">
        <f>ROUND((Matching_Engine!$T$46*Lookup_Lists!$D$121+Matching_Engine!$U$46*Lookup_Lists!$D$122+Matching_Engine!$V$46*Lookup_Lists!$D$123+Matching_Engine!$W$46*Lookup_Lists!$D$124)/(Lookup_Lists!$D$121+Lookup_Lists!$D$122+Lookup_Lists!$D$123+Lookup_Lists!$D$124),0)</f>
      </c>
      <c r="Y46" s="47">
        <f>MIN(100,MAX(IFERROR(INDEX(Lookup_Lists!$B$202:$M$211,MATCH(Brand_Profile!$E$25,Lookup_Lists!$A$202:$A$211,0),MATCH(KOL_Database!$AK$15,Lookup_Lists!$B$201:$M$201,0)),40),IF(KOL_Database!$AK$15=Brand_Profile!$E$41,95,0)))</f>
      </c>
      <c r="Z46" s="47">
        <f>IFERROR(INDEX(Lookup_Lists!$B$215:$K$222,MATCH(Brand_Profile!$E$27,Lookup_Lists!$A$215:$A$222,0),MATCH(KOL_Database!$AJ$15,Lookup_Lists!$B$214:$K$214,0)),45)</f>
      </c>
      <c r="AA46" s="47">
        <f>ROUND((IF(Brand_Profile!$E$80=0,Lookup_Lists!$D$150,ROUND((IF(Brand_Profile!$E$75="",0,IF(ISNUMBER(SEARCH(Brand_Profile!$E$75,KOL_Database!$AL$15)),1,0))+IF(Brand_Profile!$E$76="",0,IF(ISNUMBER(SEARCH(Brand_Profile!$E$76,KOL_Database!$AL$15)),1,0))+IF(Brand_Profile!$E$77="",0,IF(ISNUMBER(SEARCH(Brand_Profile!$E$77,KOL_Database!$AL$15)),1,0))+IF(Brand_Profile!$E$78="",0,IF(ISNUMBER(SEARCH(Brand_Profile!$E$78,KOL_Database!$AL$15)),1,0))+IF(Brand_Profile!$E$79="",0,IF(ISNUMBER(SEARCH(Brand_Profile!$E$79,KOL_Database!$AL$15)),1,0)))/Brand_Profile!$E$80*100,0))+IF(Brand_Profile!$E$92=0,Lookup_Lists!$D$150,ROUND((IF(Brand_Profile!$E$87="",0,IF(ISNUMBER(SEARCH(Brand_Profile!$E$87,KOL_Database!$AL$15)),1,0))+IF(Brand_Profile!$E$88="",0,IF(ISNUMBER(SEARCH(Brand_Profile!$E$88,KOL_Database!$AL$15)),1,0))+IF(Brand_Profile!$E$89="",0,IF(ISNUMBER(SEARCH(Brand_Profile!$E$89,KOL_Database!$AL$15)),1,0))+IF(Brand_Profile!$E$90="",0,IF(ISNUMBER(SEARCH(Brand_Profile!$E$90,KOL_Database!$AL$15)),1,0))+IF(Brand_Profile!$E$91="",0,IF(ISNUMBER(SEARCH(Brand_Profile!$E$91,KOL_Database!$AL$15)),1,0)))/Brand_Profile!$E$92*100,0)))/2,0)</f>
      </c>
      <c r="AB46" s="47">
        <f>IFERROR(INDEX(Lookup_Lists!$B$226:$K$233,MATCH(Brand_Profile!$E$30,Lookup_Lists!$A$226:$A$233,0),MATCH(KOL_Database!$AJ$15,Lookup_Lists!$B$225:$K$225,0)),45)</f>
      </c>
      <c r="AC46" s="47">
        <f>ROUND((Matching_Engine!$Y$46*Lookup_Lists!$D$125+Matching_Engine!$Z$46*Lookup_Lists!$D$126+Matching_Engine!$AA$46*Lookup_Lists!$D$127+Matching_Engine!$AB$46*Lookup_Lists!$D$128)/(Lookup_Lists!$D$125+Lookup_Lists!$D$126+Lookup_Lists!$D$127+Lookup_Lists!$D$128),0)</f>
      </c>
      <c r="AD46" s="47">
        <f>IF(KOL_Database!$K$15="",0,MIN(100,ROUND(KOL_Database!$K$15/Lookup_Lists!$D$141*100,0)))</f>
      </c>
      <c r="AE46" s="47">
        <f>IF(KOL_Database!$R$15="",0,MIN(100,MAX(0,KOL_Database!$R$15)))</f>
      </c>
      <c r="AF46" s="47">
        <f>IF(KOL_Database!$P$15="",0,MIN(100,MAX(0,KOL_Database!$P$15)))</f>
      </c>
      <c r="AG46" s="47">
        <f>IF(KOL_Database!$Q$15="",0,MIN(100,MAX(0,KOL_Database!$Q$15)))</f>
      </c>
      <c r="AH46" s="47">
        <f>IF(OR(KOL_Database!$J$15="",KOL_Database!$J$15=0,KOL_Database!$L$15=""),0,MIN(100,ROUND(KOL_Database!$L$15/KOL_Database!$J$15/Lookup_Lists!$D$144*100,0)))</f>
      </c>
      <c r="AI46" s="47">
        <f>IF(KOL_Database!$N$15="",0,MIN(100,MAX(0,ROUND((KOL_Database!$N$15+2)/(Lookup_Lists!$D$145+2)*100,0))))</f>
      </c>
      <c r="AJ46" s="47">
        <f>ROUND((Matching_Engine!$AD$46*Lookup_Lists!$D$129+Matching_Engine!$AE$46*Lookup_Lists!$D$130+Matching_Engine!$AF$46*Lookup_Lists!$D$131+Matching_Engine!$AG$46*Lookup_Lists!$D$132+Matching_Engine!$AH$46*Lookup_Lists!$D$133+Matching_Engine!$AI$46*Lookup_Lists!$D$134)/(Lookup_Lists!$D$129+Lookup_Lists!$D$130+Lookup_Lists!$D$131+Lookup_Lists!$D$132+Lookup_Lists!$D$133+Lookup_Lists!$D$134),0)</f>
      </c>
      <c r="AK46" s="47">
        <f>IF(KOL_Database!$AT$15="",0,MIN(100,MAX(0,KOL_Database!$AT$15)))</f>
      </c>
      <c r="AL46" s="47">
        <f>IF(KOL_Database!$AU$15="",0,KOL_Database!$AU$15)</f>
      </c>
      <c r="AM46" s="44">
        <f>IF(KOL_Database!$AV$15="","None",KOL_Database!$AV$15)</f>
      </c>
      <c r="AN46" s="48">
        <f>IF(Matching_Engine!$AM$46="High",Lookup_Lists!$D$137,IF(Matching_Engine!$AM$46="Medium",Lookup_Lists!$D$138,IF(Matching_Engine!$AM$46="Low",Lookup_Lists!$D$139,Lookup_Lists!$D$140)))</f>
      </c>
      <c r="AO46" s="47">
        <f>ROUND(MIN(100,MAX(0,(Matching_Engine!$AK$46*Lookup_Lists!$D$135+(100-Matching_Engine!$AL$46)*Lookup_Lists!$D$136)/(Lookup_Lists!$D$135+Lookup_Lists!$D$136)*Matching_Engine!$AN$46)),0)</f>
      </c>
      <c r="AP46" s="49">
        <f>ROUND((Matching_Engine!$N$46*Lookup_Lists!$D$104+Matching_Engine!$S$46*Lookup_Lists!$D$105+Matching_Engine!$X$46*Lookup_Lists!$D$106+Matching_Engine!$AC$46*Lookup_Lists!$D$107+Matching_Engine!$AJ$46*Lookup_Lists!$D$108+Matching_Engine!$AO$46*Lookup_Lists!$D$109)/MAX(1,(Lookup_Lists!$D$104+Lookup_Lists!$D$105+Lookup_Lists!$D$106+Lookup_Lists!$D$107+Lookup_Lists!$D$108+Lookup_Lists!$D$109)),0)</f>
      </c>
      <c r="AQ46" s="44">
        <f>IF(Matching_Engine!$AP$46&gt;=Lookup_Lists!$D$152,"Excellent Match",IF(Matching_Engine!$AP$46&gt;=Lookup_Lists!$D$153,"Strong Match",IF(Matching_Engine!$AP$46&gt;=Lookup_Lists!$D$154,"Good Match",IF(Matching_Engine!$AP$46&gt;=Lookup_Lists!$D$155,"Moderate Match","Low Match"))))</f>
      </c>
      <c r="AR46" s="47">
        <f>KOL_Database!$BE$15</f>
      </c>
      <c r="AS46" s="44">
        <f>IF(Matching_Engine!$AR$46&gt;=Lookup_Lists!$D$159,"High",IF(Matching_Engine!$AR$46&gt;=Lookup_Lists!$D$160,"Medium","Limited Data"))</f>
      </c>
      <c r="AT46" s="47">
        <f>ROUND((Matching_Engine!$N$46+Matching_Engine!$X$46+Matching_Engine!$AC$46)/3,0)</f>
      </c>
      <c r="AU46" s="47">
        <f>ROUND(((100-Matching_Engine!$AL$46)*Lookup_Lists!$D$162+IF(KOL_Database!$BD$15="",Lookup_Lists!$D$150,KOL_Database!$BD$15)*Lookup_Lists!$D$163+Matching_Engine!$AI$46*Lookup_Lists!$D$164+Matching_Engine!$AD$46*Lookup_Lists!$D$165)/(Lookup_Lists!$D$162+Lookup_Lists!$D$163+Lookup_Lists!$D$164+Lookup_Lists!$D$165),0)</f>
      </c>
      <c r="AV46" s="44">
        <f>IF(Matching_Engine!$AW$46="","PASS","EXCLUDED")</f>
      </c>
      <c r="AW46" s="44">
        <f>IF(ISERROR(SEARCH(KOL_Database!$D$15,Brand_Profile!$E$32)),"Platform not in Preferred Platform",IF(AND(Brand_Profile!$E$36&gt;0,KOL_Database!$J$15&lt;Brand_Profile!$E$36),"Followers below Preferred Follower Range",IF(AND(Brand_Profile!$E$37&gt;0,KOL_Database!$J$15&gt;Brand_Profile!$E$37),"Followers above Preferred Follower Range",IF(AND(Brand_Profile!$E$38&gt;0,IF(KOL_Database!$K$15="",0,KOL_Database!$K$15)&lt;Brand_Profile!$E$38),"Engagement Rate below Minimum Engagement Rate",IF(ISERROR(SEARCH(KOL_Database!$G$15,Brand_Profile!$E$35)),"Tier not in Preferred Tier",IF(AND(Brand_Profile!$E$43&gt;0,Matching_Engine!$AE$46&lt;Brand_Profile!$E$43),"Audience Quality below Minimum Audience Quality",IF(AND(Brand_Profile!$E$44&gt;0,Matching_Engine!$AK$46&lt;Brand_Profile!$E$44),"Brand Safety below Minimum Brand Safety",IF(AND(Brand_Profile!$E$47="Yes",KOL_Database!$AD$15&lt;&gt;Brand_Profile!$E$19),"Audience Country does not match Target Country",IF(AND(Brand_Profile!$E$46="Yes",KOL_Database!$E$15&lt;&gt;Brand_Profile!$E$33),"Category is not the Preferred Category",IF(AND(Brand_Profile!$E$48&gt;0,Matching_Engine!$AL$46&gt;Brand_Profile!$E$48),"Competitor Saturation above Max Competitor Saturation",IF(AND(Brand_Profile!$E$50="Yes",KOL_Database!$AW$15="Yes"),"Already Selected",IF(AND(Brand_Profile!$E$51="Yes",KOL_Database!$AX$15="Yes"),"Already in Cart",IF(AND(Brand_Profile!$E$52="Yes",KOL_Database!$AY$15="Yes"),"Existing Partner",IF(AND(Brand_Profile!$E$53="Yes",KOL_Database!$AZ$15="Yes"),"Excluded Creator",IF(AND(Brand_Profile!$E$49&gt;0,Matching_Engine!$AP$46&lt;Brand_Profile!$E$49),"Brand Match below Minimum Brand Match","")))))))))))))))</f>
      </c>
      <c r="AX46" s="44">
        <f>IF(Matching_Engine!$AV$46="EXCLUDED","Excluded",IF(Matching_Engine!$AP$46&gt;=Lookup_Lists!$D$156,"Highly Recommended",IF(Matching_Engine!$AP$46&gt;=Lookup_Lists!$D$157,"Recommended",IF(Matching_Engine!$AP$46&gt;=Lookup_Lists!$D$158,"Consider","Low Priority"))))</f>
      </c>
      <c r="AY46" s="47">
        <f>IF(Matching_Engine!$AV$46="PASS",Matching_Engine!$AP$46,"")</f>
      </c>
      <c r="AZ46" s="44">
        <f>Matching_Engine!$A$46&amp;"|"&amp;Matching_Engine!$C$46</f>
      </c>
      <c r="BA46" s="44">
        <f>IFERROR(INDEX(Lookup_Lists!$B$51:$B$92,MATCH(Brand_Profile!$E$12,Lookup_Lists!$A$51:$A$92,0)),"")</f>
      </c>
      <c r="BB46" s="44">
        <f>IFERROR(INDEX(Lookup_Lists!$B$51:$B$92,MATCH(KOL_Database!$F$15,Lookup_Lists!$A$51:$A$92,0)),"")</f>
      </c>
      <c r="BC46" s="47">
        <f>IFERROR(INDEX(Lookup_Lists!$B$185:$O$198,MATCH(Matching_Engine!$BA$46,Lookup_Lists!$A$185:$A$198,0),MATCH(KOL_Database!$E$15,Lookup_Lists!$B$184:$O$184,0)),Lookup_Lists!$D$151)</f>
      </c>
      <c r="BD46" s="47">
        <f>IFERROR(INDEX(Lookup_Lists!$B$185:$O$198,MATCH(Brand_Profile!$E$33,Lookup_Lists!$A$185:$A$198,0),MATCH(KOL_Database!$E$15,Lookup_Lists!$B$184:$O$184,0)),Lookup_Lists!$D$151)</f>
      </c>
      <c r="BE46" s="44">
        <f>IFERROR(INDEX(Lookup_Lists!$B$51:$B$92,MATCH(Brand_Profile!$E$34,Lookup_Lists!$A$51:$A$92,0)),"")</f>
      </c>
      <c r="BF46" s="44">
        <f>KOL_Database!$AI$15&amp;", "&amp;KOL_Database!$AG$15&amp;", "&amp;KOL_Database!$F$15&amp;", "&amp;KOL_Database!$E$15</f>
      </c>
      <c r="BG46" s="44">
        <f>KOL_Database!$AI$15&amp;", "&amp;KOL_Database!$AG$15</f>
      </c>
    </row>
    <row r="47" spans="1:59" x14ac:dyDescent="0.25">
      <c r="A47" s="43" t="s">
        <v>76</v>
      </c>
      <c r="B47" s="44">
        <f>Brand_Profile!$E$9</f>
      </c>
      <c r="C47" s="44">
        <f>KOL_Database!$A$16</f>
      </c>
      <c r="D47" s="44">
        <f>KOL_Database!$B$16</f>
      </c>
      <c r="E47" s="44">
        <f>KOL_Database!$C$16</f>
      </c>
      <c r="F47" s="44">
        <f>KOL_Database!$D$16</f>
      </c>
      <c r="G47" s="44">
        <f>KOL_Database!$E$16</f>
      </c>
      <c r="H47" s="44">
        <f>KOL_Database!$G$16</f>
      </c>
      <c r="I47" s="45">
        <f>KOL_Database!$J$16</f>
      </c>
      <c r="J47" s="46">
        <f>KOL_Database!$K$16</f>
      </c>
      <c r="K47" s="47">
        <f>IFERROR(INDEX(Lookup_Lists!$B$170:$O$181,MATCH(Brand_Profile!$E$10,Lookup_Lists!$A$170:$A$181,0),MATCH(KOL_Database!$E$16,Lookup_Lists!$B$169:$O$169,0)),Lookup_Lists!$D$151)</f>
      </c>
      <c r="L47" s="47">
        <f>IF(KOL_Database!$F$16="",Matching_Engine!$BC$47,IF(Brand_Profile!$E$12=KOL_Database!$F$16,100,IF(Matching_Engine!$BA$47=KOL_Database!$E$16,80,IF(Matching_Engine!$BC$47&gt;=80,60,IF(Matching_Engine!$BC$47&gt;=60,40,Lookup_Lists!$D$151)))))</f>
      </c>
      <c r="M47" s="47">
        <f>ROUND((IF(Brand_Profile!$E$62=0,Lookup_Lists!$D$150,ROUND((IF(Brand_Profile!$E$57="",0,IF(ISNUMBER(SEARCH(Brand_Profile!$E$57,Matching_Engine!$BF$47)),1,0))+IF(Brand_Profile!$E$58="",0,IF(ISNUMBER(SEARCH(Brand_Profile!$E$58,Matching_Engine!$BF$47)),1,0))+IF(Brand_Profile!$E$59="",0,IF(ISNUMBER(SEARCH(Brand_Profile!$E$59,Matching_Engine!$BF$47)),1,0))+IF(Brand_Profile!$E$60="",0,IF(ISNUMBER(SEARCH(Brand_Profile!$E$60,Matching_Engine!$BF$47)),1,0))+IF(Brand_Profile!$E$61="",0,IF(ISNUMBER(SEARCH(Brand_Profile!$E$61,Matching_Engine!$BF$47)),1,0)))/Brand_Profile!$E$62*100,0))+IF(Brand_Profile!$E$74=0,Lookup_Lists!$D$150,ROUND((IF(Brand_Profile!$E$69="",0,IF(ISNUMBER(SEARCH(Brand_Profile!$E$69,Matching_Engine!$BF$47)),1,0))+IF(Brand_Profile!$E$70="",0,IF(ISNUMBER(SEARCH(Brand_Profile!$E$70,Matching_Engine!$BF$47)),1,0))+IF(Brand_Profile!$E$71="",0,IF(ISNUMBER(SEARCH(Brand_Profile!$E$71,Matching_Engine!$BF$47)),1,0))+IF(Brand_Profile!$E$72="",0,IF(ISNUMBER(SEARCH(Brand_Profile!$E$72,Matching_Engine!$BF$47)),1,0))+IF(Brand_Profile!$E$73="",0,IF(ISNUMBER(SEARCH(Brand_Profile!$E$73,Matching_Engine!$BF$47)),1,0)))/Brand_Profile!$E$74*100,0)))/2,0)</f>
      </c>
      <c r="N47" s="47">
        <f>ROUND((Matching_Engine!$K$47*Lookup_Lists!$D$110+Matching_Engine!$L$47*Lookup_Lists!$D$111+Matching_Engine!$M$47*Lookup_Lists!$D$112)/(Lookup_Lists!$D$110+Lookup_Lists!$D$111+Lookup_Lists!$D$112),0)</f>
      </c>
      <c r="O47" s="47">
        <f>IF(Brand_Profile!$E$16="",Lookup_Lists!$D$150,MIN(100,ROUND((IFERROR(INDEX(KOL_Database!$W$16:KOL_Database!$AA$16,1,MATCH(Brand_Profile!$E$16,Lookup_Lists!$F$6:$F$10,0)),0)+0.5*IFERROR(INDEX(KOL_Database!$W$16:KOL_Database!$AA$16,1,MATCH(Brand_Profile!$E$17,Lookup_Lists!$F$6:$F$10,0)),0))/Lookup_Lists!$D$142*100,0)))</f>
      </c>
      <c r="P47" s="47">
        <f>IF(OR(Brand_Profile!$E$18="",Brand_Profile!$E$18="Any"),100,IF(Brand_Profile!$E$18="Female",MIN(100,ROUND(KOL_Database!$AB$16/Lookup_Lists!$D$143*100,0)),IF(Brand_Profile!$E$18="Male",MIN(100,ROUND(KOL_Database!$AC$16/Lookup_Lists!$D$143*100,0)),MAX(0,ROUND(100-ABS(KOL_Database!$AB$16-50)*2,0)))))</f>
      </c>
      <c r="Q47" s="47">
        <f>ROUND((IF(Brand_Profile!$E$19="",100,IF(KOL_Database!$AD$16=Brand_Profile!$E$19,100,Lookup_Lists!$D$151))*Lookup_Lists!$D$118+IF(OR(Brand_Profile!$E$20="",Brand_Profile!$E$20="Nasional"),100,IF(KOL_Database!$AE$16="",Lookup_Lists!$D$150,IF(KOL_Database!$AE$16=Brand_Profile!$E$20,100,IF(KOL_Database!$AD$16=Brand_Profile!$E$19,40,Lookup_Lists!$D$151))))*Lookup_Lists!$D$119+IF(OR(Brand_Profile!$E$21="",Brand_Profile!$E$21="Nasional"),100,IF(KOL_Database!$AF$16="",Lookup_Lists!$D$150,IF(KOL_Database!$AF$16=Brand_Profile!$E$21,100,IF(KOL_Database!$AE$16=Brand_Profile!$E$20,60,Lookup_Lists!$D$151))))*Lookup_Lists!$D$120)/(Lookup_Lists!$D$118+Lookup_Lists!$D$119+Lookup_Lists!$D$120),0)</f>
      </c>
      <c r="R47" s="47">
        <f>IF(Brand_Profile!$E$68=0,Lookup_Lists!$D$150,ROUND((IF(Brand_Profile!$E$63="",0,IF(ISNUMBER(SEARCH(Brand_Profile!$E$63,KOL_Database!$AG$16)),1,0))+IF(Brand_Profile!$E$64="",0,IF(ISNUMBER(SEARCH(Brand_Profile!$E$64,KOL_Database!$AG$16)),1,0))+IF(Brand_Profile!$E$65="",0,IF(ISNUMBER(SEARCH(Brand_Profile!$E$65,KOL_Database!$AG$16)),1,0))+IF(Brand_Profile!$E$66="",0,IF(ISNUMBER(SEARCH(Brand_Profile!$E$66,KOL_Database!$AG$16)),1,0))+IF(Brand_Profile!$E$67="",0,IF(ISNUMBER(SEARCH(Brand_Profile!$E$67,KOL_Database!$AG$16)),1,0)))/Brand_Profile!$E$68*100,0))</f>
      </c>
      <c r="S47" s="47">
        <f>ROUND((Matching_Engine!$O$47*Brand_Profile!$E$96+Matching_Engine!$P$47*Brand_Profile!$E$97+Matching_Engine!$Q$47*Brand_Profile!$E$98+Matching_Engine!$R$47*Brand_Profile!$E$99)/MAX(1,Brand_Profile!$E$96+Brand_Profile!$E$97+Brand_Profile!$E$98+Brand_Profile!$E$99),0)</f>
      </c>
      <c r="T47" s="47">
        <f>IF(Brand_Profile!$E$33="",Lookup_Lists!$D$150,Matching_Engine!$BD$47)</f>
      </c>
      <c r="U47" s="47">
        <f>IF(Brand_Profile!$E$34="",Lookup_Lists!$D$150,IF(Brand_Profile!$E$34=KOL_Database!$F$16,100,IF(Matching_Engine!$BE$47=KOL_Database!$E$16,75,IF(Matching_Engine!$BD$47&gt;=80,Lookup_Lists!$D$150,IF(Matching_Engine!$BD$47&gt;=60,35,Lookup_Lists!$D$151)))))</f>
      </c>
      <c r="V47" s="47">
        <f>IF(Brand_Profile!$E$86=0,Lookup_Lists!$D$150,ROUND((IF(Brand_Profile!$E$81="",0,IF(ISNUMBER(SEARCH(Brand_Profile!$E$81,Matching_Engine!$BG$47)),1,0))+IF(Brand_Profile!$E$82="",0,IF(ISNUMBER(SEARCH(Brand_Profile!$E$82,Matching_Engine!$BG$47)),1,0))+IF(Brand_Profile!$E$83="",0,IF(ISNUMBER(SEARCH(Brand_Profile!$E$83,Matching_Engine!$BG$47)),1,0))+IF(Brand_Profile!$E$84="",0,IF(ISNUMBER(SEARCH(Brand_Profile!$E$84,Matching_Engine!$BG$47)),1,0))+IF(Brand_Profile!$E$85="",0,IF(ISNUMBER(SEARCH(Brand_Profile!$E$85,Matching_Engine!$BG$47)),1,0)))/Brand_Profile!$E$86*100,0))</f>
      </c>
      <c r="W47" s="47">
        <f>IF(Brand_Profile!$E$39="",Lookup_Lists!$D$150,IFERROR(INDEX(Lookup_Lists!$B$237:$K$246,MATCH(Brand_Profile!$E$39,Lookup_Lists!$A$237:$A$246,0),MATCH(KOL_Database!$AJ$16,Lookup_Lists!$B$236:$K$236,0)),45))</f>
      </c>
      <c r="X47" s="47">
        <f>ROUND((Matching_Engine!$T$47*Lookup_Lists!$D$121+Matching_Engine!$U$47*Lookup_Lists!$D$122+Matching_Engine!$V$47*Lookup_Lists!$D$123+Matching_Engine!$W$47*Lookup_Lists!$D$124)/(Lookup_Lists!$D$121+Lookup_Lists!$D$122+Lookup_Lists!$D$123+Lookup_Lists!$D$124),0)</f>
      </c>
      <c r="Y47" s="47">
        <f>MIN(100,MAX(IFERROR(INDEX(Lookup_Lists!$B$202:$M$211,MATCH(Brand_Profile!$E$25,Lookup_Lists!$A$202:$A$211,0),MATCH(KOL_Database!$AK$16,Lookup_Lists!$B$201:$M$201,0)),40),IF(KOL_Database!$AK$16=Brand_Profile!$E$41,95,0)))</f>
      </c>
      <c r="Z47" s="47">
        <f>IFERROR(INDEX(Lookup_Lists!$B$215:$K$222,MATCH(Brand_Profile!$E$27,Lookup_Lists!$A$215:$A$222,0),MATCH(KOL_Database!$AJ$16,Lookup_Lists!$B$214:$K$214,0)),45)</f>
      </c>
      <c r="AA47" s="47">
        <f>ROUND((IF(Brand_Profile!$E$80=0,Lookup_Lists!$D$150,ROUND((IF(Brand_Profile!$E$75="",0,IF(ISNUMBER(SEARCH(Brand_Profile!$E$75,KOL_Database!$AL$16)),1,0))+IF(Brand_Profile!$E$76="",0,IF(ISNUMBER(SEARCH(Brand_Profile!$E$76,KOL_Database!$AL$16)),1,0))+IF(Brand_Profile!$E$77="",0,IF(ISNUMBER(SEARCH(Brand_Profile!$E$77,KOL_Database!$AL$16)),1,0))+IF(Brand_Profile!$E$78="",0,IF(ISNUMBER(SEARCH(Brand_Profile!$E$78,KOL_Database!$AL$16)),1,0))+IF(Brand_Profile!$E$79="",0,IF(ISNUMBER(SEARCH(Brand_Profile!$E$79,KOL_Database!$AL$16)),1,0)))/Brand_Profile!$E$80*100,0))+IF(Brand_Profile!$E$92=0,Lookup_Lists!$D$150,ROUND((IF(Brand_Profile!$E$87="",0,IF(ISNUMBER(SEARCH(Brand_Profile!$E$87,KOL_Database!$AL$16)),1,0))+IF(Brand_Profile!$E$88="",0,IF(ISNUMBER(SEARCH(Brand_Profile!$E$88,KOL_Database!$AL$16)),1,0))+IF(Brand_Profile!$E$89="",0,IF(ISNUMBER(SEARCH(Brand_Profile!$E$89,KOL_Database!$AL$16)),1,0))+IF(Brand_Profile!$E$90="",0,IF(ISNUMBER(SEARCH(Brand_Profile!$E$90,KOL_Database!$AL$16)),1,0))+IF(Brand_Profile!$E$91="",0,IF(ISNUMBER(SEARCH(Brand_Profile!$E$91,KOL_Database!$AL$16)),1,0)))/Brand_Profile!$E$92*100,0)))/2,0)</f>
      </c>
      <c r="AB47" s="47">
        <f>IFERROR(INDEX(Lookup_Lists!$B$226:$K$233,MATCH(Brand_Profile!$E$30,Lookup_Lists!$A$226:$A$233,0),MATCH(KOL_Database!$AJ$16,Lookup_Lists!$B$225:$K$225,0)),45)</f>
      </c>
      <c r="AC47" s="47">
        <f>ROUND((Matching_Engine!$Y$47*Lookup_Lists!$D$125+Matching_Engine!$Z$47*Lookup_Lists!$D$126+Matching_Engine!$AA$47*Lookup_Lists!$D$127+Matching_Engine!$AB$47*Lookup_Lists!$D$128)/(Lookup_Lists!$D$125+Lookup_Lists!$D$126+Lookup_Lists!$D$127+Lookup_Lists!$D$128),0)</f>
      </c>
      <c r="AD47" s="47">
        <f>IF(KOL_Database!$K$16="",0,MIN(100,ROUND(KOL_Database!$K$16/Lookup_Lists!$D$141*100,0)))</f>
      </c>
      <c r="AE47" s="47">
        <f>IF(KOL_Database!$R$16="",0,MIN(100,MAX(0,KOL_Database!$R$16)))</f>
      </c>
      <c r="AF47" s="47">
        <f>IF(KOL_Database!$P$16="",0,MIN(100,MAX(0,KOL_Database!$P$16)))</f>
      </c>
      <c r="AG47" s="47">
        <f>IF(KOL_Database!$Q$16="",0,MIN(100,MAX(0,KOL_Database!$Q$16)))</f>
      </c>
      <c r="AH47" s="47">
        <f>IF(OR(KOL_Database!$J$16="",KOL_Database!$J$16=0,KOL_Database!$L$16=""),0,MIN(100,ROUND(KOL_Database!$L$16/KOL_Database!$J$16/Lookup_Lists!$D$144*100,0)))</f>
      </c>
      <c r="AI47" s="47">
        <f>IF(KOL_Database!$N$16="",0,MIN(100,MAX(0,ROUND((KOL_Database!$N$16+2)/(Lookup_Lists!$D$145+2)*100,0))))</f>
      </c>
      <c r="AJ47" s="47">
        <f>ROUND((Matching_Engine!$AD$47*Lookup_Lists!$D$129+Matching_Engine!$AE$47*Lookup_Lists!$D$130+Matching_Engine!$AF$47*Lookup_Lists!$D$131+Matching_Engine!$AG$47*Lookup_Lists!$D$132+Matching_Engine!$AH$47*Lookup_Lists!$D$133+Matching_Engine!$AI$47*Lookup_Lists!$D$134)/(Lookup_Lists!$D$129+Lookup_Lists!$D$130+Lookup_Lists!$D$131+Lookup_Lists!$D$132+Lookup_Lists!$D$133+Lookup_Lists!$D$134),0)</f>
      </c>
      <c r="AK47" s="47">
        <f>IF(KOL_Database!$AT$16="",0,MIN(100,MAX(0,KOL_Database!$AT$16)))</f>
      </c>
      <c r="AL47" s="47">
        <f>IF(KOL_Database!$AU$16="",0,KOL_Database!$AU$16)</f>
      </c>
      <c r="AM47" s="44">
        <f>IF(KOL_Database!$AV$16="","None",KOL_Database!$AV$16)</f>
      </c>
      <c r="AN47" s="48">
        <f>IF(Matching_Engine!$AM$47="High",Lookup_Lists!$D$137,IF(Matching_Engine!$AM$47="Medium",Lookup_Lists!$D$138,IF(Matching_Engine!$AM$47="Low",Lookup_Lists!$D$139,Lookup_Lists!$D$140)))</f>
      </c>
      <c r="AO47" s="47">
        <f>ROUND(MIN(100,MAX(0,(Matching_Engine!$AK$47*Lookup_Lists!$D$135+(100-Matching_Engine!$AL$47)*Lookup_Lists!$D$136)/(Lookup_Lists!$D$135+Lookup_Lists!$D$136)*Matching_Engine!$AN$47)),0)</f>
      </c>
      <c r="AP47" s="49">
        <f>ROUND((Matching_Engine!$N$47*Lookup_Lists!$D$104+Matching_Engine!$S$47*Lookup_Lists!$D$105+Matching_Engine!$X$47*Lookup_Lists!$D$106+Matching_Engine!$AC$47*Lookup_Lists!$D$107+Matching_Engine!$AJ$47*Lookup_Lists!$D$108+Matching_Engine!$AO$47*Lookup_Lists!$D$109)/MAX(1,(Lookup_Lists!$D$104+Lookup_Lists!$D$105+Lookup_Lists!$D$106+Lookup_Lists!$D$107+Lookup_Lists!$D$108+Lookup_Lists!$D$109)),0)</f>
      </c>
      <c r="AQ47" s="44">
        <f>IF(Matching_Engine!$AP$47&gt;=Lookup_Lists!$D$152,"Excellent Match",IF(Matching_Engine!$AP$47&gt;=Lookup_Lists!$D$153,"Strong Match",IF(Matching_Engine!$AP$47&gt;=Lookup_Lists!$D$154,"Good Match",IF(Matching_Engine!$AP$47&gt;=Lookup_Lists!$D$155,"Moderate Match","Low Match"))))</f>
      </c>
      <c r="AR47" s="47">
        <f>KOL_Database!$BE$16</f>
      </c>
      <c r="AS47" s="44">
        <f>IF(Matching_Engine!$AR$47&gt;=Lookup_Lists!$D$159,"High",IF(Matching_Engine!$AR$47&gt;=Lookup_Lists!$D$160,"Medium","Limited Data"))</f>
      </c>
      <c r="AT47" s="47">
        <f>ROUND((Matching_Engine!$N$47+Matching_Engine!$X$47+Matching_Engine!$AC$47)/3,0)</f>
      </c>
      <c r="AU47" s="47">
        <f>ROUND(((100-Matching_Engine!$AL$47)*Lookup_Lists!$D$162+IF(KOL_Database!$BD$16="",Lookup_Lists!$D$150,KOL_Database!$BD$16)*Lookup_Lists!$D$163+Matching_Engine!$AI$47*Lookup_Lists!$D$164+Matching_Engine!$AD$47*Lookup_Lists!$D$165)/(Lookup_Lists!$D$162+Lookup_Lists!$D$163+Lookup_Lists!$D$164+Lookup_Lists!$D$165),0)</f>
      </c>
      <c r="AV47" s="44">
        <f>IF(Matching_Engine!$AW$47="","PASS","EXCLUDED")</f>
      </c>
      <c r="AW47" s="44">
        <f>IF(ISERROR(SEARCH(KOL_Database!$D$16,Brand_Profile!$E$32)),"Platform not in Preferred Platform",IF(AND(Brand_Profile!$E$36&gt;0,KOL_Database!$J$16&lt;Brand_Profile!$E$36),"Followers below Preferred Follower Range",IF(AND(Brand_Profile!$E$37&gt;0,KOL_Database!$J$16&gt;Brand_Profile!$E$37),"Followers above Preferred Follower Range",IF(AND(Brand_Profile!$E$38&gt;0,IF(KOL_Database!$K$16="",0,KOL_Database!$K$16)&lt;Brand_Profile!$E$38),"Engagement Rate below Minimum Engagement Rate",IF(ISERROR(SEARCH(KOL_Database!$G$16,Brand_Profile!$E$35)),"Tier not in Preferred Tier",IF(AND(Brand_Profile!$E$43&gt;0,Matching_Engine!$AE$47&lt;Brand_Profile!$E$43),"Audience Quality below Minimum Audience Quality",IF(AND(Brand_Profile!$E$44&gt;0,Matching_Engine!$AK$47&lt;Brand_Profile!$E$44),"Brand Safety below Minimum Brand Safety",IF(AND(Brand_Profile!$E$47="Yes",KOL_Database!$AD$16&lt;&gt;Brand_Profile!$E$19),"Audience Country does not match Target Country",IF(AND(Brand_Profile!$E$46="Yes",KOL_Database!$E$16&lt;&gt;Brand_Profile!$E$33),"Category is not the Preferred Category",IF(AND(Brand_Profile!$E$48&gt;0,Matching_Engine!$AL$47&gt;Brand_Profile!$E$48),"Competitor Saturation above Max Competitor Saturation",IF(AND(Brand_Profile!$E$50="Yes",KOL_Database!$AW$16="Yes"),"Already Selected",IF(AND(Brand_Profile!$E$51="Yes",KOL_Database!$AX$16="Yes"),"Already in Cart",IF(AND(Brand_Profile!$E$52="Yes",KOL_Database!$AY$16="Yes"),"Existing Partner",IF(AND(Brand_Profile!$E$53="Yes",KOL_Database!$AZ$16="Yes"),"Excluded Creator",IF(AND(Brand_Profile!$E$49&gt;0,Matching_Engine!$AP$47&lt;Brand_Profile!$E$49),"Brand Match below Minimum Brand Match","")))))))))))))))</f>
      </c>
      <c r="AX47" s="44">
        <f>IF(Matching_Engine!$AV$47="EXCLUDED","Excluded",IF(Matching_Engine!$AP$47&gt;=Lookup_Lists!$D$156,"Highly Recommended",IF(Matching_Engine!$AP$47&gt;=Lookup_Lists!$D$157,"Recommended",IF(Matching_Engine!$AP$47&gt;=Lookup_Lists!$D$158,"Consider","Low Priority"))))</f>
      </c>
      <c r="AY47" s="47">
        <f>IF(Matching_Engine!$AV$47="PASS",Matching_Engine!$AP$47,"")</f>
      </c>
      <c r="AZ47" s="44">
        <f>Matching_Engine!$A$47&amp;"|"&amp;Matching_Engine!$C$47</f>
      </c>
      <c r="BA47" s="44">
        <f>IFERROR(INDEX(Lookup_Lists!$B$51:$B$92,MATCH(Brand_Profile!$E$12,Lookup_Lists!$A$51:$A$92,0)),"")</f>
      </c>
      <c r="BB47" s="44">
        <f>IFERROR(INDEX(Lookup_Lists!$B$51:$B$92,MATCH(KOL_Database!$F$16,Lookup_Lists!$A$51:$A$92,0)),"")</f>
      </c>
      <c r="BC47" s="47">
        <f>IFERROR(INDEX(Lookup_Lists!$B$185:$O$198,MATCH(Matching_Engine!$BA$47,Lookup_Lists!$A$185:$A$198,0),MATCH(KOL_Database!$E$16,Lookup_Lists!$B$184:$O$184,0)),Lookup_Lists!$D$151)</f>
      </c>
      <c r="BD47" s="47">
        <f>IFERROR(INDEX(Lookup_Lists!$B$185:$O$198,MATCH(Brand_Profile!$E$33,Lookup_Lists!$A$185:$A$198,0),MATCH(KOL_Database!$E$16,Lookup_Lists!$B$184:$O$184,0)),Lookup_Lists!$D$151)</f>
      </c>
      <c r="BE47" s="44">
        <f>IFERROR(INDEX(Lookup_Lists!$B$51:$B$92,MATCH(Brand_Profile!$E$34,Lookup_Lists!$A$51:$A$92,0)),"")</f>
      </c>
      <c r="BF47" s="44">
        <f>KOL_Database!$AI$16&amp;", "&amp;KOL_Database!$AG$16&amp;", "&amp;KOL_Database!$F$16&amp;", "&amp;KOL_Database!$E$16</f>
      </c>
      <c r="BG47" s="44">
        <f>KOL_Database!$AI$16&amp;", "&amp;KOL_Database!$AG$16</f>
      </c>
    </row>
    <row r="48" spans="1:59" x14ac:dyDescent="0.25">
      <c r="A48" s="43" t="s">
        <v>76</v>
      </c>
      <c r="B48" s="44">
        <f>Brand_Profile!$E$9</f>
      </c>
      <c r="C48" s="44">
        <f>KOL_Database!$A$17</f>
      </c>
      <c r="D48" s="44">
        <f>KOL_Database!$B$17</f>
      </c>
      <c r="E48" s="44">
        <f>KOL_Database!$C$17</f>
      </c>
      <c r="F48" s="44">
        <f>KOL_Database!$D$17</f>
      </c>
      <c r="G48" s="44">
        <f>KOL_Database!$E$17</f>
      </c>
      <c r="H48" s="44">
        <f>KOL_Database!$G$17</f>
      </c>
      <c r="I48" s="45">
        <f>KOL_Database!$J$17</f>
      </c>
      <c r="J48" s="46">
        <f>KOL_Database!$K$17</f>
      </c>
      <c r="K48" s="47">
        <f>IFERROR(INDEX(Lookup_Lists!$B$170:$O$181,MATCH(Brand_Profile!$E$10,Lookup_Lists!$A$170:$A$181,0),MATCH(KOL_Database!$E$17,Lookup_Lists!$B$169:$O$169,0)),Lookup_Lists!$D$151)</f>
      </c>
      <c r="L48" s="47">
        <f>IF(KOL_Database!$F$17="",Matching_Engine!$BC$48,IF(Brand_Profile!$E$12=KOL_Database!$F$17,100,IF(Matching_Engine!$BA$48=KOL_Database!$E$17,80,IF(Matching_Engine!$BC$48&gt;=80,60,IF(Matching_Engine!$BC$48&gt;=60,40,Lookup_Lists!$D$151)))))</f>
      </c>
      <c r="M48" s="47">
        <f>ROUND((IF(Brand_Profile!$E$62=0,Lookup_Lists!$D$150,ROUND((IF(Brand_Profile!$E$57="",0,IF(ISNUMBER(SEARCH(Brand_Profile!$E$57,Matching_Engine!$BF$48)),1,0))+IF(Brand_Profile!$E$58="",0,IF(ISNUMBER(SEARCH(Brand_Profile!$E$58,Matching_Engine!$BF$48)),1,0))+IF(Brand_Profile!$E$59="",0,IF(ISNUMBER(SEARCH(Brand_Profile!$E$59,Matching_Engine!$BF$48)),1,0))+IF(Brand_Profile!$E$60="",0,IF(ISNUMBER(SEARCH(Brand_Profile!$E$60,Matching_Engine!$BF$48)),1,0))+IF(Brand_Profile!$E$61="",0,IF(ISNUMBER(SEARCH(Brand_Profile!$E$61,Matching_Engine!$BF$48)),1,0)))/Brand_Profile!$E$62*100,0))+IF(Brand_Profile!$E$74=0,Lookup_Lists!$D$150,ROUND((IF(Brand_Profile!$E$69="",0,IF(ISNUMBER(SEARCH(Brand_Profile!$E$69,Matching_Engine!$BF$48)),1,0))+IF(Brand_Profile!$E$70="",0,IF(ISNUMBER(SEARCH(Brand_Profile!$E$70,Matching_Engine!$BF$48)),1,0))+IF(Brand_Profile!$E$71="",0,IF(ISNUMBER(SEARCH(Brand_Profile!$E$71,Matching_Engine!$BF$48)),1,0))+IF(Brand_Profile!$E$72="",0,IF(ISNUMBER(SEARCH(Brand_Profile!$E$72,Matching_Engine!$BF$48)),1,0))+IF(Brand_Profile!$E$73="",0,IF(ISNUMBER(SEARCH(Brand_Profile!$E$73,Matching_Engine!$BF$48)),1,0)))/Brand_Profile!$E$74*100,0)))/2,0)</f>
      </c>
      <c r="N48" s="47">
        <f>ROUND((Matching_Engine!$K$48*Lookup_Lists!$D$110+Matching_Engine!$L$48*Lookup_Lists!$D$111+Matching_Engine!$M$48*Lookup_Lists!$D$112)/(Lookup_Lists!$D$110+Lookup_Lists!$D$111+Lookup_Lists!$D$112),0)</f>
      </c>
      <c r="O48" s="47">
        <f>IF(Brand_Profile!$E$16="",Lookup_Lists!$D$150,MIN(100,ROUND((IFERROR(INDEX(KOL_Database!$W$17:KOL_Database!$AA$17,1,MATCH(Brand_Profile!$E$16,Lookup_Lists!$F$6:$F$10,0)),0)+0.5*IFERROR(INDEX(KOL_Database!$W$17:KOL_Database!$AA$17,1,MATCH(Brand_Profile!$E$17,Lookup_Lists!$F$6:$F$10,0)),0))/Lookup_Lists!$D$142*100,0)))</f>
      </c>
      <c r="P48" s="47">
        <f>IF(OR(Brand_Profile!$E$18="",Brand_Profile!$E$18="Any"),100,IF(Brand_Profile!$E$18="Female",MIN(100,ROUND(KOL_Database!$AB$17/Lookup_Lists!$D$143*100,0)),IF(Brand_Profile!$E$18="Male",MIN(100,ROUND(KOL_Database!$AC$17/Lookup_Lists!$D$143*100,0)),MAX(0,ROUND(100-ABS(KOL_Database!$AB$17-50)*2,0)))))</f>
      </c>
      <c r="Q48" s="47">
        <f>ROUND((IF(Brand_Profile!$E$19="",100,IF(KOL_Database!$AD$17=Brand_Profile!$E$19,100,Lookup_Lists!$D$151))*Lookup_Lists!$D$118+IF(OR(Brand_Profile!$E$20="",Brand_Profile!$E$20="Nasional"),100,IF(KOL_Database!$AE$17="",Lookup_Lists!$D$150,IF(KOL_Database!$AE$17=Brand_Profile!$E$20,100,IF(KOL_Database!$AD$17=Brand_Profile!$E$19,40,Lookup_Lists!$D$151))))*Lookup_Lists!$D$119+IF(OR(Brand_Profile!$E$21="",Brand_Profile!$E$21="Nasional"),100,IF(KOL_Database!$AF$17="",Lookup_Lists!$D$150,IF(KOL_Database!$AF$17=Brand_Profile!$E$21,100,IF(KOL_Database!$AE$17=Brand_Profile!$E$20,60,Lookup_Lists!$D$151))))*Lookup_Lists!$D$120)/(Lookup_Lists!$D$118+Lookup_Lists!$D$119+Lookup_Lists!$D$120),0)</f>
      </c>
      <c r="R48" s="47">
        <f>IF(Brand_Profile!$E$68=0,Lookup_Lists!$D$150,ROUND((IF(Brand_Profile!$E$63="",0,IF(ISNUMBER(SEARCH(Brand_Profile!$E$63,KOL_Database!$AG$17)),1,0))+IF(Brand_Profile!$E$64="",0,IF(ISNUMBER(SEARCH(Brand_Profile!$E$64,KOL_Database!$AG$17)),1,0))+IF(Brand_Profile!$E$65="",0,IF(ISNUMBER(SEARCH(Brand_Profile!$E$65,KOL_Database!$AG$17)),1,0))+IF(Brand_Profile!$E$66="",0,IF(ISNUMBER(SEARCH(Brand_Profile!$E$66,KOL_Database!$AG$17)),1,0))+IF(Brand_Profile!$E$67="",0,IF(ISNUMBER(SEARCH(Brand_Profile!$E$67,KOL_Database!$AG$17)),1,0)))/Brand_Profile!$E$68*100,0))</f>
      </c>
      <c r="S48" s="47">
        <f>ROUND((Matching_Engine!$O$48*Brand_Profile!$E$96+Matching_Engine!$P$48*Brand_Profile!$E$97+Matching_Engine!$Q$48*Brand_Profile!$E$98+Matching_Engine!$R$48*Brand_Profile!$E$99)/MAX(1,Brand_Profile!$E$96+Brand_Profile!$E$97+Brand_Profile!$E$98+Brand_Profile!$E$99),0)</f>
      </c>
      <c r="T48" s="47">
        <f>IF(Brand_Profile!$E$33="",Lookup_Lists!$D$150,Matching_Engine!$BD$48)</f>
      </c>
      <c r="U48" s="47">
        <f>IF(Brand_Profile!$E$34="",Lookup_Lists!$D$150,IF(Brand_Profile!$E$34=KOL_Database!$F$17,100,IF(Matching_Engine!$BE$48=KOL_Database!$E$17,75,IF(Matching_Engine!$BD$48&gt;=80,Lookup_Lists!$D$150,IF(Matching_Engine!$BD$48&gt;=60,35,Lookup_Lists!$D$151)))))</f>
      </c>
      <c r="V48" s="47">
        <f>IF(Brand_Profile!$E$86=0,Lookup_Lists!$D$150,ROUND((IF(Brand_Profile!$E$81="",0,IF(ISNUMBER(SEARCH(Brand_Profile!$E$81,Matching_Engine!$BG$48)),1,0))+IF(Brand_Profile!$E$82="",0,IF(ISNUMBER(SEARCH(Brand_Profile!$E$82,Matching_Engine!$BG$48)),1,0))+IF(Brand_Profile!$E$83="",0,IF(ISNUMBER(SEARCH(Brand_Profile!$E$83,Matching_Engine!$BG$48)),1,0))+IF(Brand_Profile!$E$84="",0,IF(ISNUMBER(SEARCH(Brand_Profile!$E$84,Matching_Engine!$BG$48)),1,0))+IF(Brand_Profile!$E$85="",0,IF(ISNUMBER(SEARCH(Brand_Profile!$E$85,Matching_Engine!$BG$48)),1,0)))/Brand_Profile!$E$86*100,0))</f>
      </c>
      <c r="W48" s="47">
        <f>IF(Brand_Profile!$E$39="",Lookup_Lists!$D$150,IFERROR(INDEX(Lookup_Lists!$B$237:$K$246,MATCH(Brand_Profile!$E$39,Lookup_Lists!$A$237:$A$246,0),MATCH(KOL_Database!$AJ$17,Lookup_Lists!$B$236:$K$236,0)),45))</f>
      </c>
      <c r="X48" s="47">
        <f>ROUND((Matching_Engine!$T$48*Lookup_Lists!$D$121+Matching_Engine!$U$48*Lookup_Lists!$D$122+Matching_Engine!$V$48*Lookup_Lists!$D$123+Matching_Engine!$W$48*Lookup_Lists!$D$124)/(Lookup_Lists!$D$121+Lookup_Lists!$D$122+Lookup_Lists!$D$123+Lookup_Lists!$D$124),0)</f>
      </c>
      <c r="Y48" s="47">
        <f>MIN(100,MAX(IFERROR(INDEX(Lookup_Lists!$B$202:$M$211,MATCH(Brand_Profile!$E$25,Lookup_Lists!$A$202:$A$211,0),MATCH(KOL_Database!$AK$17,Lookup_Lists!$B$201:$M$201,0)),40),IF(KOL_Database!$AK$17=Brand_Profile!$E$41,95,0)))</f>
      </c>
      <c r="Z48" s="47">
        <f>IFERROR(INDEX(Lookup_Lists!$B$215:$K$222,MATCH(Brand_Profile!$E$27,Lookup_Lists!$A$215:$A$222,0),MATCH(KOL_Database!$AJ$17,Lookup_Lists!$B$214:$K$214,0)),45)</f>
      </c>
      <c r="AA48" s="47">
        <f>ROUND((IF(Brand_Profile!$E$80=0,Lookup_Lists!$D$150,ROUND((IF(Brand_Profile!$E$75="",0,IF(ISNUMBER(SEARCH(Brand_Profile!$E$75,KOL_Database!$AL$17)),1,0))+IF(Brand_Profile!$E$76="",0,IF(ISNUMBER(SEARCH(Brand_Profile!$E$76,KOL_Database!$AL$17)),1,0))+IF(Brand_Profile!$E$77="",0,IF(ISNUMBER(SEARCH(Brand_Profile!$E$77,KOL_Database!$AL$17)),1,0))+IF(Brand_Profile!$E$78="",0,IF(ISNUMBER(SEARCH(Brand_Profile!$E$78,KOL_Database!$AL$17)),1,0))+IF(Brand_Profile!$E$79="",0,IF(ISNUMBER(SEARCH(Brand_Profile!$E$79,KOL_Database!$AL$17)),1,0)))/Brand_Profile!$E$80*100,0))+IF(Brand_Profile!$E$92=0,Lookup_Lists!$D$150,ROUND((IF(Brand_Profile!$E$87="",0,IF(ISNUMBER(SEARCH(Brand_Profile!$E$87,KOL_Database!$AL$17)),1,0))+IF(Brand_Profile!$E$88="",0,IF(ISNUMBER(SEARCH(Brand_Profile!$E$88,KOL_Database!$AL$17)),1,0))+IF(Brand_Profile!$E$89="",0,IF(ISNUMBER(SEARCH(Brand_Profile!$E$89,KOL_Database!$AL$17)),1,0))+IF(Brand_Profile!$E$90="",0,IF(ISNUMBER(SEARCH(Brand_Profile!$E$90,KOL_Database!$AL$17)),1,0))+IF(Brand_Profile!$E$91="",0,IF(ISNUMBER(SEARCH(Brand_Profile!$E$91,KOL_Database!$AL$17)),1,0)))/Brand_Profile!$E$92*100,0)))/2,0)</f>
      </c>
      <c r="AB48" s="47">
        <f>IFERROR(INDEX(Lookup_Lists!$B$226:$K$233,MATCH(Brand_Profile!$E$30,Lookup_Lists!$A$226:$A$233,0),MATCH(KOL_Database!$AJ$17,Lookup_Lists!$B$225:$K$225,0)),45)</f>
      </c>
      <c r="AC48" s="47">
        <f>ROUND((Matching_Engine!$Y$48*Lookup_Lists!$D$125+Matching_Engine!$Z$48*Lookup_Lists!$D$126+Matching_Engine!$AA$48*Lookup_Lists!$D$127+Matching_Engine!$AB$48*Lookup_Lists!$D$128)/(Lookup_Lists!$D$125+Lookup_Lists!$D$126+Lookup_Lists!$D$127+Lookup_Lists!$D$128),0)</f>
      </c>
      <c r="AD48" s="47">
        <f>IF(KOL_Database!$K$17="",0,MIN(100,ROUND(KOL_Database!$K$17/Lookup_Lists!$D$141*100,0)))</f>
      </c>
      <c r="AE48" s="47">
        <f>IF(KOL_Database!$R$17="",0,MIN(100,MAX(0,KOL_Database!$R$17)))</f>
      </c>
      <c r="AF48" s="47">
        <f>IF(KOL_Database!$P$17="",0,MIN(100,MAX(0,KOL_Database!$P$17)))</f>
      </c>
      <c r="AG48" s="47">
        <f>IF(KOL_Database!$Q$17="",0,MIN(100,MAX(0,KOL_Database!$Q$17)))</f>
      </c>
      <c r="AH48" s="47">
        <f>IF(OR(KOL_Database!$J$17="",KOL_Database!$J$17=0,KOL_Database!$L$17=""),0,MIN(100,ROUND(KOL_Database!$L$17/KOL_Database!$J$17/Lookup_Lists!$D$144*100,0)))</f>
      </c>
      <c r="AI48" s="47">
        <f>IF(KOL_Database!$N$17="",0,MIN(100,MAX(0,ROUND((KOL_Database!$N$17+2)/(Lookup_Lists!$D$145+2)*100,0))))</f>
      </c>
      <c r="AJ48" s="47">
        <f>ROUND((Matching_Engine!$AD$48*Lookup_Lists!$D$129+Matching_Engine!$AE$48*Lookup_Lists!$D$130+Matching_Engine!$AF$48*Lookup_Lists!$D$131+Matching_Engine!$AG$48*Lookup_Lists!$D$132+Matching_Engine!$AH$48*Lookup_Lists!$D$133+Matching_Engine!$AI$48*Lookup_Lists!$D$134)/(Lookup_Lists!$D$129+Lookup_Lists!$D$130+Lookup_Lists!$D$131+Lookup_Lists!$D$132+Lookup_Lists!$D$133+Lookup_Lists!$D$134),0)</f>
      </c>
      <c r="AK48" s="47">
        <f>IF(KOL_Database!$AT$17="",0,MIN(100,MAX(0,KOL_Database!$AT$17)))</f>
      </c>
      <c r="AL48" s="47">
        <f>IF(KOL_Database!$AU$17="",0,KOL_Database!$AU$17)</f>
      </c>
      <c r="AM48" s="44">
        <f>IF(KOL_Database!$AV$17="","None",KOL_Database!$AV$17)</f>
      </c>
      <c r="AN48" s="48">
        <f>IF(Matching_Engine!$AM$48="High",Lookup_Lists!$D$137,IF(Matching_Engine!$AM$48="Medium",Lookup_Lists!$D$138,IF(Matching_Engine!$AM$48="Low",Lookup_Lists!$D$139,Lookup_Lists!$D$140)))</f>
      </c>
      <c r="AO48" s="47">
        <f>ROUND(MIN(100,MAX(0,(Matching_Engine!$AK$48*Lookup_Lists!$D$135+(100-Matching_Engine!$AL$48)*Lookup_Lists!$D$136)/(Lookup_Lists!$D$135+Lookup_Lists!$D$136)*Matching_Engine!$AN$48)),0)</f>
      </c>
      <c r="AP48" s="49">
        <f>ROUND((Matching_Engine!$N$48*Lookup_Lists!$D$104+Matching_Engine!$S$48*Lookup_Lists!$D$105+Matching_Engine!$X$48*Lookup_Lists!$D$106+Matching_Engine!$AC$48*Lookup_Lists!$D$107+Matching_Engine!$AJ$48*Lookup_Lists!$D$108+Matching_Engine!$AO$48*Lookup_Lists!$D$109)/MAX(1,(Lookup_Lists!$D$104+Lookup_Lists!$D$105+Lookup_Lists!$D$106+Lookup_Lists!$D$107+Lookup_Lists!$D$108+Lookup_Lists!$D$109)),0)</f>
      </c>
      <c r="AQ48" s="44">
        <f>IF(Matching_Engine!$AP$48&gt;=Lookup_Lists!$D$152,"Excellent Match",IF(Matching_Engine!$AP$48&gt;=Lookup_Lists!$D$153,"Strong Match",IF(Matching_Engine!$AP$48&gt;=Lookup_Lists!$D$154,"Good Match",IF(Matching_Engine!$AP$48&gt;=Lookup_Lists!$D$155,"Moderate Match","Low Match"))))</f>
      </c>
      <c r="AR48" s="47">
        <f>KOL_Database!$BE$17</f>
      </c>
      <c r="AS48" s="44">
        <f>IF(Matching_Engine!$AR$48&gt;=Lookup_Lists!$D$159,"High",IF(Matching_Engine!$AR$48&gt;=Lookup_Lists!$D$160,"Medium","Limited Data"))</f>
      </c>
      <c r="AT48" s="47">
        <f>ROUND((Matching_Engine!$N$48+Matching_Engine!$X$48+Matching_Engine!$AC$48)/3,0)</f>
      </c>
      <c r="AU48" s="47">
        <f>ROUND(((100-Matching_Engine!$AL$48)*Lookup_Lists!$D$162+IF(KOL_Database!$BD$17="",Lookup_Lists!$D$150,KOL_Database!$BD$17)*Lookup_Lists!$D$163+Matching_Engine!$AI$48*Lookup_Lists!$D$164+Matching_Engine!$AD$48*Lookup_Lists!$D$165)/(Lookup_Lists!$D$162+Lookup_Lists!$D$163+Lookup_Lists!$D$164+Lookup_Lists!$D$165),0)</f>
      </c>
      <c r="AV48" s="44">
        <f>IF(Matching_Engine!$AW$48="","PASS","EXCLUDED")</f>
      </c>
      <c r="AW48" s="44">
        <f>IF(ISERROR(SEARCH(KOL_Database!$D$17,Brand_Profile!$E$32)),"Platform not in Preferred Platform",IF(AND(Brand_Profile!$E$36&gt;0,KOL_Database!$J$17&lt;Brand_Profile!$E$36),"Followers below Preferred Follower Range",IF(AND(Brand_Profile!$E$37&gt;0,KOL_Database!$J$17&gt;Brand_Profile!$E$37),"Followers above Preferred Follower Range",IF(AND(Brand_Profile!$E$38&gt;0,IF(KOL_Database!$K$17="",0,KOL_Database!$K$17)&lt;Brand_Profile!$E$38),"Engagement Rate below Minimum Engagement Rate",IF(ISERROR(SEARCH(KOL_Database!$G$17,Brand_Profile!$E$35)),"Tier not in Preferred Tier",IF(AND(Brand_Profile!$E$43&gt;0,Matching_Engine!$AE$48&lt;Brand_Profile!$E$43),"Audience Quality below Minimum Audience Quality",IF(AND(Brand_Profile!$E$44&gt;0,Matching_Engine!$AK$48&lt;Brand_Profile!$E$44),"Brand Safety below Minimum Brand Safety",IF(AND(Brand_Profile!$E$47="Yes",KOL_Database!$AD$17&lt;&gt;Brand_Profile!$E$19),"Audience Country does not match Target Country",IF(AND(Brand_Profile!$E$46="Yes",KOL_Database!$E$17&lt;&gt;Brand_Profile!$E$33),"Category is not the Preferred Category",IF(AND(Brand_Profile!$E$48&gt;0,Matching_Engine!$AL$48&gt;Brand_Profile!$E$48),"Competitor Saturation above Max Competitor Saturation",IF(AND(Brand_Profile!$E$50="Yes",KOL_Database!$AW$17="Yes"),"Already Selected",IF(AND(Brand_Profile!$E$51="Yes",KOL_Database!$AX$17="Yes"),"Already in Cart",IF(AND(Brand_Profile!$E$52="Yes",KOL_Database!$AY$17="Yes"),"Existing Partner",IF(AND(Brand_Profile!$E$53="Yes",KOL_Database!$AZ$17="Yes"),"Excluded Creator",IF(AND(Brand_Profile!$E$49&gt;0,Matching_Engine!$AP$48&lt;Brand_Profile!$E$49),"Brand Match below Minimum Brand Match","")))))))))))))))</f>
      </c>
      <c r="AX48" s="44">
        <f>IF(Matching_Engine!$AV$48="EXCLUDED","Excluded",IF(Matching_Engine!$AP$48&gt;=Lookup_Lists!$D$156,"Highly Recommended",IF(Matching_Engine!$AP$48&gt;=Lookup_Lists!$D$157,"Recommended",IF(Matching_Engine!$AP$48&gt;=Lookup_Lists!$D$158,"Consider","Low Priority"))))</f>
      </c>
      <c r="AY48" s="47">
        <f>IF(Matching_Engine!$AV$48="PASS",Matching_Engine!$AP$48,"")</f>
      </c>
      <c r="AZ48" s="44">
        <f>Matching_Engine!$A$48&amp;"|"&amp;Matching_Engine!$C$48</f>
      </c>
      <c r="BA48" s="44">
        <f>IFERROR(INDEX(Lookup_Lists!$B$51:$B$92,MATCH(Brand_Profile!$E$12,Lookup_Lists!$A$51:$A$92,0)),"")</f>
      </c>
      <c r="BB48" s="44">
        <f>IFERROR(INDEX(Lookup_Lists!$B$51:$B$92,MATCH(KOL_Database!$F$17,Lookup_Lists!$A$51:$A$92,0)),"")</f>
      </c>
      <c r="BC48" s="47">
        <f>IFERROR(INDEX(Lookup_Lists!$B$185:$O$198,MATCH(Matching_Engine!$BA$48,Lookup_Lists!$A$185:$A$198,0),MATCH(KOL_Database!$E$17,Lookup_Lists!$B$184:$O$184,0)),Lookup_Lists!$D$151)</f>
      </c>
      <c r="BD48" s="47">
        <f>IFERROR(INDEX(Lookup_Lists!$B$185:$O$198,MATCH(Brand_Profile!$E$33,Lookup_Lists!$A$185:$A$198,0),MATCH(KOL_Database!$E$17,Lookup_Lists!$B$184:$O$184,0)),Lookup_Lists!$D$151)</f>
      </c>
      <c r="BE48" s="44">
        <f>IFERROR(INDEX(Lookup_Lists!$B$51:$B$92,MATCH(Brand_Profile!$E$34,Lookup_Lists!$A$51:$A$92,0)),"")</f>
      </c>
      <c r="BF48" s="44">
        <f>KOL_Database!$AI$17&amp;", "&amp;KOL_Database!$AG$17&amp;", "&amp;KOL_Database!$F$17&amp;", "&amp;KOL_Database!$E$17</f>
      </c>
      <c r="BG48" s="44">
        <f>KOL_Database!$AI$17&amp;", "&amp;KOL_Database!$AG$17</f>
      </c>
    </row>
    <row r="49" spans="1:59" x14ac:dyDescent="0.25">
      <c r="A49" s="43" t="s">
        <v>76</v>
      </c>
      <c r="B49" s="44">
        <f>Brand_Profile!$E$9</f>
      </c>
      <c r="C49" s="44">
        <f>KOL_Database!$A$18</f>
      </c>
      <c r="D49" s="44">
        <f>KOL_Database!$B$18</f>
      </c>
      <c r="E49" s="44">
        <f>KOL_Database!$C$18</f>
      </c>
      <c r="F49" s="44">
        <f>KOL_Database!$D$18</f>
      </c>
      <c r="G49" s="44">
        <f>KOL_Database!$E$18</f>
      </c>
      <c r="H49" s="44">
        <f>KOL_Database!$G$18</f>
      </c>
      <c r="I49" s="45">
        <f>KOL_Database!$J$18</f>
      </c>
      <c r="J49" s="46">
        <f>KOL_Database!$K$18</f>
      </c>
      <c r="K49" s="47">
        <f>IFERROR(INDEX(Lookup_Lists!$B$170:$O$181,MATCH(Brand_Profile!$E$10,Lookup_Lists!$A$170:$A$181,0),MATCH(KOL_Database!$E$18,Lookup_Lists!$B$169:$O$169,0)),Lookup_Lists!$D$151)</f>
      </c>
      <c r="L49" s="47">
        <f>IF(KOL_Database!$F$18="",Matching_Engine!$BC$49,IF(Brand_Profile!$E$12=KOL_Database!$F$18,100,IF(Matching_Engine!$BA$49=KOL_Database!$E$18,80,IF(Matching_Engine!$BC$49&gt;=80,60,IF(Matching_Engine!$BC$49&gt;=60,40,Lookup_Lists!$D$151)))))</f>
      </c>
      <c r="M49" s="47">
        <f>ROUND((IF(Brand_Profile!$E$62=0,Lookup_Lists!$D$150,ROUND((IF(Brand_Profile!$E$57="",0,IF(ISNUMBER(SEARCH(Brand_Profile!$E$57,Matching_Engine!$BF$49)),1,0))+IF(Brand_Profile!$E$58="",0,IF(ISNUMBER(SEARCH(Brand_Profile!$E$58,Matching_Engine!$BF$49)),1,0))+IF(Brand_Profile!$E$59="",0,IF(ISNUMBER(SEARCH(Brand_Profile!$E$59,Matching_Engine!$BF$49)),1,0))+IF(Brand_Profile!$E$60="",0,IF(ISNUMBER(SEARCH(Brand_Profile!$E$60,Matching_Engine!$BF$49)),1,0))+IF(Brand_Profile!$E$61="",0,IF(ISNUMBER(SEARCH(Brand_Profile!$E$61,Matching_Engine!$BF$49)),1,0)))/Brand_Profile!$E$62*100,0))+IF(Brand_Profile!$E$74=0,Lookup_Lists!$D$150,ROUND((IF(Brand_Profile!$E$69="",0,IF(ISNUMBER(SEARCH(Brand_Profile!$E$69,Matching_Engine!$BF$49)),1,0))+IF(Brand_Profile!$E$70="",0,IF(ISNUMBER(SEARCH(Brand_Profile!$E$70,Matching_Engine!$BF$49)),1,0))+IF(Brand_Profile!$E$71="",0,IF(ISNUMBER(SEARCH(Brand_Profile!$E$71,Matching_Engine!$BF$49)),1,0))+IF(Brand_Profile!$E$72="",0,IF(ISNUMBER(SEARCH(Brand_Profile!$E$72,Matching_Engine!$BF$49)),1,0))+IF(Brand_Profile!$E$73="",0,IF(ISNUMBER(SEARCH(Brand_Profile!$E$73,Matching_Engine!$BF$49)),1,0)))/Brand_Profile!$E$74*100,0)))/2,0)</f>
      </c>
      <c r="N49" s="47">
        <f>ROUND((Matching_Engine!$K$49*Lookup_Lists!$D$110+Matching_Engine!$L$49*Lookup_Lists!$D$111+Matching_Engine!$M$49*Lookup_Lists!$D$112)/(Lookup_Lists!$D$110+Lookup_Lists!$D$111+Lookup_Lists!$D$112),0)</f>
      </c>
      <c r="O49" s="47">
        <f>IF(Brand_Profile!$E$16="",Lookup_Lists!$D$150,MIN(100,ROUND((IFERROR(INDEX(KOL_Database!$W$18:KOL_Database!$AA$18,1,MATCH(Brand_Profile!$E$16,Lookup_Lists!$F$6:$F$10,0)),0)+0.5*IFERROR(INDEX(KOL_Database!$W$18:KOL_Database!$AA$18,1,MATCH(Brand_Profile!$E$17,Lookup_Lists!$F$6:$F$10,0)),0))/Lookup_Lists!$D$142*100,0)))</f>
      </c>
      <c r="P49" s="47">
        <f>IF(OR(Brand_Profile!$E$18="",Brand_Profile!$E$18="Any"),100,IF(Brand_Profile!$E$18="Female",MIN(100,ROUND(KOL_Database!$AB$18/Lookup_Lists!$D$143*100,0)),IF(Brand_Profile!$E$18="Male",MIN(100,ROUND(KOL_Database!$AC$18/Lookup_Lists!$D$143*100,0)),MAX(0,ROUND(100-ABS(KOL_Database!$AB$18-50)*2,0)))))</f>
      </c>
      <c r="Q49" s="47">
        <f>ROUND((IF(Brand_Profile!$E$19="",100,IF(KOL_Database!$AD$18=Brand_Profile!$E$19,100,Lookup_Lists!$D$151))*Lookup_Lists!$D$118+IF(OR(Brand_Profile!$E$20="",Brand_Profile!$E$20="Nasional"),100,IF(KOL_Database!$AE$18="",Lookup_Lists!$D$150,IF(KOL_Database!$AE$18=Brand_Profile!$E$20,100,IF(KOL_Database!$AD$18=Brand_Profile!$E$19,40,Lookup_Lists!$D$151))))*Lookup_Lists!$D$119+IF(OR(Brand_Profile!$E$21="",Brand_Profile!$E$21="Nasional"),100,IF(KOL_Database!$AF$18="",Lookup_Lists!$D$150,IF(KOL_Database!$AF$18=Brand_Profile!$E$21,100,IF(KOL_Database!$AE$18=Brand_Profile!$E$20,60,Lookup_Lists!$D$151))))*Lookup_Lists!$D$120)/(Lookup_Lists!$D$118+Lookup_Lists!$D$119+Lookup_Lists!$D$120),0)</f>
      </c>
      <c r="R49" s="47">
        <f>IF(Brand_Profile!$E$68=0,Lookup_Lists!$D$150,ROUND((IF(Brand_Profile!$E$63="",0,IF(ISNUMBER(SEARCH(Brand_Profile!$E$63,KOL_Database!$AG$18)),1,0))+IF(Brand_Profile!$E$64="",0,IF(ISNUMBER(SEARCH(Brand_Profile!$E$64,KOL_Database!$AG$18)),1,0))+IF(Brand_Profile!$E$65="",0,IF(ISNUMBER(SEARCH(Brand_Profile!$E$65,KOL_Database!$AG$18)),1,0))+IF(Brand_Profile!$E$66="",0,IF(ISNUMBER(SEARCH(Brand_Profile!$E$66,KOL_Database!$AG$18)),1,0))+IF(Brand_Profile!$E$67="",0,IF(ISNUMBER(SEARCH(Brand_Profile!$E$67,KOL_Database!$AG$18)),1,0)))/Brand_Profile!$E$68*100,0))</f>
      </c>
      <c r="S49" s="47">
        <f>ROUND((Matching_Engine!$O$49*Brand_Profile!$E$96+Matching_Engine!$P$49*Brand_Profile!$E$97+Matching_Engine!$Q$49*Brand_Profile!$E$98+Matching_Engine!$R$49*Brand_Profile!$E$99)/MAX(1,Brand_Profile!$E$96+Brand_Profile!$E$97+Brand_Profile!$E$98+Brand_Profile!$E$99),0)</f>
      </c>
      <c r="T49" s="47">
        <f>IF(Brand_Profile!$E$33="",Lookup_Lists!$D$150,Matching_Engine!$BD$49)</f>
      </c>
      <c r="U49" s="47">
        <f>IF(Brand_Profile!$E$34="",Lookup_Lists!$D$150,IF(Brand_Profile!$E$34=KOL_Database!$F$18,100,IF(Matching_Engine!$BE$49=KOL_Database!$E$18,75,IF(Matching_Engine!$BD$49&gt;=80,Lookup_Lists!$D$150,IF(Matching_Engine!$BD$49&gt;=60,35,Lookup_Lists!$D$151)))))</f>
      </c>
      <c r="V49" s="47">
        <f>IF(Brand_Profile!$E$86=0,Lookup_Lists!$D$150,ROUND((IF(Brand_Profile!$E$81="",0,IF(ISNUMBER(SEARCH(Brand_Profile!$E$81,Matching_Engine!$BG$49)),1,0))+IF(Brand_Profile!$E$82="",0,IF(ISNUMBER(SEARCH(Brand_Profile!$E$82,Matching_Engine!$BG$49)),1,0))+IF(Brand_Profile!$E$83="",0,IF(ISNUMBER(SEARCH(Brand_Profile!$E$83,Matching_Engine!$BG$49)),1,0))+IF(Brand_Profile!$E$84="",0,IF(ISNUMBER(SEARCH(Brand_Profile!$E$84,Matching_Engine!$BG$49)),1,0))+IF(Brand_Profile!$E$85="",0,IF(ISNUMBER(SEARCH(Brand_Profile!$E$85,Matching_Engine!$BG$49)),1,0)))/Brand_Profile!$E$86*100,0))</f>
      </c>
      <c r="W49" s="47">
        <f>IF(Brand_Profile!$E$39="",Lookup_Lists!$D$150,IFERROR(INDEX(Lookup_Lists!$B$237:$K$246,MATCH(Brand_Profile!$E$39,Lookup_Lists!$A$237:$A$246,0),MATCH(KOL_Database!$AJ$18,Lookup_Lists!$B$236:$K$236,0)),45))</f>
      </c>
      <c r="X49" s="47">
        <f>ROUND((Matching_Engine!$T$49*Lookup_Lists!$D$121+Matching_Engine!$U$49*Lookup_Lists!$D$122+Matching_Engine!$V$49*Lookup_Lists!$D$123+Matching_Engine!$W$49*Lookup_Lists!$D$124)/(Lookup_Lists!$D$121+Lookup_Lists!$D$122+Lookup_Lists!$D$123+Lookup_Lists!$D$124),0)</f>
      </c>
      <c r="Y49" s="47">
        <f>MIN(100,MAX(IFERROR(INDEX(Lookup_Lists!$B$202:$M$211,MATCH(Brand_Profile!$E$25,Lookup_Lists!$A$202:$A$211,0),MATCH(KOL_Database!$AK$18,Lookup_Lists!$B$201:$M$201,0)),40),IF(KOL_Database!$AK$18=Brand_Profile!$E$41,95,0)))</f>
      </c>
      <c r="Z49" s="47">
        <f>IFERROR(INDEX(Lookup_Lists!$B$215:$K$222,MATCH(Brand_Profile!$E$27,Lookup_Lists!$A$215:$A$222,0),MATCH(KOL_Database!$AJ$18,Lookup_Lists!$B$214:$K$214,0)),45)</f>
      </c>
      <c r="AA49" s="47">
        <f>ROUND((IF(Brand_Profile!$E$80=0,Lookup_Lists!$D$150,ROUND((IF(Brand_Profile!$E$75="",0,IF(ISNUMBER(SEARCH(Brand_Profile!$E$75,KOL_Database!$AL$18)),1,0))+IF(Brand_Profile!$E$76="",0,IF(ISNUMBER(SEARCH(Brand_Profile!$E$76,KOL_Database!$AL$18)),1,0))+IF(Brand_Profile!$E$77="",0,IF(ISNUMBER(SEARCH(Brand_Profile!$E$77,KOL_Database!$AL$18)),1,0))+IF(Brand_Profile!$E$78="",0,IF(ISNUMBER(SEARCH(Brand_Profile!$E$78,KOL_Database!$AL$18)),1,0))+IF(Brand_Profile!$E$79="",0,IF(ISNUMBER(SEARCH(Brand_Profile!$E$79,KOL_Database!$AL$18)),1,0)))/Brand_Profile!$E$80*100,0))+IF(Brand_Profile!$E$92=0,Lookup_Lists!$D$150,ROUND((IF(Brand_Profile!$E$87="",0,IF(ISNUMBER(SEARCH(Brand_Profile!$E$87,KOL_Database!$AL$18)),1,0))+IF(Brand_Profile!$E$88="",0,IF(ISNUMBER(SEARCH(Brand_Profile!$E$88,KOL_Database!$AL$18)),1,0))+IF(Brand_Profile!$E$89="",0,IF(ISNUMBER(SEARCH(Brand_Profile!$E$89,KOL_Database!$AL$18)),1,0))+IF(Brand_Profile!$E$90="",0,IF(ISNUMBER(SEARCH(Brand_Profile!$E$90,KOL_Database!$AL$18)),1,0))+IF(Brand_Profile!$E$91="",0,IF(ISNUMBER(SEARCH(Brand_Profile!$E$91,KOL_Database!$AL$18)),1,0)))/Brand_Profile!$E$92*100,0)))/2,0)</f>
      </c>
      <c r="AB49" s="47">
        <f>IFERROR(INDEX(Lookup_Lists!$B$226:$K$233,MATCH(Brand_Profile!$E$30,Lookup_Lists!$A$226:$A$233,0),MATCH(KOL_Database!$AJ$18,Lookup_Lists!$B$225:$K$225,0)),45)</f>
      </c>
      <c r="AC49" s="47">
        <f>ROUND((Matching_Engine!$Y$49*Lookup_Lists!$D$125+Matching_Engine!$Z$49*Lookup_Lists!$D$126+Matching_Engine!$AA$49*Lookup_Lists!$D$127+Matching_Engine!$AB$49*Lookup_Lists!$D$128)/(Lookup_Lists!$D$125+Lookup_Lists!$D$126+Lookup_Lists!$D$127+Lookup_Lists!$D$128),0)</f>
      </c>
      <c r="AD49" s="47">
        <f>IF(KOL_Database!$K$18="",0,MIN(100,ROUND(KOL_Database!$K$18/Lookup_Lists!$D$141*100,0)))</f>
      </c>
      <c r="AE49" s="47">
        <f>IF(KOL_Database!$R$18="",0,MIN(100,MAX(0,KOL_Database!$R$18)))</f>
      </c>
      <c r="AF49" s="47">
        <f>IF(KOL_Database!$P$18="",0,MIN(100,MAX(0,KOL_Database!$P$18)))</f>
      </c>
      <c r="AG49" s="47">
        <f>IF(KOL_Database!$Q$18="",0,MIN(100,MAX(0,KOL_Database!$Q$18)))</f>
      </c>
      <c r="AH49" s="47">
        <f>IF(OR(KOL_Database!$J$18="",KOL_Database!$J$18=0,KOL_Database!$L$18=""),0,MIN(100,ROUND(KOL_Database!$L$18/KOL_Database!$J$18/Lookup_Lists!$D$144*100,0)))</f>
      </c>
      <c r="AI49" s="47">
        <f>IF(KOL_Database!$N$18="",0,MIN(100,MAX(0,ROUND((KOL_Database!$N$18+2)/(Lookup_Lists!$D$145+2)*100,0))))</f>
      </c>
      <c r="AJ49" s="47">
        <f>ROUND((Matching_Engine!$AD$49*Lookup_Lists!$D$129+Matching_Engine!$AE$49*Lookup_Lists!$D$130+Matching_Engine!$AF$49*Lookup_Lists!$D$131+Matching_Engine!$AG$49*Lookup_Lists!$D$132+Matching_Engine!$AH$49*Lookup_Lists!$D$133+Matching_Engine!$AI$49*Lookup_Lists!$D$134)/(Lookup_Lists!$D$129+Lookup_Lists!$D$130+Lookup_Lists!$D$131+Lookup_Lists!$D$132+Lookup_Lists!$D$133+Lookup_Lists!$D$134),0)</f>
      </c>
      <c r="AK49" s="47">
        <f>IF(KOL_Database!$AT$18="",0,MIN(100,MAX(0,KOL_Database!$AT$18)))</f>
      </c>
      <c r="AL49" s="47">
        <f>IF(KOL_Database!$AU$18="",0,KOL_Database!$AU$18)</f>
      </c>
      <c r="AM49" s="44">
        <f>IF(KOL_Database!$AV$18="","None",KOL_Database!$AV$18)</f>
      </c>
      <c r="AN49" s="48">
        <f>IF(Matching_Engine!$AM$49="High",Lookup_Lists!$D$137,IF(Matching_Engine!$AM$49="Medium",Lookup_Lists!$D$138,IF(Matching_Engine!$AM$49="Low",Lookup_Lists!$D$139,Lookup_Lists!$D$140)))</f>
      </c>
      <c r="AO49" s="47">
        <f>ROUND(MIN(100,MAX(0,(Matching_Engine!$AK$49*Lookup_Lists!$D$135+(100-Matching_Engine!$AL$49)*Lookup_Lists!$D$136)/(Lookup_Lists!$D$135+Lookup_Lists!$D$136)*Matching_Engine!$AN$49)),0)</f>
      </c>
      <c r="AP49" s="49">
        <f>ROUND((Matching_Engine!$N$49*Lookup_Lists!$D$104+Matching_Engine!$S$49*Lookup_Lists!$D$105+Matching_Engine!$X$49*Lookup_Lists!$D$106+Matching_Engine!$AC$49*Lookup_Lists!$D$107+Matching_Engine!$AJ$49*Lookup_Lists!$D$108+Matching_Engine!$AO$49*Lookup_Lists!$D$109)/MAX(1,(Lookup_Lists!$D$104+Lookup_Lists!$D$105+Lookup_Lists!$D$106+Lookup_Lists!$D$107+Lookup_Lists!$D$108+Lookup_Lists!$D$109)),0)</f>
      </c>
      <c r="AQ49" s="44">
        <f>IF(Matching_Engine!$AP$49&gt;=Lookup_Lists!$D$152,"Excellent Match",IF(Matching_Engine!$AP$49&gt;=Lookup_Lists!$D$153,"Strong Match",IF(Matching_Engine!$AP$49&gt;=Lookup_Lists!$D$154,"Good Match",IF(Matching_Engine!$AP$49&gt;=Lookup_Lists!$D$155,"Moderate Match","Low Match"))))</f>
      </c>
      <c r="AR49" s="47">
        <f>KOL_Database!$BE$18</f>
      </c>
      <c r="AS49" s="44">
        <f>IF(Matching_Engine!$AR$49&gt;=Lookup_Lists!$D$159,"High",IF(Matching_Engine!$AR$49&gt;=Lookup_Lists!$D$160,"Medium","Limited Data"))</f>
      </c>
      <c r="AT49" s="47">
        <f>ROUND((Matching_Engine!$N$49+Matching_Engine!$X$49+Matching_Engine!$AC$49)/3,0)</f>
      </c>
      <c r="AU49" s="47">
        <f>ROUND(((100-Matching_Engine!$AL$49)*Lookup_Lists!$D$162+IF(KOL_Database!$BD$18="",Lookup_Lists!$D$150,KOL_Database!$BD$18)*Lookup_Lists!$D$163+Matching_Engine!$AI$49*Lookup_Lists!$D$164+Matching_Engine!$AD$49*Lookup_Lists!$D$165)/(Lookup_Lists!$D$162+Lookup_Lists!$D$163+Lookup_Lists!$D$164+Lookup_Lists!$D$165),0)</f>
      </c>
      <c r="AV49" s="44">
        <f>IF(Matching_Engine!$AW$49="","PASS","EXCLUDED")</f>
      </c>
      <c r="AW49" s="44">
        <f>IF(ISERROR(SEARCH(KOL_Database!$D$18,Brand_Profile!$E$32)),"Platform not in Preferred Platform",IF(AND(Brand_Profile!$E$36&gt;0,KOL_Database!$J$18&lt;Brand_Profile!$E$36),"Followers below Preferred Follower Range",IF(AND(Brand_Profile!$E$37&gt;0,KOL_Database!$J$18&gt;Brand_Profile!$E$37),"Followers above Preferred Follower Range",IF(AND(Brand_Profile!$E$38&gt;0,IF(KOL_Database!$K$18="",0,KOL_Database!$K$18)&lt;Brand_Profile!$E$38),"Engagement Rate below Minimum Engagement Rate",IF(ISERROR(SEARCH(KOL_Database!$G$18,Brand_Profile!$E$35)),"Tier not in Preferred Tier",IF(AND(Brand_Profile!$E$43&gt;0,Matching_Engine!$AE$49&lt;Brand_Profile!$E$43),"Audience Quality below Minimum Audience Quality",IF(AND(Brand_Profile!$E$44&gt;0,Matching_Engine!$AK$49&lt;Brand_Profile!$E$44),"Brand Safety below Minimum Brand Safety",IF(AND(Brand_Profile!$E$47="Yes",KOL_Database!$AD$18&lt;&gt;Brand_Profile!$E$19),"Audience Country does not match Target Country",IF(AND(Brand_Profile!$E$46="Yes",KOL_Database!$E$18&lt;&gt;Brand_Profile!$E$33),"Category is not the Preferred Category",IF(AND(Brand_Profile!$E$48&gt;0,Matching_Engine!$AL$49&gt;Brand_Profile!$E$48),"Competitor Saturation above Max Competitor Saturation",IF(AND(Brand_Profile!$E$50="Yes",KOL_Database!$AW$18="Yes"),"Already Selected",IF(AND(Brand_Profile!$E$51="Yes",KOL_Database!$AX$18="Yes"),"Already in Cart",IF(AND(Brand_Profile!$E$52="Yes",KOL_Database!$AY$18="Yes"),"Existing Partner",IF(AND(Brand_Profile!$E$53="Yes",KOL_Database!$AZ$18="Yes"),"Excluded Creator",IF(AND(Brand_Profile!$E$49&gt;0,Matching_Engine!$AP$49&lt;Brand_Profile!$E$49),"Brand Match below Minimum Brand Match","")))))))))))))))</f>
      </c>
      <c r="AX49" s="44">
        <f>IF(Matching_Engine!$AV$49="EXCLUDED","Excluded",IF(Matching_Engine!$AP$49&gt;=Lookup_Lists!$D$156,"Highly Recommended",IF(Matching_Engine!$AP$49&gt;=Lookup_Lists!$D$157,"Recommended",IF(Matching_Engine!$AP$49&gt;=Lookup_Lists!$D$158,"Consider","Low Priority"))))</f>
      </c>
      <c r="AY49" s="47">
        <f>IF(Matching_Engine!$AV$49="PASS",Matching_Engine!$AP$49,"")</f>
      </c>
      <c r="AZ49" s="44">
        <f>Matching_Engine!$A$49&amp;"|"&amp;Matching_Engine!$C$49</f>
      </c>
      <c r="BA49" s="44">
        <f>IFERROR(INDEX(Lookup_Lists!$B$51:$B$92,MATCH(Brand_Profile!$E$12,Lookup_Lists!$A$51:$A$92,0)),"")</f>
      </c>
      <c r="BB49" s="44">
        <f>IFERROR(INDEX(Lookup_Lists!$B$51:$B$92,MATCH(KOL_Database!$F$18,Lookup_Lists!$A$51:$A$92,0)),"")</f>
      </c>
      <c r="BC49" s="47">
        <f>IFERROR(INDEX(Lookup_Lists!$B$185:$O$198,MATCH(Matching_Engine!$BA$49,Lookup_Lists!$A$185:$A$198,0),MATCH(KOL_Database!$E$18,Lookup_Lists!$B$184:$O$184,0)),Lookup_Lists!$D$151)</f>
      </c>
      <c r="BD49" s="47">
        <f>IFERROR(INDEX(Lookup_Lists!$B$185:$O$198,MATCH(Brand_Profile!$E$33,Lookup_Lists!$A$185:$A$198,0),MATCH(KOL_Database!$E$18,Lookup_Lists!$B$184:$O$184,0)),Lookup_Lists!$D$151)</f>
      </c>
      <c r="BE49" s="44">
        <f>IFERROR(INDEX(Lookup_Lists!$B$51:$B$92,MATCH(Brand_Profile!$E$34,Lookup_Lists!$A$51:$A$92,0)),"")</f>
      </c>
      <c r="BF49" s="44">
        <f>KOL_Database!$AI$18&amp;", "&amp;KOL_Database!$AG$18&amp;", "&amp;KOL_Database!$F$18&amp;", "&amp;KOL_Database!$E$18</f>
      </c>
      <c r="BG49" s="44">
        <f>KOL_Database!$AI$18&amp;", "&amp;KOL_Database!$AG$18</f>
      </c>
    </row>
    <row r="50" spans="1:59" x14ac:dyDescent="0.25">
      <c r="A50" s="43" t="s">
        <v>76</v>
      </c>
      <c r="B50" s="44">
        <f>Brand_Profile!$E$9</f>
      </c>
      <c r="C50" s="44">
        <f>KOL_Database!$A$19</f>
      </c>
      <c r="D50" s="44">
        <f>KOL_Database!$B$19</f>
      </c>
      <c r="E50" s="44">
        <f>KOL_Database!$C$19</f>
      </c>
      <c r="F50" s="44">
        <f>KOL_Database!$D$19</f>
      </c>
      <c r="G50" s="44">
        <f>KOL_Database!$E$19</f>
      </c>
      <c r="H50" s="44">
        <f>KOL_Database!$G$19</f>
      </c>
      <c r="I50" s="45">
        <f>KOL_Database!$J$19</f>
      </c>
      <c r="J50" s="46">
        <f>KOL_Database!$K$19</f>
      </c>
      <c r="K50" s="47">
        <f>IFERROR(INDEX(Lookup_Lists!$B$170:$O$181,MATCH(Brand_Profile!$E$10,Lookup_Lists!$A$170:$A$181,0),MATCH(KOL_Database!$E$19,Lookup_Lists!$B$169:$O$169,0)),Lookup_Lists!$D$151)</f>
      </c>
      <c r="L50" s="47">
        <f>IF(KOL_Database!$F$19="",Matching_Engine!$BC$50,IF(Brand_Profile!$E$12=KOL_Database!$F$19,100,IF(Matching_Engine!$BA$50=KOL_Database!$E$19,80,IF(Matching_Engine!$BC$50&gt;=80,60,IF(Matching_Engine!$BC$50&gt;=60,40,Lookup_Lists!$D$151)))))</f>
      </c>
      <c r="M50" s="47">
        <f>ROUND((IF(Brand_Profile!$E$62=0,Lookup_Lists!$D$150,ROUND((IF(Brand_Profile!$E$57="",0,IF(ISNUMBER(SEARCH(Brand_Profile!$E$57,Matching_Engine!$BF$50)),1,0))+IF(Brand_Profile!$E$58="",0,IF(ISNUMBER(SEARCH(Brand_Profile!$E$58,Matching_Engine!$BF$50)),1,0))+IF(Brand_Profile!$E$59="",0,IF(ISNUMBER(SEARCH(Brand_Profile!$E$59,Matching_Engine!$BF$50)),1,0))+IF(Brand_Profile!$E$60="",0,IF(ISNUMBER(SEARCH(Brand_Profile!$E$60,Matching_Engine!$BF$50)),1,0))+IF(Brand_Profile!$E$61="",0,IF(ISNUMBER(SEARCH(Brand_Profile!$E$61,Matching_Engine!$BF$50)),1,0)))/Brand_Profile!$E$62*100,0))+IF(Brand_Profile!$E$74=0,Lookup_Lists!$D$150,ROUND((IF(Brand_Profile!$E$69="",0,IF(ISNUMBER(SEARCH(Brand_Profile!$E$69,Matching_Engine!$BF$50)),1,0))+IF(Brand_Profile!$E$70="",0,IF(ISNUMBER(SEARCH(Brand_Profile!$E$70,Matching_Engine!$BF$50)),1,0))+IF(Brand_Profile!$E$71="",0,IF(ISNUMBER(SEARCH(Brand_Profile!$E$71,Matching_Engine!$BF$50)),1,0))+IF(Brand_Profile!$E$72="",0,IF(ISNUMBER(SEARCH(Brand_Profile!$E$72,Matching_Engine!$BF$50)),1,0))+IF(Brand_Profile!$E$73="",0,IF(ISNUMBER(SEARCH(Brand_Profile!$E$73,Matching_Engine!$BF$50)),1,0)))/Brand_Profile!$E$74*100,0)))/2,0)</f>
      </c>
      <c r="N50" s="47">
        <f>ROUND((Matching_Engine!$K$50*Lookup_Lists!$D$110+Matching_Engine!$L$50*Lookup_Lists!$D$111+Matching_Engine!$M$50*Lookup_Lists!$D$112)/(Lookup_Lists!$D$110+Lookup_Lists!$D$111+Lookup_Lists!$D$112),0)</f>
      </c>
      <c r="O50" s="47">
        <f>IF(Brand_Profile!$E$16="",Lookup_Lists!$D$150,MIN(100,ROUND((IFERROR(INDEX(KOL_Database!$W$19:KOL_Database!$AA$19,1,MATCH(Brand_Profile!$E$16,Lookup_Lists!$F$6:$F$10,0)),0)+0.5*IFERROR(INDEX(KOL_Database!$W$19:KOL_Database!$AA$19,1,MATCH(Brand_Profile!$E$17,Lookup_Lists!$F$6:$F$10,0)),0))/Lookup_Lists!$D$142*100,0)))</f>
      </c>
      <c r="P50" s="47">
        <f>IF(OR(Brand_Profile!$E$18="",Brand_Profile!$E$18="Any"),100,IF(Brand_Profile!$E$18="Female",MIN(100,ROUND(KOL_Database!$AB$19/Lookup_Lists!$D$143*100,0)),IF(Brand_Profile!$E$18="Male",MIN(100,ROUND(KOL_Database!$AC$19/Lookup_Lists!$D$143*100,0)),MAX(0,ROUND(100-ABS(KOL_Database!$AB$19-50)*2,0)))))</f>
      </c>
      <c r="Q50" s="47">
        <f>ROUND((IF(Brand_Profile!$E$19="",100,IF(KOL_Database!$AD$19=Brand_Profile!$E$19,100,Lookup_Lists!$D$151))*Lookup_Lists!$D$118+IF(OR(Brand_Profile!$E$20="",Brand_Profile!$E$20="Nasional"),100,IF(KOL_Database!$AE$19="",Lookup_Lists!$D$150,IF(KOL_Database!$AE$19=Brand_Profile!$E$20,100,IF(KOL_Database!$AD$19=Brand_Profile!$E$19,40,Lookup_Lists!$D$151))))*Lookup_Lists!$D$119+IF(OR(Brand_Profile!$E$21="",Brand_Profile!$E$21="Nasional"),100,IF(KOL_Database!$AF$19="",Lookup_Lists!$D$150,IF(KOL_Database!$AF$19=Brand_Profile!$E$21,100,IF(KOL_Database!$AE$19=Brand_Profile!$E$20,60,Lookup_Lists!$D$151))))*Lookup_Lists!$D$120)/(Lookup_Lists!$D$118+Lookup_Lists!$D$119+Lookup_Lists!$D$120),0)</f>
      </c>
      <c r="R50" s="47">
        <f>IF(Brand_Profile!$E$68=0,Lookup_Lists!$D$150,ROUND((IF(Brand_Profile!$E$63="",0,IF(ISNUMBER(SEARCH(Brand_Profile!$E$63,KOL_Database!$AG$19)),1,0))+IF(Brand_Profile!$E$64="",0,IF(ISNUMBER(SEARCH(Brand_Profile!$E$64,KOL_Database!$AG$19)),1,0))+IF(Brand_Profile!$E$65="",0,IF(ISNUMBER(SEARCH(Brand_Profile!$E$65,KOL_Database!$AG$19)),1,0))+IF(Brand_Profile!$E$66="",0,IF(ISNUMBER(SEARCH(Brand_Profile!$E$66,KOL_Database!$AG$19)),1,0))+IF(Brand_Profile!$E$67="",0,IF(ISNUMBER(SEARCH(Brand_Profile!$E$67,KOL_Database!$AG$19)),1,0)))/Brand_Profile!$E$68*100,0))</f>
      </c>
      <c r="S50" s="47">
        <f>ROUND((Matching_Engine!$O$50*Brand_Profile!$E$96+Matching_Engine!$P$50*Brand_Profile!$E$97+Matching_Engine!$Q$50*Brand_Profile!$E$98+Matching_Engine!$R$50*Brand_Profile!$E$99)/MAX(1,Brand_Profile!$E$96+Brand_Profile!$E$97+Brand_Profile!$E$98+Brand_Profile!$E$99),0)</f>
      </c>
      <c r="T50" s="47">
        <f>IF(Brand_Profile!$E$33="",Lookup_Lists!$D$150,Matching_Engine!$BD$50)</f>
      </c>
      <c r="U50" s="47">
        <f>IF(Brand_Profile!$E$34="",Lookup_Lists!$D$150,IF(Brand_Profile!$E$34=KOL_Database!$F$19,100,IF(Matching_Engine!$BE$50=KOL_Database!$E$19,75,IF(Matching_Engine!$BD$50&gt;=80,Lookup_Lists!$D$150,IF(Matching_Engine!$BD$50&gt;=60,35,Lookup_Lists!$D$151)))))</f>
      </c>
      <c r="V50" s="47">
        <f>IF(Brand_Profile!$E$86=0,Lookup_Lists!$D$150,ROUND((IF(Brand_Profile!$E$81="",0,IF(ISNUMBER(SEARCH(Brand_Profile!$E$81,Matching_Engine!$BG$50)),1,0))+IF(Brand_Profile!$E$82="",0,IF(ISNUMBER(SEARCH(Brand_Profile!$E$82,Matching_Engine!$BG$50)),1,0))+IF(Brand_Profile!$E$83="",0,IF(ISNUMBER(SEARCH(Brand_Profile!$E$83,Matching_Engine!$BG$50)),1,0))+IF(Brand_Profile!$E$84="",0,IF(ISNUMBER(SEARCH(Brand_Profile!$E$84,Matching_Engine!$BG$50)),1,0))+IF(Brand_Profile!$E$85="",0,IF(ISNUMBER(SEARCH(Brand_Profile!$E$85,Matching_Engine!$BG$50)),1,0)))/Brand_Profile!$E$86*100,0))</f>
      </c>
      <c r="W50" s="47">
        <f>IF(Brand_Profile!$E$39="",Lookup_Lists!$D$150,IFERROR(INDEX(Lookup_Lists!$B$237:$K$246,MATCH(Brand_Profile!$E$39,Lookup_Lists!$A$237:$A$246,0),MATCH(KOL_Database!$AJ$19,Lookup_Lists!$B$236:$K$236,0)),45))</f>
      </c>
      <c r="X50" s="47">
        <f>ROUND((Matching_Engine!$T$50*Lookup_Lists!$D$121+Matching_Engine!$U$50*Lookup_Lists!$D$122+Matching_Engine!$V$50*Lookup_Lists!$D$123+Matching_Engine!$W$50*Lookup_Lists!$D$124)/(Lookup_Lists!$D$121+Lookup_Lists!$D$122+Lookup_Lists!$D$123+Lookup_Lists!$D$124),0)</f>
      </c>
      <c r="Y50" s="47">
        <f>MIN(100,MAX(IFERROR(INDEX(Lookup_Lists!$B$202:$M$211,MATCH(Brand_Profile!$E$25,Lookup_Lists!$A$202:$A$211,0),MATCH(KOL_Database!$AK$19,Lookup_Lists!$B$201:$M$201,0)),40),IF(KOL_Database!$AK$19=Brand_Profile!$E$41,95,0)))</f>
      </c>
      <c r="Z50" s="47">
        <f>IFERROR(INDEX(Lookup_Lists!$B$215:$K$222,MATCH(Brand_Profile!$E$27,Lookup_Lists!$A$215:$A$222,0),MATCH(KOL_Database!$AJ$19,Lookup_Lists!$B$214:$K$214,0)),45)</f>
      </c>
      <c r="AA50" s="47">
        <f>ROUND((IF(Brand_Profile!$E$80=0,Lookup_Lists!$D$150,ROUND((IF(Brand_Profile!$E$75="",0,IF(ISNUMBER(SEARCH(Brand_Profile!$E$75,KOL_Database!$AL$19)),1,0))+IF(Brand_Profile!$E$76="",0,IF(ISNUMBER(SEARCH(Brand_Profile!$E$76,KOL_Database!$AL$19)),1,0))+IF(Brand_Profile!$E$77="",0,IF(ISNUMBER(SEARCH(Brand_Profile!$E$77,KOL_Database!$AL$19)),1,0))+IF(Brand_Profile!$E$78="",0,IF(ISNUMBER(SEARCH(Brand_Profile!$E$78,KOL_Database!$AL$19)),1,0))+IF(Brand_Profile!$E$79="",0,IF(ISNUMBER(SEARCH(Brand_Profile!$E$79,KOL_Database!$AL$19)),1,0)))/Brand_Profile!$E$80*100,0))+IF(Brand_Profile!$E$92=0,Lookup_Lists!$D$150,ROUND((IF(Brand_Profile!$E$87="",0,IF(ISNUMBER(SEARCH(Brand_Profile!$E$87,KOL_Database!$AL$19)),1,0))+IF(Brand_Profile!$E$88="",0,IF(ISNUMBER(SEARCH(Brand_Profile!$E$88,KOL_Database!$AL$19)),1,0))+IF(Brand_Profile!$E$89="",0,IF(ISNUMBER(SEARCH(Brand_Profile!$E$89,KOL_Database!$AL$19)),1,0))+IF(Brand_Profile!$E$90="",0,IF(ISNUMBER(SEARCH(Brand_Profile!$E$90,KOL_Database!$AL$19)),1,0))+IF(Brand_Profile!$E$91="",0,IF(ISNUMBER(SEARCH(Brand_Profile!$E$91,KOL_Database!$AL$19)),1,0)))/Brand_Profile!$E$92*100,0)))/2,0)</f>
      </c>
      <c r="AB50" s="47">
        <f>IFERROR(INDEX(Lookup_Lists!$B$226:$K$233,MATCH(Brand_Profile!$E$30,Lookup_Lists!$A$226:$A$233,0),MATCH(KOL_Database!$AJ$19,Lookup_Lists!$B$225:$K$225,0)),45)</f>
      </c>
      <c r="AC50" s="47">
        <f>ROUND((Matching_Engine!$Y$50*Lookup_Lists!$D$125+Matching_Engine!$Z$50*Lookup_Lists!$D$126+Matching_Engine!$AA$50*Lookup_Lists!$D$127+Matching_Engine!$AB$50*Lookup_Lists!$D$128)/(Lookup_Lists!$D$125+Lookup_Lists!$D$126+Lookup_Lists!$D$127+Lookup_Lists!$D$128),0)</f>
      </c>
      <c r="AD50" s="47">
        <f>IF(KOL_Database!$K$19="",0,MIN(100,ROUND(KOL_Database!$K$19/Lookup_Lists!$D$141*100,0)))</f>
      </c>
      <c r="AE50" s="47">
        <f>IF(KOL_Database!$R$19="",0,MIN(100,MAX(0,KOL_Database!$R$19)))</f>
      </c>
      <c r="AF50" s="47">
        <f>IF(KOL_Database!$P$19="",0,MIN(100,MAX(0,KOL_Database!$P$19)))</f>
      </c>
      <c r="AG50" s="47">
        <f>IF(KOL_Database!$Q$19="",0,MIN(100,MAX(0,KOL_Database!$Q$19)))</f>
      </c>
      <c r="AH50" s="47">
        <f>IF(OR(KOL_Database!$J$19="",KOL_Database!$J$19=0,KOL_Database!$L$19=""),0,MIN(100,ROUND(KOL_Database!$L$19/KOL_Database!$J$19/Lookup_Lists!$D$144*100,0)))</f>
      </c>
      <c r="AI50" s="47">
        <f>IF(KOL_Database!$N$19="",0,MIN(100,MAX(0,ROUND((KOL_Database!$N$19+2)/(Lookup_Lists!$D$145+2)*100,0))))</f>
      </c>
      <c r="AJ50" s="47">
        <f>ROUND((Matching_Engine!$AD$50*Lookup_Lists!$D$129+Matching_Engine!$AE$50*Lookup_Lists!$D$130+Matching_Engine!$AF$50*Lookup_Lists!$D$131+Matching_Engine!$AG$50*Lookup_Lists!$D$132+Matching_Engine!$AH$50*Lookup_Lists!$D$133+Matching_Engine!$AI$50*Lookup_Lists!$D$134)/(Lookup_Lists!$D$129+Lookup_Lists!$D$130+Lookup_Lists!$D$131+Lookup_Lists!$D$132+Lookup_Lists!$D$133+Lookup_Lists!$D$134),0)</f>
      </c>
      <c r="AK50" s="47">
        <f>IF(KOL_Database!$AT$19="",0,MIN(100,MAX(0,KOL_Database!$AT$19)))</f>
      </c>
      <c r="AL50" s="47">
        <f>IF(KOL_Database!$AU$19="",0,KOL_Database!$AU$19)</f>
      </c>
      <c r="AM50" s="44">
        <f>IF(KOL_Database!$AV$19="","None",KOL_Database!$AV$19)</f>
      </c>
      <c r="AN50" s="48">
        <f>IF(Matching_Engine!$AM$50="High",Lookup_Lists!$D$137,IF(Matching_Engine!$AM$50="Medium",Lookup_Lists!$D$138,IF(Matching_Engine!$AM$50="Low",Lookup_Lists!$D$139,Lookup_Lists!$D$140)))</f>
      </c>
      <c r="AO50" s="47">
        <f>ROUND(MIN(100,MAX(0,(Matching_Engine!$AK$50*Lookup_Lists!$D$135+(100-Matching_Engine!$AL$50)*Lookup_Lists!$D$136)/(Lookup_Lists!$D$135+Lookup_Lists!$D$136)*Matching_Engine!$AN$50)),0)</f>
      </c>
      <c r="AP50" s="49">
        <f>ROUND((Matching_Engine!$N$50*Lookup_Lists!$D$104+Matching_Engine!$S$50*Lookup_Lists!$D$105+Matching_Engine!$X$50*Lookup_Lists!$D$106+Matching_Engine!$AC$50*Lookup_Lists!$D$107+Matching_Engine!$AJ$50*Lookup_Lists!$D$108+Matching_Engine!$AO$50*Lookup_Lists!$D$109)/MAX(1,(Lookup_Lists!$D$104+Lookup_Lists!$D$105+Lookup_Lists!$D$106+Lookup_Lists!$D$107+Lookup_Lists!$D$108+Lookup_Lists!$D$109)),0)</f>
      </c>
      <c r="AQ50" s="44">
        <f>IF(Matching_Engine!$AP$50&gt;=Lookup_Lists!$D$152,"Excellent Match",IF(Matching_Engine!$AP$50&gt;=Lookup_Lists!$D$153,"Strong Match",IF(Matching_Engine!$AP$50&gt;=Lookup_Lists!$D$154,"Good Match",IF(Matching_Engine!$AP$50&gt;=Lookup_Lists!$D$155,"Moderate Match","Low Match"))))</f>
      </c>
      <c r="AR50" s="47">
        <f>KOL_Database!$BE$19</f>
      </c>
      <c r="AS50" s="44">
        <f>IF(Matching_Engine!$AR$50&gt;=Lookup_Lists!$D$159,"High",IF(Matching_Engine!$AR$50&gt;=Lookup_Lists!$D$160,"Medium","Limited Data"))</f>
      </c>
      <c r="AT50" s="47">
        <f>ROUND((Matching_Engine!$N$50+Matching_Engine!$X$50+Matching_Engine!$AC$50)/3,0)</f>
      </c>
      <c r="AU50" s="47">
        <f>ROUND(((100-Matching_Engine!$AL$50)*Lookup_Lists!$D$162+IF(KOL_Database!$BD$19="",Lookup_Lists!$D$150,KOL_Database!$BD$19)*Lookup_Lists!$D$163+Matching_Engine!$AI$50*Lookup_Lists!$D$164+Matching_Engine!$AD$50*Lookup_Lists!$D$165)/(Lookup_Lists!$D$162+Lookup_Lists!$D$163+Lookup_Lists!$D$164+Lookup_Lists!$D$165),0)</f>
      </c>
      <c r="AV50" s="44">
        <f>IF(Matching_Engine!$AW$50="","PASS","EXCLUDED")</f>
      </c>
      <c r="AW50" s="44">
        <f>IF(ISERROR(SEARCH(KOL_Database!$D$19,Brand_Profile!$E$32)),"Platform not in Preferred Platform",IF(AND(Brand_Profile!$E$36&gt;0,KOL_Database!$J$19&lt;Brand_Profile!$E$36),"Followers below Preferred Follower Range",IF(AND(Brand_Profile!$E$37&gt;0,KOL_Database!$J$19&gt;Brand_Profile!$E$37),"Followers above Preferred Follower Range",IF(AND(Brand_Profile!$E$38&gt;0,IF(KOL_Database!$K$19="",0,KOL_Database!$K$19)&lt;Brand_Profile!$E$38),"Engagement Rate below Minimum Engagement Rate",IF(ISERROR(SEARCH(KOL_Database!$G$19,Brand_Profile!$E$35)),"Tier not in Preferred Tier",IF(AND(Brand_Profile!$E$43&gt;0,Matching_Engine!$AE$50&lt;Brand_Profile!$E$43),"Audience Quality below Minimum Audience Quality",IF(AND(Brand_Profile!$E$44&gt;0,Matching_Engine!$AK$50&lt;Brand_Profile!$E$44),"Brand Safety below Minimum Brand Safety",IF(AND(Brand_Profile!$E$47="Yes",KOL_Database!$AD$19&lt;&gt;Brand_Profile!$E$19),"Audience Country does not match Target Country",IF(AND(Brand_Profile!$E$46="Yes",KOL_Database!$E$19&lt;&gt;Brand_Profile!$E$33),"Category is not the Preferred Category",IF(AND(Brand_Profile!$E$48&gt;0,Matching_Engine!$AL$50&gt;Brand_Profile!$E$48),"Competitor Saturation above Max Competitor Saturation",IF(AND(Brand_Profile!$E$50="Yes",KOL_Database!$AW$19="Yes"),"Already Selected",IF(AND(Brand_Profile!$E$51="Yes",KOL_Database!$AX$19="Yes"),"Already in Cart",IF(AND(Brand_Profile!$E$52="Yes",KOL_Database!$AY$19="Yes"),"Existing Partner",IF(AND(Brand_Profile!$E$53="Yes",KOL_Database!$AZ$19="Yes"),"Excluded Creator",IF(AND(Brand_Profile!$E$49&gt;0,Matching_Engine!$AP$50&lt;Brand_Profile!$E$49),"Brand Match below Minimum Brand Match","")))))))))))))))</f>
      </c>
      <c r="AX50" s="44">
        <f>IF(Matching_Engine!$AV$50="EXCLUDED","Excluded",IF(Matching_Engine!$AP$50&gt;=Lookup_Lists!$D$156,"Highly Recommended",IF(Matching_Engine!$AP$50&gt;=Lookup_Lists!$D$157,"Recommended",IF(Matching_Engine!$AP$50&gt;=Lookup_Lists!$D$158,"Consider","Low Priority"))))</f>
      </c>
      <c r="AY50" s="47">
        <f>IF(Matching_Engine!$AV$50="PASS",Matching_Engine!$AP$50,"")</f>
      </c>
      <c r="AZ50" s="44">
        <f>Matching_Engine!$A$50&amp;"|"&amp;Matching_Engine!$C$50</f>
      </c>
      <c r="BA50" s="44">
        <f>IFERROR(INDEX(Lookup_Lists!$B$51:$B$92,MATCH(Brand_Profile!$E$12,Lookup_Lists!$A$51:$A$92,0)),"")</f>
      </c>
      <c r="BB50" s="44">
        <f>IFERROR(INDEX(Lookup_Lists!$B$51:$B$92,MATCH(KOL_Database!$F$19,Lookup_Lists!$A$51:$A$92,0)),"")</f>
      </c>
      <c r="BC50" s="47">
        <f>IFERROR(INDEX(Lookup_Lists!$B$185:$O$198,MATCH(Matching_Engine!$BA$50,Lookup_Lists!$A$185:$A$198,0),MATCH(KOL_Database!$E$19,Lookup_Lists!$B$184:$O$184,0)),Lookup_Lists!$D$151)</f>
      </c>
      <c r="BD50" s="47">
        <f>IFERROR(INDEX(Lookup_Lists!$B$185:$O$198,MATCH(Brand_Profile!$E$33,Lookup_Lists!$A$185:$A$198,0),MATCH(KOL_Database!$E$19,Lookup_Lists!$B$184:$O$184,0)),Lookup_Lists!$D$151)</f>
      </c>
      <c r="BE50" s="44">
        <f>IFERROR(INDEX(Lookup_Lists!$B$51:$B$92,MATCH(Brand_Profile!$E$34,Lookup_Lists!$A$51:$A$92,0)),"")</f>
      </c>
      <c r="BF50" s="44">
        <f>KOL_Database!$AI$19&amp;", "&amp;KOL_Database!$AG$19&amp;", "&amp;KOL_Database!$F$19&amp;", "&amp;KOL_Database!$E$19</f>
      </c>
      <c r="BG50" s="44">
        <f>KOL_Database!$AI$19&amp;", "&amp;KOL_Database!$AG$19</f>
      </c>
    </row>
    <row r="51" spans="1:59" x14ac:dyDescent="0.25">
      <c r="A51" s="43" t="s">
        <v>76</v>
      </c>
      <c r="B51" s="44">
        <f>Brand_Profile!$E$9</f>
      </c>
      <c r="C51" s="44">
        <f>KOL_Database!$A$20</f>
      </c>
      <c r="D51" s="44">
        <f>KOL_Database!$B$20</f>
      </c>
      <c r="E51" s="44">
        <f>KOL_Database!$C$20</f>
      </c>
      <c r="F51" s="44">
        <f>KOL_Database!$D$20</f>
      </c>
      <c r="G51" s="44">
        <f>KOL_Database!$E$20</f>
      </c>
      <c r="H51" s="44">
        <f>KOL_Database!$G$20</f>
      </c>
      <c r="I51" s="45">
        <f>KOL_Database!$J$20</f>
      </c>
      <c r="J51" s="46">
        <f>KOL_Database!$K$20</f>
      </c>
      <c r="K51" s="47">
        <f>IFERROR(INDEX(Lookup_Lists!$B$170:$O$181,MATCH(Brand_Profile!$E$10,Lookup_Lists!$A$170:$A$181,0),MATCH(KOL_Database!$E$20,Lookup_Lists!$B$169:$O$169,0)),Lookup_Lists!$D$151)</f>
      </c>
      <c r="L51" s="47">
        <f>IF(KOL_Database!$F$20="",Matching_Engine!$BC$51,IF(Brand_Profile!$E$12=KOL_Database!$F$20,100,IF(Matching_Engine!$BA$51=KOL_Database!$E$20,80,IF(Matching_Engine!$BC$51&gt;=80,60,IF(Matching_Engine!$BC$51&gt;=60,40,Lookup_Lists!$D$151)))))</f>
      </c>
      <c r="M51" s="47">
        <f>ROUND((IF(Brand_Profile!$E$62=0,Lookup_Lists!$D$150,ROUND((IF(Brand_Profile!$E$57="",0,IF(ISNUMBER(SEARCH(Brand_Profile!$E$57,Matching_Engine!$BF$51)),1,0))+IF(Brand_Profile!$E$58="",0,IF(ISNUMBER(SEARCH(Brand_Profile!$E$58,Matching_Engine!$BF$51)),1,0))+IF(Brand_Profile!$E$59="",0,IF(ISNUMBER(SEARCH(Brand_Profile!$E$59,Matching_Engine!$BF$51)),1,0))+IF(Brand_Profile!$E$60="",0,IF(ISNUMBER(SEARCH(Brand_Profile!$E$60,Matching_Engine!$BF$51)),1,0))+IF(Brand_Profile!$E$61="",0,IF(ISNUMBER(SEARCH(Brand_Profile!$E$61,Matching_Engine!$BF$51)),1,0)))/Brand_Profile!$E$62*100,0))+IF(Brand_Profile!$E$74=0,Lookup_Lists!$D$150,ROUND((IF(Brand_Profile!$E$69="",0,IF(ISNUMBER(SEARCH(Brand_Profile!$E$69,Matching_Engine!$BF$51)),1,0))+IF(Brand_Profile!$E$70="",0,IF(ISNUMBER(SEARCH(Brand_Profile!$E$70,Matching_Engine!$BF$51)),1,0))+IF(Brand_Profile!$E$71="",0,IF(ISNUMBER(SEARCH(Brand_Profile!$E$71,Matching_Engine!$BF$51)),1,0))+IF(Brand_Profile!$E$72="",0,IF(ISNUMBER(SEARCH(Brand_Profile!$E$72,Matching_Engine!$BF$51)),1,0))+IF(Brand_Profile!$E$73="",0,IF(ISNUMBER(SEARCH(Brand_Profile!$E$73,Matching_Engine!$BF$51)),1,0)))/Brand_Profile!$E$74*100,0)))/2,0)</f>
      </c>
      <c r="N51" s="47">
        <f>ROUND((Matching_Engine!$K$51*Lookup_Lists!$D$110+Matching_Engine!$L$51*Lookup_Lists!$D$111+Matching_Engine!$M$51*Lookup_Lists!$D$112)/(Lookup_Lists!$D$110+Lookup_Lists!$D$111+Lookup_Lists!$D$112),0)</f>
      </c>
      <c r="O51" s="47">
        <f>IF(Brand_Profile!$E$16="",Lookup_Lists!$D$150,MIN(100,ROUND((IFERROR(INDEX(KOL_Database!$W$20:KOL_Database!$AA$20,1,MATCH(Brand_Profile!$E$16,Lookup_Lists!$F$6:$F$10,0)),0)+0.5*IFERROR(INDEX(KOL_Database!$W$20:KOL_Database!$AA$20,1,MATCH(Brand_Profile!$E$17,Lookup_Lists!$F$6:$F$10,0)),0))/Lookup_Lists!$D$142*100,0)))</f>
      </c>
      <c r="P51" s="47">
        <f>IF(OR(Brand_Profile!$E$18="",Brand_Profile!$E$18="Any"),100,IF(Brand_Profile!$E$18="Female",MIN(100,ROUND(KOL_Database!$AB$20/Lookup_Lists!$D$143*100,0)),IF(Brand_Profile!$E$18="Male",MIN(100,ROUND(KOL_Database!$AC$20/Lookup_Lists!$D$143*100,0)),MAX(0,ROUND(100-ABS(KOL_Database!$AB$20-50)*2,0)))))</f>
      </c>
      <c r="Q51" s="47">
        <f>ROUND((IF(Brand_Profile!$E$19="",100,IF(KOL_Database!$AD$20=Brand_Profile!$E$19,100,Lookup_Lists!$D$151))*Lookup_Lists!$D$118+IF(OR(Brand_Profile!$E$20="",Brand_Profile!$E$20="Nasional"),100,IF(KOL_Database!$AE$20="",Lookup_Lists!$D$150,IF(KOL_Database!$AE$20=Brand_Profile!$E$20,100,IF(KOL_Database!$AD$20=Brand_Profile!$E$19,40,Lookup_Lists!$D$151))))*Lookup_Lists!$D$119+IF(OR(Brand_Profile!$E$21="",Brand_Profile!$E$21="Nasional"),100,IF(KOL_Database!$AF$20="",Lookup_Lists!$D$150,IF(KOL_Database!$AF$20=Brand_Profile!$E$21,100,IF(KOL_Database!$AE$20=Brand_Profile!$E$20,60,Lookup_Lists!$D$151))))*Lookup_Lists!$D$120)/(Lookup_Lists!$D$118+Lookup_Lists!$D$119+Lookup_Lists!$D$120),0)</f>
      </c>
      <c r="R51" s="47">
        <f>IF(Brand_Profile!$E$68=0,Lookup_Lists!$D$150,ROUND((IF(Brand_Profile!$E$63="",0,IF(ISNUMBER(SEARCH(Brand_Profile!$E$63,KOL_Database!$AG$20)),1,0))+IF(Brand_Profile!$E$64="",0,IF(ISNUMBER(SEARCH(Brand_Profile!$E$64,KOL_Database!$AG$20)),1,0))+IF(Brand_Profile!$E$65="",0,IF(ISNUMBER(SEARCH(Brand_Profile!$E$65,KOL_Database!$AG$20)),1,0))+IF(Brand_Profile!$E$66="",0,IF(ISNUMBER(SEARCH(Brand_Profile!$E$66,KOL_Database!$AG$20)),1,0))+IF(Brand_Profile!$E$67="",0,IF(ISNUMBER(SEARCH(Brand_Profile!$E$67,KOL_Database!$AG$20)),1,0)))/Brand_Profile!$E$68*100,0))</f>
      </c>
      <c r="S51" s="47">
        <f>ROUND((Matching_Engine!$O$51*Brand_Profile!$E$96+Matching_Engine!$P$51*Brand_Profile!$E$97+Matching_Engine!$Q$51*Brand_Profile!$E$98+Matching_Engine!$R$51*Brand_Profile!$E$99)/MAX(1,Brand_Profile!$E$96+Brand_Profile!$E$97+Brand_Profile!$E$98+Brand_Profile!$E$99),0)</f>
      </c>
      <c r="T51" s="47">
        <f>IF(Brand_Profile!$E$33="",Lookup_Lists!$D$150,Matching_Engine!$BD$51)</f>
      </c>
      <c r="U51" s="47">
        <f>IF(Brand_Profile!$E$34="",Lookup_Lists!$D$150,IF(Brand_Profile!$E$34=KOL_Database!$F$20,100,IF(Matching_Engine!$BE$51=KOL_Database!$E$20,75,IF(Matching_Engine!$BD$51&gt;=80,Lookup_Lists!$D$150,IF(Matching_Engine!$BD$51&gt;=60,35,Lookup_Lists!$D$151)))))</f>
      </c>
      <c r="V51" s="47">
        <f>IF(Brand_Profile!$E$86=0,Lookup_Lists!$D$150,ROUND((IF(Brand_Profile!$E$81="",0,IF(ISNUMBER(SEARCH(Brand_Profile!$E$81,Matching_Engine!$BG$51)),1,0))+IF(Brand_Profile!$E$82="",0,IF(ISNUMBER(SEARCH(Brand_Profile!$E$82,Matching_Engine!$BG$51)),1,0))+IF(Brand_Profile!$E$83="",0,IF(ISNUMBER(SEARCH(Brand_Profile!$E$83,Matching_Engine!$BG$51)),1,0))+IF(Brand_Profile!$E$84="",0,IF(ISNUMBER(SEARCH(Brand_Profile!$E$84,Matching_Engine!$BG$51)),1,0))+IF(Brand_Profile!$E$85="",0,IF(ISNUMBER(SEARCH(Brand_Profile!$E$85,Matching_Engine!$BG$51)),1,0)))/Brand_Profile!$E$86*100,0))</f>
      </c>
      <c r="W51" s="47">
        <f>IF(Brand_Profile!$E$39="",Lookup_Lists!$D$150,IFERROR(INDEX(Lookup_Lists!$B$237:$K$246,MATCH(Brand_Profile!$E$39,Lookup_Lists!$A$237:$A$246,0),MATCH(KOL_Database!$AJ$20,Lookup_Lists!$B$236:$K$236,0)),45))</f>
      </c>
      <c r="X51" s="47">
        <f>ROUND((Matching_Engine!$T$51*Lookup_Lists!$D$121+Matching_Engine!$U$51*Lookup_Lists!$D$122+Matching_Engine!$V$51*Lookup_Lists!$D$123+Matching_Engine!$W$51*Lookup_Lists!$D$124)/(Lookup_Lists!$D$121+Lookup_Lists!$D$122+Lookup_Lists!$D$123+Lookup_Lists!$D$124),0)</f>
      </c>
      <c r="Y51" s="47">
        <f>MIN(100,MAX(IFERROR(INDEX(Lookup_Lists!$B$202:$M$211,MATCH(Brand_Profile!$E$25,Lookup_Lists!$A$202:$A$211,0),MATCH(KOL_Database!$AK$20,Lookup_Lists!$B$201:$M$201,0)),40),IF(KOL_Database!$AK$20=Brand_Profile!$E$41,95,0)))</f>
      </c>
      <c r="Z51" s="47">
        <f>IFERROR(INDEX(Lookup_Lists!$B$215:$K$222,MATCH(Brand_Profile!$E$27,Lookup_Lists!$A$215:$A$222,0),MATCH(KOL_Database!$AJ$20,Lookup_Lists!$B$214:$K$214,0)),45)</f>
      </c>
      <c r="AA51" s="47">
        <f>ROUND((IF(Brand_Profile!$E$80=0,Lookup_Lists!$D$150,ROUND((IF(Brand_Profile!$E$75="",0,IF(ISNUMBER(SEARCH(Brand_Profile!$E$75,KOL_Database!$AL$20)),1,0))+IF(Brand_Profile!$E$76="",0,IF(ISNUMBER(SEARCH(Brand_Profile!$E$76,KOL_Database!$AL$20)),1,0))+IF(Brand_Profile!$E$77="",0,IF(ISNUMBER(SEARCH(Brand_Profile!$E$77,KOL_Database!$AL$20)),1,0))+IF(Brand_Profile!$E$78="",0,IF(ISNUMBER(SEARCH(Brand_Profile!$E$78,KOL_Database!$AL$20)),1,0))+IF(Brand_Profile!$E$79="",0,IF(ISNUMBER(SEARCH(Brand_Profile!$E$79,KOL_Database!$AL$20)),1,0)))/Brand_Profile!$E$80*100,0))+IF(Brand_Profile!$E$92=0,Lookup_Lists!$D$150,ROUND((IF(Brand_Profile!$E$87="",0,IF(ISNUMBER(SEARCH(Brand_Profile!$E$87,KOL_Database!$AL$20)),1,0))+IF(Brand_Profile!$E$88="",0,IF(ISNUMBER(SEARCH(Brand_Profile!$E$88,KOL_Database!$AL$20)),1,0))+IF(Brand_Profile!$E$89="",0,IF(ISNUMBER(SEARCH(Brand_Profile!$E$89,KOL_Database!$AL$20)),1,0))+IF(Brand_Profile!$E$90="",0,IF(ISNUMBER(SEARCH(Brand_Profile!$E$90,KOL_Database!$AL$20)),1,0))+IF(Brand_Profile!$E$91="",0,IF(ISNUMBER(SEARCH(Brand_Profile!$E$91,KOL_Database!$AL$20)),1,0)))/Brand_Profile!$E$92*100,0)))/2,0)</f>
      </c>
      <c r="AB51" s="47">
        <f>IFERROR(INDEX(Lookup_Lists!$B$226:$K$233,MATCH(Brand_Profile!$E$30,Lookup_Lists!$A$226:$A$233,0),MATCH(KOL_Database!$AJ$20,Lookup_Lists!$B$225:$K$225,0)),45)</f>
      </c>
      <c r="AC51" s="47">
        <f>ROUND((Matching_Engine!$Y$51*Lookup_Lists!$D$125+Matching_Engine!$Z$51*Lookup_Lists!$D$126+Matching_Engine!$AA$51*Lookup_Lists!$D$127+Matching_Engine!$AB$51*Lookup_Lists!$D$128)/(Lookup_Lists!$D$125+Lookup_Lists!$D$126+Lookup_Lists!$D$127+Lookup_Lists!$D$128),0)</f>
      </c>
      <c r="AD51" s="47">
        <f>IF(KOL_Database!$K$20="",0,MIN(100,ROUND(KOL_Database!$K$20/Lookup_Lists!$D$141*100,0)))</f>
      </c>
      <c r="AE51" s="47">
        <f>IF(KOL_Database!$R$20="",0,MIN(100,MAX(0,KOL_Database!$R$20)))</f>
      </c>
      <c r="AF51" s="47">
        <f>IF(KOL_Database!$P$20="",0,MIN(100,MAX(0,KOL_Database!$P$20)))</f>
      </c>
      <c r="AG51" s="47">
        <f>IF(KOL_Database!$Q$20="",0,MIN(100,MAX(0,KOL_Database!$Q$20)))</f>
      </c>
      <c r="AH51" s="47">
        <f>IF(OR(KOL_Database!$J$20="",KOL_Database!$J$20=0,KOL_Database!$L$20=""),0,MIN(100,ROUND(KOL_Database!$L$20/KOL_Database!$J$20/Lookup_Lists!$D$144*100,0)))</f>
      </c>
      <c r="AI51" s="47">
        <f>IF(KOL_Database!$N$20="",0,MIN(100,MAX(0,ROUND((KOL_Database!$N$20+2)/(Lookup_Lists!$D$145+2)*100,0))))</f>
      </c>
      <c r="AJ51" s="47">
        <f>ROUND((Matching_Engine!$AD$51*Lookup_Lists!$D$129+Matching_Engine!$AE$51*Lookup_Lists!$D$130+Matching_Engine!$AF$51*Lookup_Lists!$D$131+Matching_Engine!$AG$51*Lookup_Lists!$D$132+Matching_Engine!$AH$51*Lookup_Lists!$D$133+Matching_Engine!$AI$51*Lookup_Lists!$D$134)/(Lookup_Lists!$D$129+Lookup_Lists!$D$130+Lookup_Lists!$D$131+Lookup_Lists!$D$132+Lookup_Lists!$D$133+Lookup_Lists!$D$134),0)</f>
      </c>
      <c r="AK51" s="47">
        <f>IF(KOL_Database!$AT$20="",0,MIN(100,MAX(0,KOL_Database!$AT$20)))</f>
      </c>
      <c r="AL51" s="47">
        <f>IF(KOL_Database!$AU$20="",0,KOL_Database!$AU$20)</f>
      </c>
      <c r="AM51" s="44">
        <f>IF(KOL_Database!$AV$20="","None",KOL_Database!$AV$20)</f>
      </c>
      <c r="AN51" s="48">
        <f>IF(Matching_Engine!$AM$51="High",Lookup_Lists!$D$137,IF(Matching_Engine!$AM$51="Medium",Lookup_Lists!$D$138,IF(Matching_Engine!$AM$51="Low",Lookup_Lists!$D$139,Lookup_Lists!$D$140)))</f>
      </c>
      <c r="AO51" s="47">
        <f>ROUND(MIN(100,MAX(0,(Matching_Engine!$AK$51*Lookup_Lists!$D$135+(100-Matching_Engine!$AL$51)*Lookup_Lists!$D$136)/(Lookup_Lists!$D$135+Lookup_Lists!$D$136)*Matching_Engine!$AN$51)),0)</f>
      </c>
      <c r="AP51" s="49">
        <f>ROUND((Matching_Engine!$N$51*Lookup_Lists!$D$104+Matching_Engine!$S$51*Lookup_Lists!$D$105+Matching_Engine!$X$51*Lookup_Lists!$D$106+Matching_Engine!$AC$51*Lookup_Lists!$D$107+Matching_Engine!$AJ$51*Lookup_Lists!$D$108+Matching_Engine!$AO$51*Lookup_Lists!$D$109)/MAX(1,(Lookup_Lists!$D$104+Lookup_Lists!$D$105+Lookup_Lists!$D$106+Lookup_Lists!$D$107+Lookup_Lists!$D$108+Lookup_Lists!$D$109)),0)</f>
      </c>
      <c r="AQ51" s="44">
        <f>IF(Matching_Engine!$AP$51&gt;=Lookup_Lists!$D$152,"Excellent Match",IF(Matching_Engine!$AP$51&gt;=Lookup_Lists!$D$153,"Strong Match",IF(Matching_Engine!$AP$51&gt;=Lookup_Lists!$D$154,"Good Match",IF(Matching_Engine!$AP$51&gt;=Lookup_Lists!$D$155,"Moderate Match","Low Match"))))</f>
      </c>
      <c r="AR51" s="47">
        <f>KOL_Database!$BE$20</f>
      </c>
      <c r="AS51" s="44">
        <f>IF(Matching_Engine!$AR$51&gt;=Lookup_Lists!$D$159,"High",IF(Matching_Engine!$AR$51&gt;=Lookup_Lists!$D$160,"Medium","Limited Data"))</f>
      </c>
      <c r="AT51" s="47">
        <f>ROUND((Matching_Engine!$N$51+Matching_Engine!$X$51+Matching_Engine!$AC$51)/3,0)</f>
      </c>
      <c r="AU51" s="47">
        <f>ROUND(((100-Matching_Engine!$AL$51)*Lookup_Lists!$D$162+IF(KOL_Database!$BD$20="",Lookup_Lists!$D$150,KOL_Database!$BD$20)*Lookup_Lists!$D$163+Matching_Engine!$AI$51*Lookup_Lists!$D$164+Matching_Engine!$AD$51*Lookup_Lists!$D$165)/(Lookup_Lists!$D$162+Lookup_Lists!$D$163+Lookup_Lists!$D$164+Lookup_Lists!$D$165),0)</f>
      </c>
      <c r="AV51" s="44">
        <f>IF(Matching_Engine!$AW$51="","PASS","EXCLUDED")</f>
      </c>
      <c r="AW51" s="44">
        <f>IF(ISERROR(SEARCH(KOL_Database!$D$20,Brand_Profile!$E$32)),"Platform not in Preferred Platform",IF(AND(Brand_Profile!$E$36&gt;0,KOL_Database!$J$20&lt;Brand_Profile!$E$36),"Followers below Preferred Follower Range",IF(AND(Brand_Profile!$E$37&gt;0,KOL_Database!$J$20&gt;Brand_Profile!$E$37),"Followers above Preferred Follower Range",IF(AND(Brand_Profile!$E$38&gt;0,IF(KOL_Database!$K$20="",0,KOL_Database!$K$20)&lt;Brand_Profile!$E$38),"Engagement Rate below Minimum Engagement Rate",IF(ISERROR(SEARCH(KOL_Database!$G$20,Brand_Profile!$E$35)),"Tier not in Preferred Tier",IF(AND(Brand_Profile!$E$43&gt;0,Matching_Engine!$AE$51&lt;Brand_Profile!$E$43),"Audience Quality below Minimum Audience Quality",IF(AND(Brand_Profile!$E$44&gt;0,Matching_Engine!$AK$51&lt;Brand_Profile!$E$44),"Brand Safety below Minimum Brand Safety",IF(AND(Brand_Profile!$E$47="Yes",KOL_Database!$AD$20&lt;&gt;Brand_Profile!$E$19),"Audience Country does not match Target Country",IF(AND(Brand_Profile!$E$46="Yes",KOL_Database!$E$20&lt;&gt;Brand_Profile!$E$33),"Category is not the Preferred Category",IF(AND(Brand_Profile!$E$48&gt;0,Matching_Engine!$AL$51&gt;Brand_Profile!$E$48),"Competitor Saturation above Max Competitor Saturation",IF(AND(Brand_Profile!$E$50="Yes",KOL_Database!$AW$20="Yes"),"Already Selected",IF(AND(Brand_Profile!$E$51="Yes",KOL_Database!$AX$20="Yes"),"Already in Cart",IF(AND(Brand_Profile!$E$52="Yes",KOL_Database!$AY$20="Yes"),"Existing Partner",IF(AND(Brand_Profile!$E$53="Yes",KOL_Database!$AZ$20="Yes"),"Excluded Creator",IF(AND(Brand_Profile!$E$49&gt;0,Matching_Engine!$AP$51&lt;Brand_Profile!$E$49),"Brand Match below Minimum Brand Match","")))))))))))))))</f>
      </c>
      <c r="AX51" s="44">
        <f>IF(Matching_Engine!$AV$51="EXCLUDED","Excluded",IF(Matching_Engine!$AP$51&gt;=Lookup_Lists!$D$156,"Highly Recommended",IF(Matching_Engine!$AP$51&gt;=Lookup_Lists!$D$157,"Recommended",IF(Matching_Engine!$AP$51&gt;=Lookup_Lists!$D$158,"Consider","Low Priority"))))</f>
      </c>
      <c r="AY51" s="47">
        <f>IF(Matching_Engine!$AV$51="PASS",Matching_Engine!$AP$51,"")</f>
      </c>
      <c r="AZ51" s="44">
        <f>Matching_Engine!$A$51&amp;"|"&amp;Matching_Engine!$C$51</f>
      </c>
      <c r="BA51" s="44">
        <f>IFERROR(INDEX(Lookup_Lists!$B$51:$B$92,MATCH(Brand_Profile!$E$12,Lookup_Lists!$A$51:$A$92,0)),"")</f>
      </c>
      <c r="BB51" s="44">
        <f>IFERROR(INDEX(Lookup_Lists!$B$51:$B$92,MATCH(KOL_Database!$F$20,Lookup_Lists!$A$51:$A$92,0)),"")</f>
      </c>
      <c r="BC51" s="47">
        <f>IFERROR(INDEX(Lookup_Lists!$B$185:$O$198,MATCH(Matching_Engine!$BA$51,Lookup_Lists!$A$185:$A$198,0),MATCH(KOL_Database!$E$20,Lookup_Lists!$B$184:$O$184,0)),Lookup_Lists!$D$151)</f>
      </c>
      <c r="BD51" s="47">
        <f>IFERROR(INDEX(Lookup_Lists!$B$185:$O$198,MATCH(Brand_Profile!$E$33,Lookup_Lists!$A$185:$A$198,0),MATCH(KOL_Database!$E$20,Lookup_Lists!$B$184:$O$184,0)),Lookup_Lists!$D$151)</f>
      </c>
      <c r="BE51" s="44">
        <f>IFERROR(INDEX(Lookup_Lists!$B$51:$B$92,MATCH(Brand_Profile!$E$34,Lookup_Lists!$A$51:$A$92,0)),"")</f>
      </c>
      <c r="BF51" s="44">
        <f>KOL_Database!$AI$20&amp;", "&amp;KOL_Database!$AG$20&amp;", "&amp;KOL_Database!$F$20&amp;", "&amp;KOL_Database!$E$20</f>
      </c>
      <c r="BG51" s="44">
        <f>KOL_Database!$AI$20&amp;", "&amp;KOL_Database!$AG$20</f>
      </c>
    </row>
    <row r="52" spans="1:59" x14ac:dyDescent="0.25">
      <c r="A52" s="43" t="s">
        <v>76</v>
      </c>
      <c r="B52" s="44">
        <f>Brand_Profile!$E$9</f>
      </c>
      <c r="C52" s="44">
        <f>KOL_Database!$A$21</f>
      </c>
      <c r="D52" s="44">
        <f>KOL_Database!$B$21</f>
      </c>
      <c r="E52" s="44">
        <f>KOL_Database!$C$21</f>
      </c>
      <c r="F52" s="44">
        <f>KOL_Database!$D$21</f>
      </c>
      <c r="G52" s="44">
        <f>KOL_Database!$E$21</f>
      </c>
      <c r="H52" s="44">
        <f>KOL_Database!$G$21</f>
      </c>
      <c r="I52" s="45">
        <f>KOL_Database!$J$21</f>
      </c>
      <c r="J52" s="46">
        <f>KOL_Database!$K$21</f>
      </c>
      <c r="K52" s="47">
        <f>IFERROR(INDEX(Lookup_Lists!$B$170:$O$181,MATCH(Brand_Profile!$E$10,Lookup_Lists!$A$170:$A$181,0),MATCH(KOL_Database!$E$21,Lookup_Lists!$B$169:$O$169,0)),Lookup_Lists!$D$151)</f>
      </c>
      <c r="L52" s="47">
        <f>IF(KOL_Database!$F$21="",Matching_Engine!$BC$52,IF(Brand_Profile!$E$12=KOL_Database!$F$21,100,IF(Matching_Engine!$BA$52=KOL_Database!$E$21,80,IF(Matching_Engine!$BC$52&gt;=80,60,IF(Matching_Engine!$BC$52&gt;=60,40,Lookup_Lists!$D$151)))))</f>
      </c>
      <c r="M52" s="47">
        <f>ROUND((IF(Brand_Profile!$E$62=0,Lookup_Lists!$D$150,ROUND((IF(Brand_Profile!$E$57="",0,IF(ISNUMBER(SEARCH(Brand_Profile!$E$57,Matching_Engine!$BF$52)),1,0))+IF(Brand_Profile!$E$58="",0,IF(ISNUMBER(SEARCH(Brand_Profile!$E$58,Matching_Engine!$BF$52)),1,0))+IF(Brand_Profile!$E$59="",0,IF(ISNUMBER(SEARCH(Brand_Profile!$E$59,Matching_Engine!$BF$52)),1,0))+IF(Brand_Profile!$E$60="",0,IF(ISNUMBER(SEARCH(Brand_Profile!$E$60,Matching_Engine!$BF$52)),1,0))+IF(Brand_Profile!$E$61="",0,IF(ISNUMBER(SEARCH(Brand_Profile!$E$61,Matching_Engine!$BF$52)),1,0)))/Brand_Profile!$E$62*100,0))+IF(Brand_Profile!$E$74=0,Lookup_Lists!$D$150,ROUND((IF(Brand_Profile!$E$69="",0,IF(ISNUMBER(SEARCH(Brand_Profile!$E$69,Matching_Engine!$BF$52)),1,0))+IF(Brand_Profile!$E$70="",0,IF(ISNUMBER(SEARCH(Brand_Profile!$E$70,Matching_Engine!$BF$52)),1,0))+IF(Brand_Profile!$E$71="",0,IF(ISNUMBER(SEARCH(Brand_Profile!$E$71,Matching_Engine!$BF$52)),1,0))+IF(Brand_Profile!$E$72="",0,IF(ISNUMBER(SEARCH(Brand_Profile!$E$72,Matching_Engine!$BF$52)),1,0))+IF(Brand_Profile!$E$73="",0,IF(ISNUMBER(SEARCH(Brand_Profile!$E$73,Matching_Engine!$BF$52)),1,0)))/Brand_Profile!$E$74*100,0)))/2,0)</f>
      </c>
      <c r="N52" s="47">
        <f>ROUND((Matching_Engine!$K$52*Lookup_Lists!$D$110+Matching_Engine!$L$52*Lookup_Lists!$D$111+Matching_Engine!$M$52*Lookup_Lists!$D$112)/(Lookup_Lists!$D$110+Lookup_Lists!$D$111+Lookup_Lists!$D$112),0)</f>
      </c>
      <c r="O52" s="47">
        <f>IF(Brand_Profile!$E$16="",Lookup_Lists!$D$150,MIN(100,ROUND((IFERROR(INDEX(KOL_Database!$W$21:KOL_Database!$AA$21,1,MATCH(Brand_Profile!$E$16,Lookup_Lists!$F$6:$F$10,0)),0)+0.5*IFERROR(INDEX(KOL_Database!$W$21:KOL_Database!$AA$21,1,MATCH(Brand_Profile!$E$17,Lookup_Lists!$F$6:$F$10,0)),0))/Lookup_Lists!$D$142*100,0)))</f>
      </c>
      <c r="P52" s="47">
        <f>IF(OR(Brand_Profile!$E$18="",Brand_Profile!$E$18="Any"),100,IF(Brand_Profile!$E$18="Female",MIN(100,ROUND(KOL_Database!$AB$21/Lookup_Lists!$D$143*100,0)),IF(Brand_Profile!$E$18="Male",MIN(100,ROUND(KOL_Database!$AC$21/Lookup_Lists!$D$143*100,0)),MAX(0,ROUND(100-ABS(KOL_Database!$AB$21-50)*2,0)))))</f>
      </c>
      <c r="Q52" s="47">
        <f>ROUND((IF(Brand_Profile!$E$19="",100,IF(KOL_Database!$AD$21=Brand_Profile!$E$19,100,Lookup_Lists!$D$151))*Lookup_Lists!$D$118+IF(OR(Brand_Profile!$E$20="",Brand_Profile!$E$20="Nasional"),100,IF(KOL_Database!$AE$21="",Lookup_Lists!$D$150,IF(KOL_Database!$AE$21=Brand_Profile!$E$20,100,IF(KOL_Database!$AD$21=Brand_Profile!$E$19,40,Lookup_Lists!$D$151))))*Lookup_Lists!$D$119+IF(OR(Brand_Profile!$E$21="",Brand_Profile!$E$21="Nasional"),100,IF(KOL_Database!$AF$21="",Lookup_Lists!$D$150,IF(KOL_Database!$AF$21=Brand_Profile!$E$21,100,IF(KOL_Database!$AE$21=Brand_Profile!$E$20,60,Lookup_Lists!$D$151))))*Lookup_Lists!$D$120)/(Lookup_Lists!$D$118+Lookup_Lists!$D$119+Lookup_Lists!$D$120),0)</f>
      </c>
      <c r="R52" s="47">
        <f>IF(Brand_Profile!$E$68=0,Lookup_Lists!$D$150,ROUND((IF(Brand_Profile!$E$63="",0,IF(ISNUMBER(SEARCH(Brand_Profile!$E$63,KOL_Database!$AG$21)),1,0))+IF(Brand_Profile!$E$64="",0,IF(ISNUMBER(SEARCH(Brand_Profile!$E$64,KOL_Database!$AG$21)),1,0))+IF(Brand_Profile!$E$65="",0,IF(ISNUMBER(SEARCH(Brand_Profile!$E$65,KOL_Database!$AG$21)),1,0))+IF(Brand_Profile!$E$66="",0,IF(ISNUMBER(SEARCH(Brand_Profile!$E$66,KOL_Database!$AG$21)),1,0))+IF(Brand_Profile!$E$67="",0,IF(ISNUMBER(SEARCH(Brand_Profile!$E$67,KOL_Database!$AG$21)),1,0)))/Brand_Profile!$E$68*100,0))</f>
      </c>
      <c r="S52" s="47">
        <f>ROUND((Matching_Engine!$O$52*Brand_Profile!$E$96+Matching_Engine!$P$52*Brand_Profile!$E$97+Matching_Engine!$Q$52*Brand_Profile!$E$98+Matching_Engine!$R$52*Brand_Profile!$E$99)/MAX(1,Brand_Profile!$E$96+Brand_Profile!$E$97+Brand_Profile!$E$98+Brand_Profile!$E$99),0)</f>
      </c>
      <c r="T52" s="47">
        <f>IF(Brand_Profile!$E$33="",Lookup_Lists!$D$150,Matching_Engine!$BD$52)</f>
      </c>
      <c r="U52" s="47">
        <f>IF(Brand_Profile!$E$34="",Lookup_Lists!$D$150,IF(Brand_Profile!$E$34=KOL_Database!$F$21,100,IF(Matching_Engine!$BE$52=KOL_Database!$E$21,75,IF(Matching_Engine!$BD$52&gt;=80,Lookup_Lists!$D$150,IF(Matching_Engine!$BD$52&gt;=60,35,Lookup_Lists!$D$151)))))</f>
      </c>
      <c r="V52" s="47">
        <f>IF(Brand_Profile!$E$86=0,Lookup_Lists!$D$150,ROUND((IF(Brand_Profile!$E$81="",0,IF(ISNUMBER(SEARCH(Brand_Profile!$E$81,Matching_Engine!$BG$52)),1,0))+IF(Brand_Profile!$E$82="",0,IF(ISNUMBER(SEARCH(Brand_Profile!$E$82,Matching_Engine!$BG$52)),1,0))+IF(Brand_Profile!$E$83="",0,IF(ISNUMBER(SEARCH(Brand_Profile!$E$83,Matching_Engine!$BG$52)),1,0))+IF(Brand_Profile!$E$84="",0,IF(ISNUMBER(SEARCH(Brand_Profile!$E$84,Matching_Engine!$BG$52)),1,0))+IF(Brand_Profile!$E$85="",0,IF(ISNUMBER(SEARCH(Brand_Profile!$E$85,Matching_Engine!$BG$52)),1,0)))/Brand_Profile!$E$86*100,0))</f>
      </c>
      <c r="W52" s="47">
        <f>IF(Brand_Profile!$E$39="",Lookup_Lists!$D$150,IFERROR(INDEX(Lookup_Lists!$B$237:$K$246,MATCH(Brand_Profile!$E$39,Lookup_Lists!$A$237:$A$246,0),MATCH(KOL_Database!$AJ$21,Lookup_Lists!$B$236:$K$236,0)),45))</f>
      </c>
      <c r="X52" s="47">
        <f>ROUND((Matching_Engine!$T$52*Lookup_Lists!$D$121+Matching_Engine!$U$52*Lookup_Lists!$D$122+Matching_Engine!$V$52*Lookup_Lists!$D$123+Matching_Engine!$W$52*Lookup_Lists!$D$124)/(Lookup_Lists!$D$121+Lookup_Lists!$D$122+Lookup_Lists!$D$123+Lookup_Lists!$D$124),0)</f>
      </c>
      <c r="Y52" s="47">
        <f>MIN(100,MAX(IFERROR(INDEX(Lookup_Lists!$B$202:$M$211,MATCH(Brand_Profile!$E$25,Lookup_Lists!$A$202:$A$211,0),MATCH(KOL_Database!$AK$21,Lookup_Lists!$B$201:$M$201,0)),40),IF(KOL_Database!$AK$21=Brand_Profile!$E$41,95,0)))</f>
      </c>
      <c r="Z52" s="47">
        <f>IFERROR(INDEX(Lookup_Lists!$B$215:$K$222,MATCH(Brand_Profile!$E$27,Lookup_Lists!$A$215:$A$222,0),MATCH(KOL_Database!$AJ$21,Lookup_Lists!$B$214:$K$214,0)),45)</f>
      </c>
      <c r="AA52" s="47">
        <f>ROUND((IF(Brand_Profile!$E$80=0,Lookup_Lists!$D$150,ROUND((IF(Brand_Profile!$E$75="",0,IF(ISNUMBER(SEARCH(Brand_Profile!$E$75,KOL_Database!$AL$21)),1,0))+IF(Brand_Profile!$E$76="",0,IF(ISNUMBER(SEARCH(Brand_Profile!$E$76,KOL_Database!$AL$21)),1,0))+IF(Brand_Profile!$E$77="",0,IF(ISNUMBER(SEARCH(Brand_Profile!$E$77,KOL_Database!$AL$21)),1,0))+IF(Brand_Profile!$E$78="",0,IF(ISNUMBER(SEARCH(Brand_Profile!$E$78,KOL_Database!$AL$21)),1,0))+IF(Brand_Profile!$E$79="",0,IF(ISNUMBER(SEARCH(Brand_Profile!$E$79,KOL_Database!$AL$21)),1,0)))/Brand_Profile!$E$80*100,0))+IF(Brand_Profile!$E$92=0,Lookup_Lists!$D$150,ROUND((IF(Brand_Profile!$E$87="",0,IF(ISNUMBER(SEARCH(Brand_Profile!$E$87,KOL_Database!$AL$21)),1,0))+IF(Brand_Profile!$E$88="",0,IF(ISNUMBER(SEARCH(Brand_Profile!$E$88,KOL_Database!$AL$21)),1,0))+IF(Brand_Profile!$E$89="",0,IF(ISNUMBER(SEARCH(Brand_Profile!$E$89,KOL_Database!$AL$21)),1,0))+IF(Brand_Profile!$E$90="",0,IF(ISNUMBER(SEARCH(Brand_Profile!$E$90,KOL_Database!$AL$21)),1,0))+IF(Brand_Profile!$E$91="",0,IF(ISNUMBER(SEARCH(Brand_Profile!$E$91,KOL_Database!$AL$21)),1,0)))/Brand_Profile!$E$92*100,0)))/2,0)</f>
      </c>
      <c r="AB52" s="47">
        <f>IFERROR(INDEX(Lookup_Lists!$B$226:$K$233,MATCH(Brand_Profile!$E$30,Lookup_Lists!$A$226:$A$233,0),MATCH(KOL_Database!$AJ$21,Lookup_Lists!$B$225:$K$225,0)),45)</f>
      </c>
      <c r="AC52" s="47">
        <f>ROUND((Matching_Engine!$Y$52*Lookup_Lists!$D$125+Matching_Engine!$Z$52*Lookup_Lists!$D$126+Matching_Engine!$AA$52*Lookup_Lists!$D$127+Matching_Engine!$AB$52*Lookup_Lists!$D$128)/(Lookup_Lists!$D$125+Lookup_Lists!$D$126+Lookup_Lists!$D$127+Lookup_Lists!$D$128),0)</f>
      </c>
      <c r="AD52" s="47">
        <f>IF(KOL_Database!$K$21="",0,MIN(100,ROUND(KOL_Database!$K$21/Lookup_Lists!$D$141*100,0)))</f>
      </c>
      <c r="AE52" s="47">
        <f>IF(KOL_Database!$R$21="",0,MIN(100,MAX(0,KOL_Database!$R$21)))</f>
      </c>
      <c r="AF52" s="47">
        <f>IF(KOL_Database!$P$21="",0,MIN(100,MAX(0,KOL_Database!$P$21)))</f>
      </c>
      <c r="AG52" s="47">
        <f>IF(KOL_Database!$Q$21="",0,MIN(100,MAX(0,KOL_Database!$Q$21)))</f>
      </c>
      <c r="AH52" s="47">
        <f>IF(OR(KOL_Database!$J$21="",KOL_Database!$J$21=0,KOL_Database!$L$21=""),0,MIN(100,ROUND(KOL_Database!$L$21/KOL_Database!$J$21/Lookup_Lists!$D$144*100,0)))</f>
      </c>
      <c r="AI52" s="47">
        <f>IF(KOL_Database!$N$21="",0,MIN(100,MAX(0,ROUND((KOL_Database!$N$21+2)/(Lookup_Lists!$D$145+2)*100,0))))</f>
      </c>
      <c r="AJ52" s="47">
        <f>ROUND((Matching_Engine!$AD$52*Lookup_Lists!$D$129+Matching_Engine!$AE$52*Lookup_Lists!$D$130+Matching_Engine!$AF$52*Lookup_Lists!$D$131+Matching_Engine!$AG$52*Lookup_Lists!$D$132+Matching_Engine!$AH$52*Lookup_Lists!$D$133+Matching_Engine!$AI$52*Lookup_Lists!$D$134)/(Lookup_Lists!$D$129+Lookup_Lists!$D$130+Lookup_Lists!$D$131+Lookup_Lists!$D$132+Lookup_Lists!$D$133+Lookup_Lists!$D$134),0)</f>
      </c>
      <c r="AK52" s="47">
        <f>IF(KOL_Database!$AT$21="",0,MIN(100,MAX(0,KOL_Database!$AT$21)))</f>
      </c>
      <c r="AL52" s="47">
        <f>IF(KOL_Database!$AU$21="",0,KOL_Database!$AU$21)</f>
      </c>
      <c r="AM52" s="44">
        <f>IF(KOL_Database!$AV$21="","None",KOL_Database!$AV$21)</f>
      </c>
      <c r="AN52" s="48">
        <f>IF(Matching_Engine!$AM$52="High",Lookup_Lists!$D$137,IF(Matching_Engine!$AM$52="Medium",Lookup_Lists!$D$138,IF(Matching_Engine!$AM$52="Low",Lookup_Lists!$D$139,Lookup_Lists!$D$140)))</f>
      </c>
      <c r="AO52" s="47">
        <f>ROUND(MIN(100,MAX(0,(Matching_Engine!$AK$52*Lookup_Lists!$D$135+(100-Matching_Engine!$AL$52)*Lookup_Lists!$D$136)/(Lookup_Lists!$D$135+Lookup_Lists!$D$136)*Matching_Engine!$AN$52)),0)</f>
      </c>
      <c r="AP52" s="49">
        <f>ROUND((Matching_Engine!$N$52*Lookup_Lists!$D$104+Matching_Engine!$S$52*Lookup_Lists!$D$105+Matching_Engine!$X$52*Lookup_Lists!$D$106+Matching_Engine!$AC$52*Lookup_Lists!$D$107+Matching_Engine!$AJ$52*Lookup_Lists!$D$108+Matching_Engine!$AO$52*Lookup_Lists!$D$109)/MAX(1,(Lookup_Lists!$D$104+Lookup_Lists!$D$105+Lookup_Lists!$D$106+Lookup_Lists!$D$107+Lookup_Lists!$D$108+Lookup_Lists!$D$109)),0)</f>
      </c>
      <c r="AQ52" s="44">
        <f>IF(Matching_Engine!$AP$52&gt;=Lookup_Lists!$D$152,"Excellent Match",IF(Matching_Engine!$AP$52&gt;=Lookup_Lists!$D$153,"Strong Match",IF(Matching_Engine!$AP$52&gt;=Lookup_Lists!$D$154,"Good Match",IF(Matching_Engine!$AP$52&gt;=Lookup_Lists!$D$155,"Moderate Match","Low Match"))))</f>
      </c>
      <c r="AR52" s="47">
        <f>KOL_Database!$BE$21</f>
      </c>
      <c r="AS52" s="44">
        <f>IF(Matching_Engine!$AR$52&gt;=Lookup_Lists!$D$159,"High",IF(Matching_Engine!$AR$52&gt;=Lookup_Lists!$D$160,"Medium","Limited Data"))</f>
      </c>
      <c r="AT52" s="47">
        <f>ROUND((Matching_Engine!$N$52+Matching_Engine!$X$52+Matching_Engine!$AC$52)/3,0)</f>
      </c>
      <c r="AU52" s="47">
        <f>ROUND(((100-Matching_Engine!$AL$52)*Lookup_Lists!$D$162+IF(KOL_Database!$BD$21="",Lookup_Lists!$D$150,KOL_Database!$BD$21)*Lookup_Lists!$D$163+Matching_Engine!$AI$52*Lookup_Lists!$D$164+Matching_Engine!$AD$52*Lookup_Lists!$D$165)/(Lookup_Lists!$D$162+Lookup_Lists!$D$163+Lookup_Lists!$D$164+Lookup_Lists!$D$165),0)</f>
      </c>
      <c r="AV52" s="44">
        <f>IF(Matching_Engine!$AW$52="","PASS","EXCLUDED")</f>
      </c>
      <c r="AW52" s="44">
        <f>IF(ISERROR(SEARCH(KOL_Database!$D$21,Brand_Profile!$E$32)),"Platform not in Preferred Platform",IF(AND(Brand_Profile!$E$36&gt;0,KOL_Database!$J$21&lt;Brand_Profile!$E$36),"Followers below Preferred Follower Range",IF(AND(Brand_Profile!$E$37&gt;0,KOL_Database!$J$21&gt;Brand_Profile!$E$37),"Followers above Preferred Follower Range",IF(AND(Brand_Profile!$E$38&gt;0,IF(KOL_Database!$K$21="",0,KOL_Database!$K$21)&lt;Brand_Profile!$E$38),"Engagement Rate below Minimum Engagement Rate",IF(ISERROR(SEARCH(KOL_Database!$G$21,Brand_Profile!$E$35)),"Tier not in Preferred Tier",IF(AND(Brand_Profile!$E$43&gt;0,Matching_Engine!$AE$52&lt;Brand_Profile!$E$43),"Audience Quality below Minimum Audience Quality",IF(AND(Brand_Profile!$E$44&gt;0,Matching_Engine!$AK$52&lt;Brand_Profile!$E$44),"Brand Safety below Minimum Brand Safety",IF(AND(Brand_Profile!$E$47="Yes",KOL_Database!$AD$21&lt;&gt;Brand_Profile!$E$19),"Audience Country does not match Target Country",IF(AND(Brand_Profile!$E$46="Yes",KOL_Database!$E$21&lt;&gt;Brand_Profile!$E$33),"Category is not the Preferred Category",IF(AND(Brand_Profile!$E$48&gt;0,Matching_Engine!$AL$52&gt;Brand_Profile!$E$48),"Competitor Saturation above Max Competitor Saturation",IF(AND(Brand_Profile!$E$50="Yes",KOL_Database!$AW$21="Yes"),"Already Selected",IF(AND(Brand_Profile!$E$51="Yes",KOL_Database!$AX$21="Yes"),"Already in Cart",IF(AND(Brand_Profile!$E$52="Yes",KOL_Database!$AY$21="Yes"),"Existing Partner",IF(AND(Brand_Profile!$E$53="Yes",KOL_Database!$AZ$21="Yes"),"Excluded Creator",IF(AND(Brand_Profile!$E$49&gt;0,Matching_Engine!$AP$52&lt;Brand_Profile!$E$49),"Brand Match below Minimum Brand Match","")))))))))))))))</f>
      </c>
      <c r="AX52" s="44">
        <f>IF(Matching_Engine!$AV$52="EXCLUDED","Excluded",IF(Matching_Engine!$AP$52&gt;=Lookup_Lists!$D$156,"Highly Recommended",IF(Matching_Engine!$AP$52&gt;=Lookup_Lists!$D$157,"Recommended",IF(Matching_Engine!$AP$52&gt;=Lookup_Lists!$D$158,"Consider","Low Priority"))))</f>
      </c>
      <c r="AY52" s="47">
        <f>IF(Matching_Engine!$AV$52="PASS",Matching_Engine!$AP$52,"")</f>
      </c>
      <c r="AZ52" s="44">
        <f>Matching_Engine!$A$52&amp;"|"&amp;Matching_Engine!$C$52</f>
      </c>
      <c r="BA52" s="44">
        <f>IFERROR(INDEX(Lookup_Lists!$B$51:$B$92,MATCH(Brand_Profile!$E$12,Lookup_Lists!$A$51:$A$92,0)),"")</f>
      </c>
      <c r="BB52" s="44">
        <f>IFERROR(INDEX(Lookup_Lists!$B$51:$B$92,MATCH(KOL_Database!$F$21,Lookup_Lists!$A$51:$A$92,0)),"")</f>
      </c>
      <c r="BC52" s="47">
        <f>IFERROR(INDEX(Lookup_Lists!$B$185:$O$198,MATCH(Matching_Engine!$BA$52,Lookup_Lists!$A$185:$A$198,0),MATCH(KOL_Database!$E$21,Lookup_Lists!$B$184:$O$184,0)),Lookup_Lists!$D$151)</f>
      </c>
      <c r="BD52" s="47">
        <f>IFERROR(INDEX(Lookup_Lists!$B$185:$O$198,MATCH(Brand_Profile!$E$33,Lookup_Lists!$A$185:$A$198,0),MATCH(KOL_Database!$E$21,Lookup_Lists!$B$184:$O$184,0)),Lookup_Lists!$D$151)</f>
      </c>
      <c r="BE52" s="44">
        <f>IFERROR(INDEX(Lookup_Lists!$B$51:$B$92,MATCH(Brand_Profile!$E$34,Lookup_Lists!$A$51:$A$92,0)),"")</f>
      </c>
      <c r="BF52" s="44">
        <f>KOL_Database!$AI$21&amp;", "&amp;KOL_Database!$AG$21&amp;", "&amp;KOL_Database!$F$21&amp;", "&amp;KOL_Database!$E$21</f>
      </c>
      <c r="BG52" s="44">
        <f>KOL_Database!$AI$21&amp;", "&amp;KOL_Database!$AG$21</f>
      </c>
    </row>
    <row r="53" spans="1:59" x14ac:dyDescent="0.25">
      <c r="A53" s="43" t="s">
        <v>76</v>
      </c>
      <c r="B53" s="44">
        <f>Brand_Profile!$E$9</f>
      </c>
      <c r="C53" s="44">
        <f>KOL_Database!$A$22</f>
      </c>
      <c r="D53" s="44">
        <f>KOL_Database!$B$22</f>
      </c>
      <c r="E53" s="44">
        <f>KOL_Database!$C$22</f>
      </c>
      <c r="F53" s="44">
        <f>KOL_Database!$D$22</f>
      </c>
      <c r="G53" s="44">
        <f>KOL_Database!$E$22</f>
      </c>
      <c r="H53" s="44">
        <f>KOL_Database!$G$22</f>
      </c>
      <c r="I53" s="45">
        <f>KOL_Database!$J$22</f>
      </c>
      <c r="J53" s="46">
        <f>KOL_Database!$K$22</f>
      </c>
      <c r="K53" s="47">
        <f>IFERROR(INDEX(Lookup_Lists!$B$170:$O$181,MATCH(Brand_Profile!$E$10,Lookup_Lists!$A$170:$A$181,0),MATCH(KOL_Database!$E$22,Lookup_Lists!$B$169:$O$169,0)),Lookup_Lists!$D$151)</f>
      </c>
      <c r="L53" s="47">
        <f>IF(KOL_Database!$F$22="",Matching_Engine!$BC$53,IF(Brand_Profile!$E$12=KOL_Database!$F$22,100,IF(Matching_Engine!$BA$53=KOL_Database!$E$22,80,IF(Matching_Engine!$BC$53&gt;=80,60,IF(Matching_Engine!$BC$53&gt;=60,40,Lookup_Lists!$D$151)))))</f>
      </c>
      <c r="M53" s="47">
        <f>ROUND((IF(Brand_Profile!$E$62=0,Lookup_Lists!$D$150,ROUND((IF(Brand_Profile!$E$57="",0,IF(ISNUMBER(SEARCH(Brand_Profile!$E$57,Matching_Engine!$BF$53)),1,0))+IF(Brand_Profile!$E$58="",0,IF(ISNUMBER(SEARCH(Brand_Profile!$E$58,Matching_Engine!$BF$53)),1,0))+IF(Brand_Profile!$E$59="",0,IF(ISNUMBER(SEARCH(Brand_Profile!$E$59,Matching_Engine!$BF$53)),1,0))+IF(Brand_Profile!$E$60="",0,IF(ISNUMBER(SEARCH(Brand_Profile!$E$60,Matching_Engine!$BF$53)),1,0))+IF(Brand_Profile!$E$61="",0,IF(ISNUMBER(SEARCH(Brand_Profile!$E$61,Matching_Engine!$BF$53)),1,0)))/Brand_Profile!$E$62*100,0))+IF(Brand_Profile!$E$74=0,Lookup_Lists!$D$150,ROUND((IF(Brand_Profile!$E$69="",0,IF(ISNUMBER(SEARCH(Brand_Profile!$E$69,Matching_Engine!$BF$53)),1,0))+IF(Brand_Profile!$E$70="",0,IF(ISNUMBER(SEARCH(Brand_Profile!$E$70,Matching_Engine!$BF$53)),1,0))+IF(Brand_Profile!$E$71="",0,IF(ISNUMBER(SEARCH(Brand_Profile!$E$71,Matching_Engine!$BF$53)),1,0))+IF(Brand_Profile!$E$72="",0,IF(ISNUMBER(SEARCH(Brand_Profile!$E$72,Matching_Engine!$BF$53)),1,0))+IF(Brand_Profile!$E$73="",0,IF(ISNUMBER(SEARCH(Brand_Profile!$E$73,Matching_Engine!$BF$53)),1,0)))/Brand_Profile!$E$74*100,0)))/2,0)</f>
      </c>
      <c r="N53" s="47">
        <f>ROUND((Matching_Engine!$K$53*Lookup_Lists!$D$110+Matching_Engine!$L$53*Lookup_Lists!$D$111+Matching_Engine!$M$53*Lookup_Lists!$D$112)/(Lookup_Lists!$D$110+Lookup_Lists!$D$111+Lookup_Lists!$D$112),0)</f>
      </c>
      <c r="O53" s="47">
        <f>IF(Brand_Profile!$E$16="",Lookup_Lists!$D$150,MIN(100,ROUND((IFERROR(INDEX(KOL_Database!$W$22:KOL_Database!$AA$22,1,MATCH(Brand_Profile!$E$16,Lookup_Lists!$F$6:$F$10,0)),0)+0.5*IFERROR(INDEX(KOL_Database!$W$22:KOL_Database!$AA$22,1,MATCH(Brand_Profile!$E$17,Lookup_Lists!$F$6:$F$10,0)),0))/Lookup_Lists!$D$142*100,0)))</f>
      </c>
      <c r="P53" s="47">
        <f>IF(OR(Brand_Profile!$E$18="",Brand_Profile!$E$18="Any"),100,IF(Brand_Profile!$E$18="Female",MIN(100,ROUND(KOL_Database!$AB$22/Lookup_Lists!$D$143*100,0)),IF(Brand_Profile!$E$18="Male",MIN(100,ROUND(KOL_Database!$AC$22/Lookup_Lists!$D$143*100,0)),MAX(0,ROUND(100-ABS(KOL_Database!$AB$22-50)*2,0)))))</f>
      </c>
      <c r="Q53" s="47">
        <f>ROUND((IF(Brand_Profile!$E$19="",100,IF(KOL_Database!$AD$22=Brand_Profile!$E$19,100,Lookup_Lists!$D$151))*Lookup_Lists!$D$118+IF(OR(Brand_Profile!$E$20="",Brand_Profile!$E$20="Nasional"),100,IF(KOL_Database!$AE$22="",Lookup_Lists!$D$150,IF(KOL_Database!$AE$22=Brand_Profile!$E$20,100,IF(KOL_Database!$AD$22=Brand_Profile!$E$19,40,Lookup_Lists!$D$151))))*Lookup_Lists!$D$119+IF(OR(Brand_Profile!$E$21="",Brand_Profile!$E$21="Nasional"),100,IF(KOL_Database!$AF$22="",Lookup_Lists!$D$150,IF(KOL_Database!$AF$22=Brand_Profile!$E$21,100,IF(KOL_Database!$AE$22=Brand_Profile!$E$20,60,Lookup_Lists!$D$151))))*Lookup_Lists!$D$120)/(Lookup_Lists!$D$118+Lookup_Lists!$D$119+Lookup_Lists!$D$120),0)</f>
      </c>
      <c r="R53" s="47">
        <f>IF(Brand_Profile!$E$68=0,Lookup_Lists!$D$150,ROUND((IF(Brand_Profile!$E$63="",0,IF(ISNUMBER(SEARCH(Brand_Profile!$E$63,KOL_Database!$AG$22)),1,0))+IF(Brand_Profile!$E$64="",0,IF(ISNUMBER(SEARCH(Brand_Profile!$E$64,KOL_Database!$AG$22)),1,0))+IF(Brand_Profile!$E$65="",0,IF(ISNUMBER(SEARCH(Brand_Profile!$E$65,KOL_Database!$AG$22)),1,0))+IF(Brand_Profile!$E$66="",0,IF(ISNUMBER(SEARCH(Brand_Profile!$E$66,KOL_Database!$AG$22)),1,0))+IF(Brand_Profile!$E$67="",0,IF(ISNUMBER(SEARCH(Brand_Profile!$E$67,KOL_Database!$AG$22)),1,0)))/Brand_Profile!$E$68*100,0))</f>
      </c>
      <c r="S53" s="47">
        <f>ROUND((Matching_Engine!$O$53*Brand_Profile!$E$96+Matching_Engine!$P$53*Brand_Profile!$E$97+Matching_Engine!$Q$53*Brand_Profile!$E$98+Matching_Engine!$R$53*Brand_Profile!$E$99)/MAX(1,Brand_Profile!$E$96+Brand_Profile!$E$97+Brand_Profile!$E$98+Brand_Profile!$E$99),0)</f>
      </c>
      <c r="T53" s="47">
        <f>IF(Brand_Profile!$E$33="",Lookup_Lists!$D$150,Matching_Engine!$BD$53)</f>
      </c>
      <c r="U53" s="47">
        <f>IF(Brand_Profile!$E$34="",Lookup_Lists!$D$150,IF(Brand_Profile!$E$34=KOL_Database!$F$22,100,IF(Matching_Engine!$BE$53=KOL_Database!$E$22,75,IF(Matching_Engine!$BD$53&gt;=80,Lookup_Lists!$D$150,IF(Matching_Engine!$BD$53&gt;=60,35,Lookup_Lists!$D$151)))))</f>
      </c>
      <c r="V53" s="47">
        <f>IF(Brand_Profile!$E$86=0,Lookup_Lists!$D$150,ROUND((IF(Brand_Profile!$E$81="",0,IF(ISNUMBER(SEARCH(Brand_Profile!$E$81,Matching_Engine!$BG$53)),1,0))+IF(Brand_Profile!$E$82="",0,IF(ISNUMBER(SEARCH(Brand_Profile!$E$82,Matching_Engine!$BG$53)),1,0))+IF(Brand_Profile!$E$83="",0,IF(ISNUMBER(SEARCH(Brand_Profile!$E$83,Matching_Engine!$BG$53)),1,0))+IF(Brand_Profile!$E$84="",0,IF(ISNUMBER(SEARCH(Brand_Profile!$E$84,Matching_Engine!$BG$53)),1,0))+IF(Brand_Profile!$E$85="",0,IF(ISNUMBER(SEARCH(Brand_Profile!$E$85,Matching_Engine!$BG$53)),1,0)))/Brand_Profile!$E$86*100,0))</f>
      </c>
      <c r="W53" s="47">
        <f>IF(Brand_Profile!$E$39="",Lookup_Lists!$D$150,IFERROR(INDEX(Lookup_Lists!$B$237:$K$246,MATCH(Brand_Profile!$E$39,Lookup_Lists!$A$237:$A$246,0),MATCH(KOL_Database!$AJ$22,Lookup_Lists!$B$236:$K$236,0)),45))</f>
      </c>
      <c r="X53" s="47">
        <f>ROUND((Matching_Engine!$T$53*Lookup_Lists!$D$121+Matching_Engine!$U$53*Lookup_Lists!$D$122+Matching_Engine!$V$53*Lookup_Lists!$D$123+Matching_Engine!$W$53*Lookup_Lists!$D$124)/(Lookup_Lists!$D$121+Lookup_Lists!$D$122+Lookup_Lists!$D$123+Lookup_Lists!$D$124),0)</f>
      </c>
      <c r="Y53" s="47">
        <f>MIN(100,MAX(IFERROR(INDEX(Lookup_Lists!$B$202:$M$211,MATCH(Brand_Profile!$E$25,Lookup_Lists!$A$202:$A$211,0),MATCH(KOL_Database!$AK$22,Lookup_Lists!$B$201:$M$201,0)),40),IF(KOL_Database!$AK$22=Brand_Profile!$E$41,95,0)))</f>
      </c>
      <c r="Z53" s="47">
        <f>IFERROR(INDEX(Lookup_Lists!$B$215:$K$222,MATCH(Brand_Profile!$E$27,Lookup_Lists!$A$215:$A$222,0),MATCH(KOL_Database!$AJ$22,Lookup_Lists!$B$214:$K$214,0)),45)</f>
      </c>
      <c r="AA53" s="47">
        <f>ROUND((IF(Brand_Profile!$E$80=0,Lookup_Lists!$D$150,ROUND((IF(Brand_Profile!$E$75="",0,IF(ISNUMBER(SEARCH(Brand_Profile!$E$75,KOL_Database!$AL$22)),1,0))+IF(Brand_Profile!$E$76="",0,IF(ISNUMBER(SEARCH(Brand_Profile!$E$76,KOL_Database!$AL$22)),1,0))+IF(Brand_Profile!$E$77="",0,IF(ISNUMBER(SEARCH(Brand_Profile!$E$77,KOL_Database!$AL$22)),1,0))+IF(Brand_Profile!$E$78="",0,IF(ISNUMBER(SEARCH(Brand_Profile!$E$78,KOL_Database!$AL$22)),1,0))+IF(Brand_Profile!$E$79="",0,IF(ISNUMBER(SEARCH(Brand_Profile!$E$79,KOL_Database!$AL$22)),1,0)))/Brand_Profile!$E$80*100,0))+IF(Brand_Profile!$E$92=0,Lookup_Lists!$D$150,ROUND((IF(Brand_Profile!$E$87="",0,IF(ISNUMBER(SEARCH(Brand_Profile!$E$87,KOL_Database!$AL$22)),1,0))+IF(Brand_Profile!$E$88="",0,IF(ISNUMBER(SEARCH(Brand_Profile!$E$88,KOL_Database!$AL$22)),1,0))+IF(Brand_Profile!$E$89="",0,IF(ISNUMBER(SEARCH(Brand_Profile!$E$89,KOL_Database!$AL$22)),1,0))+IF(Brand_Profile!$E$90="",0,IF(ISNUMBER(SEARCH(Brand_Profile!$E$90,KOL_Database!$AL$22)),1,0))+IF(Brand_Profile!$E$91="",0,IF(ISNUMBER(SEARCH(Brand_Profile!$E$91,KOL_Database!$AL$22)),1,0)))/Brand_Profile!$E$92*100,0)))/2,0)</f>
      </c>
      <c r="AB53" s="47">
        <f>IFERROR(INDEX(Lookup_Lists!$B$226:$K$233,MATCH(Brand_Profile!$E$30,Lookup_Lists!$A$226:$A$233,0),MATCH(KOL_Database!$AJ$22,Lookup_Lists!$B$225:$K$225,0)),45)</f>
      </c>
      <c r="AC53" s="47">
        <f>ROUND((Matching_Engine!$Y$53*Lookup_Lists!$D$125+Matching_Engine!$Z$53*Lookup_Lists!$D$126+Matching_Engine!$AA$53*Lookup_Lists!$D$127+Matching_Engine!$AB$53*Lookup_Lists!$D$128)/(Lookup_Lists!$D$125+Lookup_Lists!$D$126+Lookup_Lists!$D$127+Lookup_Lists!$D$128),0)</f>
      </c>
      <c r="AD53" s="47">
        <f>IF(KOL_Database!$K$22="",0,MIN(100,ROUND(KOL_Database!$K$22/Lookup_Lists!$D$141*100,0)))</f>
      </c>
      <c r="AE53" s="47">
        <f>IF(KOL_Database!$R$22="",0,MIN(100,MAX(0,KOL_Database!$R$22)))</f>
      </c>
      <c r="AF53" s="47">
        <f>IF(KOL_Database!$P$22="",0,MIN(100,MAX(0,KOL_Database!$P$22)))</f>
      </c>
      <c r="AG53" s="47">
        <f>IF(KOL_Database!$Q$22="",0,MIN(100,MAX(0,KOL_Database!$Q$22)))</f>
      </c>
      <c r="AH53" s="47">
        <f>IF(OR(KOL_Database!$J$22="",KOL_Database!$J$22=0,KOL_Database!$L$22=""),0,MIN(100,ROUND(KOL_Database!$L$22/KOL_Database!$J$22/Lookup_Lists!$D$144*100,0)))</f>
      </c>
      <c r="AI53" s="47">
        <f>IF(KOL_Database!$N$22="",0,MIN(100,MAX(0,ROUND((KOL_Database!$N$22+2)/(Lookup_Lists!$D$145+2)*100,0))))</f>
      </c>
      <c r="AJ53" s="47">
        <f>ROUND((Matching_Engine!$AD$53*Lookup_Lists!$D$129+Matching_Engine!$AE$53*Lookup_Lists!$D$130+Matching_Engine!$AF$53*Lookup_Lists!$D$131+Matching_Engine!$AG$53*Lookup_Lists!$D$132+Matching_Engine!$AH$53*Lookup_Lists!$D$133+Matching_Engine!$AI$53*Lookup_Lists!$D$134)/(Lookup_Lists!$D$129+Lookup_Lists!$D$130+Lookup_Lists!$D$131+Lookup_Lists!$D$132+Lookup_Lists!$D$133+Lookup_Lists!$D$134),0)</f>
      </c>
      <c r="AK53" s="47">
        <f>IF(KOL_Database!$AT$22="",0,MIN(100,MAX(0,KOL_Database!$AT$22)))</f>
      </c>
      <c r="AL53" s="47">
        <f>IF(KOL_Database!$AU$22="",0,KOL_Database!$AU$22)</f>
      </c>
      <c r="AM53" s="44">
        <f>IF(KOL_Database!$AV$22="","None",KOL_Database!$AV$22)</f>
      </c>
      <c r="AN53" s="48">
        <f>IF(Matching_Engine!$AM$53="High",Lookup_Lists!$D$137,IF(Matching_Engine!$AM$53="Medium",Lookup_Lists!$D$138,IF(Matching_Engine!$AM$53="Low",Lookup_Lists!$D$139,Lookup_Lists!$D$140)))</f>
      </c>
      <c r="AO53" s="47">
        <f>ROUND(MIN(100,MAX(0,(Matching_Engine!$AK$53*Lookup_Lists!$D$135+(100-Matching_Engine!$AL$53)*Lookup_Lists!$D$136)/(Lookup_Lists!$D$135+Lookup_Lists!$D$136)*Matching_Engine!$AN$53)),0)</f>
      </c>
      <c r="AP53" s="49">
        <f>ROUND((Matching_Engine!$N$53*Lookup_Lists!$D$104+Matching_Engine!$S$53*Lookup_Lists!$D$105+Matching_Engine!$X$53*Lookup_Lists!$D$106+Matching_Engine!$AC$53*Lookup_Lists!$D$107+Matching_Engine!$AJ$53*Lookup_Lists!$D$108+Matching_Engine!$AO$53*Lookup_Lists!$D$109)/MAX(1,(Lookup_Lists!$D$104+Lookup_Lists!$D$105+Lookup_Lists!$D$106+Lookup_Lists!$D$107+Lookup_Lists!$D$108+Lookup_Lists!$D$109)),0)</f>
      </c>
      <c r="AQ53" s="44">
        <f>IF(Matching_Engine!$AP$53&gt;=Lookup_Lists!$D$152,"Excellent Match",IF(Matching_Engine!$AP$53&gt;=Lookup_Lists!$D$153,"Strong Match",IF(Matching_Engine!$AP$53&gt;=Lookup_Lists!$D$154,"Good Match",IF(Matching_Engine!$AP$53&gt;=Lookup_Lists!$D$155,"Moderate Match","Low Match"))))</f>
      </c>
      <c r="AR53" s="47">
        <f>KOL_Database!$BE$22</f>
      </c>
      <c r="AS53" s="44">
        <f>IF(Matching_Engine!$AR$53&gt;=Lookup_Lists!$D$159,"High",IF(Matching_Engine!$AR$53&gt;=Lookup_Lists!$D$160,"Medium","Limited Data"))</f>
      </c>
      <c r="AT53" s="47">
        <f>ROUND((Matching_Engine!$N$53+Matching_Engine!$X$53+Matching_Engine!$AC$53)/3,0)</f>
      </c>
      <c r="AU53" s="47">
        <f>ROUND(((100-Matching_Engine!$AL$53)*Lookup_Lists!$D$162+IF(KOL_Database!$BD$22="",Lookup_Lists!$D$150,KOL_Database!$BD$22)*Lookup_Lists!$D$163+Matching_Engine!$AI$53*Lookup_Lists!$D$164+Matching_Engine!$AD$53*Lookup_Lists!$D$165)/(Lookup_Lists!$D$162+Lookup_Lists!$D$163+Lookup_Lists!$D$164+Lookup_Lists!$D$165),0)</f>
      </c>
      <c r="AV53" s="44">
        <f>IF(Matching_Engine!$AW$53="","PASS","EXCLUDED")</f>
      </c>
      <c r="AW53" s="44">
        <f>IF(ISERROR(SEARCH(KOL_Database!$D$22,Brand_Profile!$E$32)),"Platform not in Preferred Platform",IF(AND(Brand_Profile!$E$36&gt;0,KOL_Database!$J$22&lt;Brand_Profile!$E$36),"Followers below Preferred Follower Range",IF(AND(Brand_Profile!$E$37&gt;0,KOL_Database!$J$22&gt;Brand_Profile!$E$37),"Followers above Preferred Follower Range",IF(AND(Brand_Profile!$E$38&gt;0,IF(KOL_Database!$K$22="",0,KOL_Database!$K$22)&lt;Brand_Profile!$E$38),"Engagement Rate below Minimum Engagement Rate",IF(ISERROR(SEARCH(KOL_Database!$G$22,Brand_Profile!$E$35)),"Tier not in Preferred Tier",IF(AND(Brand_Profile!$E$43&gt;0,Matching_Engine!$AE$53&lt;Brand_Profile!$E$43),"Audience Quality below Minimum Audience Quality",IF(AND(Brand_Profile!$E$44&gt;0,Matching_Engine!$AK$53&lt;Brand_Profile!$E$44),"Brand Safety below Minimum Brand Safety",IF(AND(Brand_Profile!$E$47="Yes",KOL_Database!$AD$22&lt;&gt;Brand_Profile!$E$19),"Audience Country does not match Target Country",IF(AND(Brand_Profile!$E$46="Yes",KOL_Database!$E$22&lt;&gt;Brand_Profile!$E$33),"Category is not the Preferred Category",IF(AND(Brand_Profile!$E$48&gt;0,Matching_Engine!$AL$53&gt;Brand_Profile!$E$48),"Competitor Saturation above Max Competitor Saturation",IF(AND(Brand_Profile!$E$50="Yes",KOL_Database!$AW$22="Yes"),"Already Selected",IF(AND(Brand_Profile!$E$51="Yes",KOL_Database!$AX$22="Yes"),"Already in Cart",IF(AND(Brand_Profile!$E$52="Yes",KOL_Database!$AY$22="Yes"),"Existing Partner",IF(AND(Brand_Profile!$E$53="Yes",KOL_Database!$AZ$22="Yes"),"Excluded Creator",IF(AND(Brand_Profile!$E$49&gt;0,Matching_Engine!$AP$53&lt;Brand_Profile!$E$49),"Brand Match below Minimum Brand Match","")))))))))))))))</f>
      </c>
      <c r="AX53" s="44">
        <f>IF(Matching_Engine!$AV$53="EXCLUDED","Excluded",IF(Matching_Engine!$AP$53&gt;=Lookup_Lists!$D$156,"Highly Recommended",IF(Matching_Engine!$AP$53&gt;=Lookup_Lists!$D$157,"Recommended",IF(Matching_Engine!$AP$53&gt;=Lookup_Lists!$D$158,"Consider","Low Priority"))))</f>
      </c>
      <c r="AY53" s="47">
        <f>IF(Matching_Engine!$AV$53="PASS",Matching_Engine!$AP$53,"")</f>
      </c>
      <c r="AZ53" s="44">
        <f>Matching_Engine!$A$53&amp;"|"&amp;Matching_Engine!$C$53</f>
      </c>
      <c r="BA53" s="44">
        <f>IFERROR(INDEX(Lookup_Lists!$B$51:$B$92,MATCH(Brand_Profile!$E$12,Lookup_Lists!$A$51:$A$92,0)),"")</f>
      </c>
      <c r="BB53" s="44">
        <f>IFERROR(INDEX(Lookup_Lists!$B$51:$B$92,MATCH(KOL_Database!$F$22,Lookup_Lists!$A$51:$A$92,0)),"")</f>
      </c>
      <c r="BC53" s="47">
        <f>IFERROR(INDEX(Lookup_Lists!$B$185:$O$198,MATCH(Matching_Engine!$BA$53,Lookup_Lists!$A$185:$A$198,0),MATCH(KOL_Database!$E$22,Lookup_Lists!$B$184:$O$184,0)),Lookup_Lists!$D$151)</f>
      </c>
      <c r="BD53" s="47">
        <f>IFERROR(INDEX(Lookup_Lists!$B$185:$O$198,MATCH(Brand_Profile!$E$33,Lookup_Lists!$A$185:$A$198,0),MATCH(KOL_Database!$E$22,Lookup_Lists!$B$184:$O$184,0)),Lookup_Lists!$D$151)</f>
      </c>
      <c r="BE53" s="44">
        <f>IFERROR(INDEX(Lookup_Lists!$B$51:$B$92,MATCH(Brand_Profile!$E$34,Lookup_Lists!$A$51:$A$92,0)),"")</f>
      </c>
      <c r="BF53" s="44">
        <f>KOL_Database!$AI$22&amp;", "&amp;KOL_Database!$AG$22&amp;", "&amp;KOL_Database!$F$22&amp;", "&amp;KOL_Database!$E$22</f>
      </c>
      <c r="BG53" s="44">
        <f>KOL_Database!$AI$22&amp;", "&amp;KOL_Database!$AG$22</f>
      </c>
    </row>
    <row r="54" spans="1:59" x14ac:dyDescent="0.25">
      <c r="A54" s="43" t="s">
        <v>76</v>
      </c>
      <c r="B54" s="44">
        <f>Brand_Profile!$E$9</f>
      </c>
      <c r="C54" s="44">
        <f>KOL_Database!$A$23</f>
      </c>
      <c r="D54" s="44">
        <f>KOL_Database!$B$23</f>
      </c>
      <c r="E54" s="44">
        <f>KOL_Database!$C$23</f>
      </c>
      <c r="F54" s="44">
        <f>KOL_Database!$D$23</f>
      </c>
      <c r="G54" s="44">
        <f>KOL_Database!$E$23</f>
      </c>
      <c r="H54" s="44">
        <f>KOL_Database!$G$23</f>
      </c>
      <c r="I54" s="45">
        <f>KOL_Database!$J$23</f>
      </c>
      <c r="J54" s="46">
        <f>KOL_Database!$K$23</f>
      </c>
      <c r="K54" s="47">
        <f>IFERROR(INDEX(Lookup_Lists!$B$170:$O$181,MATCH(Brand_Profile!$E$10,Lookup_Lists!$A$170:$A$181,0),MATCH(KOL_Database!$E$23,Lookup_Lists!$B$169:$O$169,0)),Lookup_Lists!$D$151)</f>
      </c>
      <c r="L54" s="47">
        <f>IF(KOL_Database!$F$23="",Matching_Engine!$BC$54,IF(Brand_Profile!$E$12=KOL_Database!$F$23,100,IF(Matching_Engine!$BA$54=KOL_Database!$E$23,80,IF(Matching_Engine!$BC$54&gt;=80,60,IF(Matching_Engine!$BC$54&gt;=60,40,Lookup_Lists!$D$151)))))</f>
      </c>
      <c r="M54" s="47">
        <f>ROUND((IF(Brand_Profile!$E$62=0,Lookup_Lists!$D$150,ROUND((IF(Brand_Profile!$E$57="",0,IF(ISNUMBER(SEARCH(Brand_Profile!$E$57,Matching_Engine!$BF$54)),1,0))+IF(Brand_Profile!$E$58="",0,IF(ISNUMBER(SEARCH(Brand_Profile!$E$58,Matching_Engine!$BF$54)),1,0))+IF(Brand_Profile!$E$59="",0,IF(ISNUMBER(SEARCH(Brand_Profile!$E$59,Matching_Engine!$BF$54)),1,0))+IF(Brand_Profile!$E$60="",0,IF(ISNUMBER(SEARCH(Brand_Profile!$E$60,Matching_Engine!$BF$54)),1,0))+IF(Brand_Profile!$E$61="",0,IF(ISNUMBER(SEARCH(Brand_Profile!$E$61,Matching_Engine!$BF$54)),1,0)))/Brand_Profile!$E$62*100,0))+IF(Brand_Profile!$E$74=0,Lookup_Lists!$D$150,ROUND((IF(Brand_Profile!$E$69="",0,IF(ISNUMBER(SEARCH(Brand_Profile!$E$69,Matching_Engine!$BF$54)),1,0))+IF(Brand_Profile!$E$70="",0,IF(ISNUMBER(SEARCH(Brand_Profile!$E$70,Matching_Engine!$BF$54)),1,0))+IF(Brand_Profile!$E$71="",0,IF(ISNUMBER(SEARCH(Brand_Profile!$E$71,Matching_Engine!$BF$54)),1,0))+IF(Brand_Profile!$E$72="",0,IF(ISNUMBER(SEARCH(Brand_Profile!$E$72,Matching_Engine!$BF$54)),1,0))+IF(Brand_Profile!$E$73="",0,IF(ISNUMBER(SEARCH(Brand_Profile!$E$73,Matching_Engine!$BF$54)),1,0)))/Brand_Profile!$E$74*100,0)))/2,0)</f>
      </c>
      <c r="N54" s="47">
        <f>ROUND((Matching_Engine!$K$54*Lookup_Lists!$D$110+Matching_Engine!$L$54*Lookup_Lists!$D$111+Matching_Engine!$M$54*Lookup_Lists!$D$112)/(Lookup_Lists!$D$110+Lookup_Lists!$D$111+Lookup_Lists!$D$112),0)</f>
      </c>
      <c r="O54" s="47">
        <f>IF(Brand_Profile!$E$16="",Lookup_Lists!$D$150,MIN(100,ROUND((IFERROR(INDEX(KOL_Database!$W$23:KOL_Database!$AA$23,1,MATCH(Brand_Profile!$E$16,Lookup_Lists!$F$6:$F$10,0)),0)+0.5*IFERROR(INDEX(KOL_Database!$W$23:KOL_Database!$AA$23,1,MATCH(Brand_Profile!$E$17,Lookup_Lists!$F$6:$F$10,0)),0))/Lookup_Lists!$D$142*100,0)))</f>
      </c>
      <c r="P54" s="47">
        <f>IF(OR(Brand_Profile!$E$18="",Brand_Profile!$E$18="Any"),100,IF(Brand_Profile!$E$18="Female",MIN(100,ROUND(KOL_Database!$AB$23/Lookup_Lists!$D$143*100,0)),IF(Brand_Profile!$E$18="Male",MIN(100,ROUND(KOL_Database!$AC$23/Lookup_Lists!$D$143*100,0)),MAX(0,ROUND(100-ABS(KOL_Database!$AB$23-50)*2,0)))))</f>
      </c>
      <c r="Q54" s="47">
        <f>ROUND((IF(Brand_Profile!$E$19="",100,IF(KOL_Database!$AD$23=Brand_Profile!$E$19,100,Lookup_Lists!$D$151))*Lookup_Lists!$D$118+IF(OR(Brand_Profile!$E$20="",Brand_Profile!$E$20="Nasional"),100,IF(KOL_Database!$AE$23="",Lookup_Lists!$D$150,IF(KOL_Database!$AE$23=Brand_Profile!$E$20,100,IF(KOL_Database!$AD$23=Brand_Profile!$E$19,40,Lookup_Lists!$D$151))))*Lookup_Lists!$D$119+IF(OR(Brand_Profile!$E$21="",Brand_Profile!$E$21="Nasional"),100,IF(KOL_Database!$AF$23="",Lookup_Lists!$D$150,IF(KOL_Database!$AF$23=Brand_Profile!$E$21,100,IF(KOL_Database!$AE$23=Brand_Profile!$E$20,60,Lookup_Lists!$D$151))))*Lookup_Lists!$D$120)/(Lookup_Lists!$D$118+Lookup_Lists!$D$119+Lookup_Lists!$D$120),0)</f>
      </c>
      <c r="R54" s="47">
        <f>IF(Brand_Profile!$E$68=0,Lookup_Lists!$D$150,ROUND((IF(Brand_Profile!$E$63="",0,IF(ISNUMBER(SEARCH(Brand_Profile!$E$63,KOL_Database!$AG$23)),1,0))+IF(Brand_Profile!$E$64="",0,IF(ISNUMBER(SEARCH(Brand_Profile!$E$64,KOL_Database!$AG$23)),1,0))+IF(Brand_Profile!$E$65="",0,IF(ISNUMBER(SEARCH(Brand_Profile!$E$65,KOL_Database!$AG$23)),1,0))+IF(Brand_Profile!$E$66="",0,IF(ISNUMBER(SEARCH(Brand_Profile!$E$66,KOL_Database!$AG$23)),1,0))+IF(Brand_Profile!$E$67="",0,IF(ISNUMBER(SEARCH(Brand_Profile!$E$67,KOL_Database!$AG$23)),1,0)))/Brand_Profile!$E$68*100,0))</f>
      </c>
      <c r="S54" s="47">
        <f>ROUND((Matching_Engine!$O$54*Brand_Profile!$E$96+Matching_Engine!$P$54*Brand_Profile!$E$97+Matching_Engine!$Q$54*Brand_Profile!$E$98+Matching_Engine!$R$54*Brand_Profile!$E$99)/MAX(1,Brand_Profile!$E$96+Brand_Profile!$E$97+Brand_Profile!$E$98+Brand_Profile!$E$99),0)</f>
      </c>
      <c r="T54" s="47">
        <f>IF(Brand_Profile!$E$33="",Lookup_Lists!$D$150,Matching_Engine!$BD$54)</f>
      </c>
      <c r="U54" s="47">
        <f>IF(Brand_Profile!$E$34="",Lookup_Lists!$D$150,IF(Brand_Profile!$E$34=KOL_Database!$F$23,100,IF(Matching_Engine!$BE$54=KOL_Database!$E$23,75,IF(Matching_Engine!$BD$54&gt;=80,Lookup_Lists!$D$150,IF(Matching_Engine!$BD$54&gt;=60,35,Lookup_Lists!$D$151)))))</f>
      </c>
      <c r="V54" s="47">
        <f>IF(Brand_Profile!$E$86=0,Lookup_Lists!$D$150,ROUND((IF(Brand_Profile!$E$81="",0,IF(ISNUMBER(SEARCH(Brand_Profile!$E$81,Matching_Engine!$BG$54)),1,0))+IF(Brand_Profile!$E$82="",0,IF(ISNUMBER(SEARCH(Brand_Profile!$E$82,Matching_Engine!$BG$54)),1,0))+IF(Brand_Profile!$E$83="",0,IF(ISNUMBER(SEARCH(Brand_Profile!$E$83,Matching_Engine!$BG$54)),1,0))+IF(Brand_Profile!$E$84="",0,IF(ISNUMBER(SEARCH(Brand_Profile!$E$84,Matching_Engine!$BG$54)),1,0))+IF(Brand_Profile!$E$85="",0,IF(ISNUMBER(SEARCH(Brand_Profile!$E$85,Matching_Engine!$BG$54)),1,0)))/Brand_Profile!$E$86*100,0))</f>
      </c>
      <c r="W54" s="47">
        <f>IF(Brand_Profile!$E$39="",Lookup_Lists!$D$150,IFERROR(INDEX(Lookup_Lists!$B$237:$K$246,MATCH(Brand_Profile!$E$39,Lookup_Lists!$A$237:$A$246,0),MATCH(KOL_Database!$AJ$23,Lookup_Lists!$B$236:$K$236,0)),45))</f>
      </c>
      <c r="X54" s="47">
        <f>ROUND((Matching_Engine!$T$54*Lookup_Lists!$D$121+Matching_Engine!$U$54*Lookup_Lists!$D$122+Matching_Engine!$V$54*Lookup_Lists!$D$123+Matching_Engine!$W$54*Lookup_Lists!$D$124)/(Lookup_Lists!$D$121+Lookup_Lists!$D$122+Lookup_Lists!$D$123+Lookup_Lists!$D$124),0)</f>
      </c>
      <c r="Y54" s="47">
        <f>MIN(100,MAX(IFERROR(INDEX(Lookup_Lists!$B$202:$M$211,MATCH(Brand_Profile!$E$25,Lookup_Lists!$A$202:$A$211,0),MATCH(KOL_Database!$AK$23,Lookup_Lists!$B$201:$M$201,0)),40),IF(KOL_Database!$AK$23=Brand_Profile!$E$41,95,0)))</f>
      </c>
      <c r="Z54" s="47">
        <f>IFERROR(INDEX(Lookup_Lists!$B$215:$K$222,MATCH(Brand_Profile!$E$27,Lookup_Lists!$A$215:$A$222,0),MATCH(KOL_Database!$AJ$23,Lookup_Lists!$B$214:$K$214,0)),45)</f>
      </c>
      <c r="AA54" s="47">
        <f>ROUND((IF(Brand_Profile!$E$80=0,Lookup_Lists!$D$150,ROUND((IF(Brand_Profile!$E$75="",0,IF(ISNUMBER(SEARCH(Brand_Profile!$E$75,KOL_Database!$AL$23)),1,0))+IF(Brand_Profile!$E$76="",0,IF(ISNUMBER(SEARCH(Brand_Profile!$E$76,KOL_Database!$AL$23)),1,0))+IF(Brand_Profile!$E$77="",0,IF(ISNUMBER(SEARCH(Brand_Profile!$E$77,KOL_Database!$AL$23)),1,0))+IF(Brand_Profile!$E$78="",0,IF(ISNUMBER(SEARCH(Brand_Profile!$E$78,KOL_Database!$AL$23)),1,0))+IF(Brand_Profile!$E$79="",0,IF(ISNUMBER(SEARCH(Brand_Profile!$E$79,KOL_Database!$AL$23)),1,0)))/Brand_Profile!$E$80*100,0))+IF(Brand_Profile!$E$92=0,Lookup_Lists!$D$150,ROUND((IF(Brand_Profile!$E$87="",0,IF(ISNUMBER(SEARCH(Brand_Profile!$E$87,KOL_Database!$AL$23)),1,0))+IF(Brand_Profile!$E$88="",0,IF(ISNUMBER(SEARCH(Brand_Profile!$E$88,KOL_Database!$AL$23)),1,0))+IF(Brand_Profile!$E$89="",0,IF(ISNUMBER(SEARCH(Brand_Profile!$E$89,KOL_Database!$AL$23)),1,0))+IF(Brand_Profile!$E$90="",0,IF(ISNUMBER(SEARCH(Brand_Profile!$E$90,KOL_Database!$AL$23)),1,0))+IF(Brand_Profile!$E$91="",0,IF(ISNUMBER(SEARCH(Brand_Profile!$E$91,KOL_Database!$AL$23)),1,0)))/Brand_Profile!$E$92*100,0)))/2,0)</f>
      </c>
      <c r="AB54" s="47">
        <f>IFERROR(INDEX(Lookup_Lists!$B$226:$K$233,MATCH(Brand_Profile!$E$30,Lookup_Lists!$A$226:$A$233,0),MATCH(KOL_Database!$AJ$23,Lookup_Lists!$B$225:$K$225,0)),45)</f>
      </c>
      <c r="AC54" s="47">
        <f>ROUND((Matching_Engine!$Y$54*Lookup_Lists!$D$125+Matching_Engine!$Z$54*Lookup_Lists!$D$126+Matching_Engine!$AA$54*Lookup_Lists!$D$127+Matching_Engine!$AB$54*Lookup_Lists!$D$128)/(Lookup_Lists!$D$125+Lookup_Lists!$D$126+Lookup_Lists!$D$127+Lookup_Lists!$D$128),0)</f>
      </c>
      <c r="AD54" s="47">
        <f>IF(KOL_Database!$K$23="",0,MIN(100,ROUND(KOL_Database!$K$23/Lookup_Lists!$D$141*100,0)))</f>
      </c>
      <c r="AE54" s="47">
        <f>IF(KOL_Database!$R$23="",0,MIN(100,MAX(0,KOL_Database!$R$23)))</f>
      </c>
      <c r="AF54" s="47">
        <f>IF(KOL_Database!$P$23="",0,MIN(100,MAX(0,KOL_Database!$P$23)))</f>
      </c>
      <c r="AG54" s="47">
        <f>IF(KOL_Database!$Q$23="",0,MIN(100,MAX(0,KOL_Database!$Q$23)))</f>
      </c>
      <c r="AH54" s="47">
        <f>IF(OR(KOL_Database!$J$23="",KOL_Database!$J$23=0,KOL_Database!$L$23=""),0,MIN(100,ROUND(KOL_Database!$L$23/KOL_Database!$J$23/Lookup_Lists!$D$144*100,0)))</f>
      </c>
      <c r="AI54" s="47">
        <f>IF(KOL_Database!$N$23="",0,MIN(100,MAX(0,ROUND((KOL_Database!$N$23+2)/(Lookup_Lists!$D$145+2)*100,0))))</f>
      </c>
      <c r="AJ54" s="47">
        <f>ROUND((Matching_Engine!$AD$54*Lookup_Lists!$D$129+Matching_Engine!$AE$54*Lookup_Lists!$D$130+Matching_Engine!$AF$54*Lookup_Lists!$D$131+Matching_Engine!$AG$54*Lookup_Lists!$D$132+Matching_Engine!$AH$54*Lookup_Lists!$D$133+Matching_Engine!$AI$54*Lookup_Lists!$D$134)/(Lookup_Lists!$D$129+Lookup_Lists!$D$130+Lookup_Lists!$D$131+Lookup_Lists!$D$132+Lookup_Lists!$D$133+Lookup_Lists!$D$134),0)</f>
      </c>
      <c r="AK54" s="47">
        <f>IF(KOL_Database!$AT$23="",0,MIN(100,MAX(0,KOL_Database!$AT$23)))</f>
      </c>
      <c r="AL54" s="47">
        <f>IF(KOL_Database!$AU$23="",0,KOL_Database!$AU$23)</f>
      </c>
      <c r="AM54" s="44">
        <f>IF(KOL_Database!$AV$23="","None",KOL_Database!$AV$23)</f>
      </c>
      <c r="AN54" s="48">
        <f>IF(Matching_Engine!$AM$54="High",Lookup_Lists!$D$137,IF(Matching_Engine!$AM$54="Medium",Lookup_Lists!$D$138,IF(Matching_Engine!$AM$54="Low",Lookup_Lists!$D$139,Lookup_Lists!$D$140)))</f>
      </c>
      <c r="AO54" s="47">
        <f>ROUND(MIN(100,MAX(0,(Matching_Engine!$AK$54*Lookup_Lists!$D$135+(100-Matching_Engine!$AL$54)*Lookup_Lists!$D$136)/(Lookup_Lists!$D$135+Lookup_Lists!$D$136)*Matching_Engine!$AN$54)),0)</f>
      </c>
      <c r="AP54" s="49">
        <f>ROUND((Matching_Engine!$N$54*Lookup_Lists!$D$104+Matching_Engine!$S$54*Lookup_Lists!$D$105+Matching_Engine!$X$54*Lookup_Lists!$D$106+Matching_Engine!$AC$54*Lookup_Lists!$D$107+Matching_Engine!$AJ$54*Lookup_Lists!$D$108+Matching_Engine!$AO$54*Lookup_Lists!$D$109)/MAX(1,(Lookup_Lists!$D$104+Lookup_Lists!$D$105+Lookup_Lists!$D$106+Lookup_Lists!$D$107+Lookup_Lists!$D$108+Lookup_Lists!$D$109)),0)</f>
      </c>
      <c r="AQ54" s="44">
        <f>IF(Matching_Engine!$AP$54&gt;=Lookup_Lists!$D$152,"Excellent Match",IF(Matching_Engine!$AP$54&gt;=Lookup_Lists!$D$153,"Strong Match",IF(Matching_Engine!$AP$54&gt;=Lookup_Lists!$D$154,"Good Match",IF(Matching_Engine!$AP$54&gt;=Lookup_Lists!$D$155,"Moderate Match","Low Match"))))</f>
      </c>
      <c r="AR54" s="47">
        <f>KOL_Database!$BE$23</f>
      </c>
      <c r="AS54" s="44">
        <f>IF(Matching_Engine!$AR$54&gt;=Lookup_Lists!$D$159,"High",IF(Matching_Engine!$AR$54&gt;=Lookup_Lists!$D$160,"Medium","Limited Data"))</f>
      </c>
      <c r="AT54" s="47">
        <f>ROUND((Matching_Engine!$N$54+Matching_Engine!$X$54+Matching_Engine!$AC$54)/3,0)</f>
      </c>
      <c r="AU54" s="47">
        <f>ROUND(((100-Matching_Engine!$AL$54)*Lookup_Lists!$D$162+IF(KOL_Database!$BD$23="",Lookup_Lists!$D$150,KOL_Database!$BD$23)*Lookup_Lists!$D$163+Matching_Engine!$AI$54*Lookup_Lists!$D$164+Matching_Engine!$AD$54*Lookup_Lists!$D$165)/(Lookup_Lists!$D$162+Lookup_Lists!$D$163+Lookup_Lists!$D$164+Lookup_Lists!$D$165),0)</f>
      </c>
      <c r="AV54" s="44">
        <f>IF(Matching_Engine!$AW$54="","PASS","EXCLUDED")</f>
      </c>
      <c r="AW54" s="44">
        <f>IF(ISERROR(SEARCH(KOL_Database!$D$23,Brand_Profile!$E$32)),"Platform not in Preferred Platform",IF(AND(Brand_Profile!$E$36&gt;0,KOL_Database!$J$23&lt;Brand_Profile!$E$36),"Followers below Preferred Follower Range",IF(AND(Brand_Profile!$E$37&gt;0,KOL_Database!$J$23&gt;Brand_Profile!$E$37),"Followers above Preferred Follower Range",IF(AND(Brand_Profile!$E$38&gt;0,IF(KOL_Database!$K$23="",0,KOL_Database!$K$23)&lt;Brand_Profile!$E$38),"Engagement Rate below Minimum Engagement Rate",IF(ISERROR(SEARCH(KOL_Database!$G$23,Brand_Profile!$E$35)),"Tier not in Preferred Tier",IF(AND(Brand_Profile!$E$43&gt;0,Matching_Engine!$AE$54&lt;Brand_Profile!$E$43),"Audience Quality below Minimum Audience Quality",IF(AND(Brand_Profile!$E$44&gt;0,Matching_Engine!$AK$54&lt;Brand_Profile!$E$44),"Brand Safety below Minimum Brand Safety",IF(AND(Brand_Profile!$E$47="Yes",KOL_Database!$AD$23&lt;&gt;Brand_Profile!$E$19),"Audience Country does not match Target Country",IF(AND(Brand_Profile!$E$46="Yes",KOL_Database!$E$23&lt;&gt;Brand_Profile!$E$33),"Category is not the Preferred Category",IF(AND(Brand_Profile!$E$48&gt;0,Matching_Engine!$AL$54&gt;Brand_Profile!$E$48),"Competitor Saturation above Max Competitor Saturation",IF(AND(Brand_Profile!$E$50="Yes",KOL_Database!$AW$23="Yes"),"Already Selected",IF(AND(Brand_Profile!$E$51="Yes",KOL_Database!$AX$23="Yes"),"Already in Cart",IF(AND(Brand_Profile!$E$52="Yes",KOL_Database!$AY$23="Yes"),"Existing Partner",IF(AND(Brand_Profile!$E$53="Yes",KOL_Database!$AZ$23="Yes"),"Excluded Creator",IF(AND(Brand_Profile!$E$49&gt;0,Matching_Engine!$AP$54&lt;Brand_Profile!$E$49),"Brand Match below Minimum Brand Match","")))))))))))))))</f>
      </c>
      <c r="AX54" s="44">
        <f>IF(Matching_Engine!$AV$54="EXCLUDED","Excluded",IF(Matching_Engine!$AP$54&gt;=Lookup_Lists!$D$156,"Highly Recommended",IF(Matching_Engine!$AP$54&gt;=Lookup_Lists!$D$157,"Recommended",IF(Matching_Engine!$AP$54&gt;=Lookup_Lists!$D$158,"Consider","Low Priority"))))</f>
      </c>
      <c r="AY54" s="47">
        <f>IF(Matching_Engine!$AV$54="PASS",Matching_Engine!$AP$54,"")</f>
      </c>
      <c r="AZ54" s="44">
        <f>Matching_Engine!$A$54&amp;"|"&amp;Matching_Engine!$C$54</f>
      </c>
      <c r="BA54" s="44">
        <f>IFERROR(INDEX(Lookup_Lists!$B$51:$B$92,MATCH(Brand_Profile!$E$12,Lookup_Lists!$A$51:$A$92,0)),"")</f>
      </c>
      <c r="BB54" s="44">
        <f>IFERROR(INDEX(Lookup_Lists!$B$51:$B$92,MATCH(KOL_Database!$F$23,Lookup_Lists!$A$51:$A$92,0)),"")</f>
      </c>
      <c r="BC54" s="47">
        <f>IFERROR(INDEX(Lookup_Lists!$B$185:$O$198,MATCH(Matching_Engine!$BA$54,Lookup_Lists!$A$185:$A$198,0),MATCH(KOL_Database!$E$23,Lookup_Lists!$B$184:$O$184,0)),Lookup_Lists!$D$151)</f>
      </c>
      <c r="BD54" s="47">
        <f>IFERROR(INDEX(Lookup_Lists!$B$185:$O$198,MATCH(Brand_Profile!$E$33,Lookup_Lists!$A$185:$A$198,0),MATCH(KOL_Database!$E$23,Lookup_Lists!$B$184:$O$184,0)),Lookup_Lists!$D$151)</f>
      </c>
      <c r="BE54" s="44">
        <f>IFERROR(INDEX(Lookup_Lists!$B$51:$B$92,MATCH(Brand_Profile!$E$34,Lookup_Lists!$A$51:$A$92,0)),"")</f>
      </c>
      <c r="BF54" s="44">
        <f>KOL_Database!$AI$23&amp;", "&amp;KOL_Database!$AG$23&amp;", "&amp;KOL_Database!$F$23&amp;", "&amp;KOL_Database!$E$23</f>
      </c>
      <c r="BG54" s="44">
        <f>KOL_Database!$AI$23&amp;", "&amp;KOL_Database!$AG$23</f>
      </c>
    </row>
    <row r="55" spans="1:59" x14ac:dyDescent="0.25">
      <c r="A55" s="43" t="s">
        <v>76</v>
      </c>
      <c r="B55" s="44">
        <f>Brand_Profile!$E$9</f>
      </c>
      <c r="C55" s="44">
        <f>KOL_Database!$A$24</f>
      </c>
      <c r="D55" s="44">
        <f>KOL_Database!$B$24</f>
      </c>
      <c r="E55" s="44">
        <f>KOL_Database!$C$24</f>
      </c>
      <c r="F55" s="44">
        <f>KOL_Database!$D$24</f>
      </c>
      <c r="G55" s="44">
        <f>KOL_Database!$E$24</f>
      </c>
      <c r="H55" s="44">
        <f>KOL_Database!$G$24</f>
      </c>
      <c r="I55" s="45">
        <f>KOL_Database!$J$24</f>
      </c>
      <c r="J55" s="46">
        <f>KOL_Database!$K$24</f>
      </c>
      <c r="K55" s="47">
        <f>IFERROR(INDEX(Lookup_Lists!$B$170:$O$181,MATCH(Brand_Profile!$E$10,Lookup_Lists!$A$170:$A$181,0),MATCH(KOL_Database!$E$24,Lookup_Lists!$B$169:$O$169,0)),Lookup_Lists!$D$151)</f>
      </c>
      <c r="L55" s="47">
        <f>IF(KOL_Database!$F$24="",Matching_Engine!$BC$55,IF(Brand_Profile!$E$12=KOL_Database!$F$24,100,IF(Matching_Engine!$BA$55=KOL_Database!$E$24,80,IF(Matching_Engine!$BC$55&gt;=80,60,IF(Matching_Engine!$BC$55&gt;=60,40,Lookup_Lists!$D$151)))))</f>
      </c>
      <c r="M55" s="47">
        <f>ROUND((IF(Brand_Profile!$E$62=0,Lookup_Lists!$D$150,ROUND((IF(Brand_Profile!$E$57="",0,IF(ISNUMBER(SEARCH(Brand_Profile!$E$57,Matching_Engine!$BF$55)),1,0))+IF(Brand_Profile!$E$58="",0,IF(ISNUMBER(SEARCH(Brand_Profile!$E$58,Matching_Engine!$BF$55)),1,0))+IF(Brand_Profile!$E$59="",0,IF(ISNUMBER(SEARCH(Brand_Profile!$E$59,Matching_Engine!$BF$55)),1,0))+IF(Brand_Profile!$E$60="",0,IF(ISNUMBER(SEARCH(Brand_Profile!$E$60,Matching_Engine!$BF$55)),1,0))+IF(Brand_Profile!$E$61="",0,IF(ISNUMBER(SEARCH(Brand_Profile!$E$61,Matching_Engine!$BF$55)),1,0)))/Brand_Profile!$E$62*100,0))+IF(Brand_Profile!$E$74=0,Lookup_Lists!$D$150,ROUND((IF(Brand_Profile!$E$69="",0,IF(ISNUMBER(SEARCH(Brand_Profile!$E$69,Matching_Engine!$BF$55)),1,0))+IF(Brand_Profile!$E$70="",0,IF(ISNUMBER(SEARCH(Brand_Profile!$E$70,Matching_Engine!$BF$55)),1,0))+IF(Brand_Profile!$E$71="",0,IF(ISNUMBER(SEARCH(Brand_Profile!$E$71,Matching_Engine!$BF$55)),1,0))+IF(Brand_Profile!$E$72="",0,IF(ISNUMBER(SEARCH(Brand_Profile!$E$72,Matching_Engine!$BF$55)),1,0))+IF(Brand_Profile!$E$73="",0,IF(ISNUMBER(SEARCH(Brand_Profile!$E$73,Matching_Engine!$BF$55)),1,0)))/Brand_Profile!$E$74*100,0)))/2,0)</f>
      </c>
      <c r="N55" s="47">
        <f>ROUND((Matching_Engine!$K$55*Lookup_Lists!$D$110+Matching_Engine!$L$55*Lookup_Lists!$D$111+Matching_Engine!$M$55*Lookup_Lists!$D$112)/(Lookup_Lists!$D$110+Lookup_Lists!$D$111+Lookup_Lists!$D$112),0)</f>
      </c>
      <c r="O55" s="47">
        <f>IF(Brand_Profile!$E$16="",Lookup_Lists!$D$150,MIN(100,ROUND((IFERROR(INDEX(KOL_Database!$W$24:KOL_Database!$AA$24,1,MATCH(Brand_Profile!$E$16,Lookup_Lists!$F$6:$F$10,0)),0)+0.5*IFERROR(INDEX(KOL_Database!$W$24:KOL_Database!$AA$24,1,MATCH(Brand_Profile!$E$17,Lookup_Lists!$F$6:$F$10,0)),0))/Lookup_Lists!$D$142*100,0)))</f>
      </c>
      <c r="P55" s="47">
        <f>IF(OR(Brand_Profile!$E$18="",Brand_Profile!$E$18="Any"),100,IF(Brand_Profile!$E$18="Female",MIN(100,ROUND(KOL_Database!$AB$24/Lookup_Lists!$D$143*100,0)),IF(Brand_Profile!$E$18="Male",MIN(100,ROUND(KOL_Database!$AC$24/Lookup_Lists!$D$143*100,0)),MAX(0,ROUND(100-ABS(KOL_Database!$AB$24-50)*2,0)))))</f>
      </c>
      <c r="Q55" s="47">
        <f>ROUND((IF(Brand_Profile!$E$19="",100,IF(KOL_Database!$AD$24=Brand_Profile!$E$19,100,Lookup_Lists!$D$151))*Lookup_Lists!$D$118+IF(OR(Brand_Profile!$E$20="",Brand_Profile!$E$20="Nasional"),100,IF(KOL_Database!$AE$24="",Lookup_Lists!$D$150,IF(KOL_Database!$AE$24=Brand_Profile!$E$20,100,IF(KOL_Database!$AD$24=Brand_Profile!$E$19,40,Lookup_Lists!$D$151))))*Lookup_Lists!$D$119+IF(OR(Brand_Profile!$E$21="",Brand_Profile!$E$21="Nasional"),100,IF(KOL_Database!$AF$24="",Lookup_Lists!$D$150,IF(KOL_Database!$AF$24=Brand_Profile!$E$21,100,IF(KOL_Database!$AE$24=Brand_Profile!$E$20,60,Lookup_Lists!$D$151))))*Lookup_Lists!$D$120)/(Lookup_Lists!$D$118+Lookup_Lists!$D$119+Lookup_Lists!$D$120),0)</f>
      </c>
      <c r="R55" s="47">
        <f>IF(Brand_Profile!$E$68=0,Lookup_Lists!$D$150,ROUND((IF(Brand_Profile!$E$63="",0,IF(ISNUMBER(SEARCH(Brand_Profile!$E$63,KOL_Database!$AG$24)),1,0))+IF(Brand_Profile!$E$64="",0,IF(ISNUMBER(SEARCH(Brand_Profile!$E$64,KOL_Database!$AG$24)),1,0))+IF(Brand_Profile!$E$65="",0,IF(ISNUMBER(SEARCH(Brand_Profile!$E$65,KOL_Database!$AG$24)),1,0))+IF(Brand_Profile!$E$66="",0,IF(ISNUMBER(SEARCH(Brand_Profile!$E$66,KOL_Database!$AG$24)),1,0))+IF(Brand_Profile!$E$67="",0,IF(ISNUMBER(SEARCH(Brand_Profile!$E$67,KOL_Database!$AG$24)),1,0)))/Brand_Profile!$E$68*100,0))</f>
      </c>
      <c r="S55" s="47">
        <f>ROUND((Matching_Engine!$O$55*Brand_Profile!$E$96+Matching_Engine!$P$55*Brand_Profile!$E$97+Matching_Engine!$Q$55*Brand_Profile!$E$98+Matching_Engine!$R$55*Brand_Profile!$E$99)/MAX(1,Brand_Profile!$E$96+Brand_Profile!$E$97+Brand_Profile!$E$98+Brand_Profile!$E$99),0)</f>
      </c>
      <c r="T55" s="47">
        <f>IF(Brand_Profile!$E$33="",Lookup_Lists!$D$150,Matching_Engine!$BD$55)</f>
      </c>
      <c r="U55" s="47">
        <f>IF(Brand_Profile!$E$34="",Lookup_Lists!$D$150,IF(Brand_Profile!$E$34=KOL_Database!$F$24,100,IF(Matching_Engine!$BE$55=KOL_Database!$E$24,75,IF(Matching_Engine!$BD$55&gt;=80,Lookup_Lists!$D$150,IF(Matching_Engine!$BD$55&gt;=60,35,Lookup_Lists!$D$151)))))</f>
      </c>
      <c r="V55" s="47">
        <f>IF(Brand_Profile!$E$86=0,Lookup_Lists!$D$150,ROUND((IF(Brand_Profile!$E$81="",0,IF(ISNUMBER(SEARCH(Brand_Profile!$E$81,Matching_Engine!$BG$55)),1,0))+IF(Brand_Profile!$E$82="",0,IF(ISNUMBER(SEARCH(Brand_Profile!$E$82,Matching_Engine!$BG$55)),1,0))+IF(Brand_Profile!$E$83="",0,IF(ISNUMBER(SEARCH(Brand_Profile!$E$83,Matching_Engine!$BG$55)),1,0))+IF(Brand_Profile!$E$84="",0,IF(ISNUMBER(SEARCH(Brand_Profile!$E$84,Matching_Engine!$BG$55)),1,0))+IF(Brand_Profile!$E$85="",0,IF(ISNUMBER(SEARCH(Brand_Profile!$E$85,Matching_Engine!$BG$55)),1,0)))/Brand_Profile!$E$86*100,0))</f>
      </c>
      <c r="W55" s="47">
        <f>IF(Brand_Profile!$E$39="",Lookup_Lists!$D$150,IFERROR(INDEX(Lookup_Lists!$B$237:$K$246,MATCH(Brand_Profile!$E$39,Lookup_Lists!$A$237:$A$246,0),MATCH(KOL_Database!$AJ$24,Lookup_Lists!$B$236:$K$236,0)),45))</f>
      </c>
      <c r="X55" s="47">
        <f>ROUND((Matching_Engine!$T$55*Lookup_Lists!$D$121+Matching_Engine!$U$55*Lookup_Lists!$D$122+Matching_Engine!$V$55*Lookup_Lists!$D$123+Matching_Engine!$W$55*Lookup_Lists!$D$124)/(Lookup_Lists!$D$121+Lookup_Lists!$D$122+Lookup_Lists!$D$123+Lookup_Lists!$D$124),0)</f>
      </c>
      <c r="Y55" s="47">
        <f>MIN(100,MAX(IFERROR(INDEX(Lookup_Lists!$B$202:$M$211,MATCH(Brand_Profile!$E$25,Lookup_Lists!$A$202:$A$211,0),MATCH(KOL_Database!$AK$24,Lookup_Lists!$B$201:$M$201,0)),40),IF(KOL_Database!$AK$24=Brand_Profile!$E$41,95,0)))</f>
      </c>
      <c r="Z55" s="47">
        <f>IFERROR(INDEX(Lookup_Lists!$B$215:$K$222,MATCH(Brand_Profile!$E$27,Lookup_Lists!$A$215:$A$222,0),MATCH(KOL_Database!$AJ$24,Lookup_Lists!$B$214:$K$214,0)),45)</f>
      </c>
      <c r="AA55" s="47">
        <f>ROUND((IF(Brand_Profile!$E$80=0,Lookup_Lists!$D$150,ROUND((IF(Brand_Profile!$E$75="",0,IF(ISNUMBER(SEARCH(Brand_Profile!$E$75,KOL_Database!$AL$24)),1,0))+IF(Brand_Profile!$E$76="",0,IF(ISNUMBER(SEARCH(Brand_Profile!$E$76,KOL_Database!$AL$24)),1,0))+IF(Brand_Profile!$E$77="",0,IF(ISNUMBER(SEARCH(Brand_Profile!$E$77,KOL_Database!$AL$24)),1,0))+IF(Brand_Profile!$E$78="",0,IF(ISNUMBER(SEARCH(Brand_Profile!$E$78,KOL_Database!$AL$24)),1,0))+IF(Brand_Profile!$E$79="",0,IF(ISNUMBER(SEARCH(Brand_Profile!$E$79,KOL_Database!$AL$24)),1,0)))/Brand_Profile!$E$80*100,0))+IF(Brand_Profile!$E$92=0,Lookup_Lists!$D$150,ROUND((IF(Brand_Profile!$E$87="",0,IF(ISNUMBER(SEARCH(Brand_Profile!$E$87,KOL_Database!$AL$24)),1,0))+IF(Brand_Profile!$E$88="",0,IF(ISNUMBER(SEARCH(Brand_Profile!$E$88,KOL_Database!$AL$24)),1,0))+IF(Brand_Profile!$E$89="",0,IF(ISNUMBER(SEARCH(Brand_Profile!$E$89,KOL_Database!$AL$24)),1,0))+IF(Brand_Profile!$E$90="",0,IF(ISNUMBER(SEARCH(Brand_Profile!$E$90,KOL_Database!$AL$24)),1,0))+IF(Brand_Profile!$E$91="",0,IF(ISNUMBER(SEARCH(Brand_Profile!$E$91,KOL_Database!$AL$24)),1,0)))/Brand_Profile!$E$92*100,0)))/2,0)</f>
      </c>
      <c r="AB55" s="47">
        <f>IFERROR(INDEX(Lookup_Lists!$B$226:$K$233,MATCH(Brand_Profile!$E$30,Lookup_Lists!$A$226:$A$233,0),MATCH(KOL_Database!$AJ$24,Lookup_Lists!$B$225:$K$225,0)),45)</f>
      </c>
      <c r="AC55" s="47">
        <f>ROUND((Matching_Engine!$Y$55*Lookup_Lists!$D$125+Matching_Engine!$Z$55*Lookup_Lists!$D$126+Matching_Engine!$AA$55*Lookup_Lists!$D$127+Matching_Engine!$AB$55*Lookup_Lists!$D$128)/(Lookup_Lists!$D$125+Lookup_Lists!$D$126+Lookup_Lists!$D$127+Lookup_Lists!$D$128),0)</f>
      </c>
      <c r="AD55" s="47">
        <f>IF(KOL_Database!$K$24="",0,MIN(100,ROUND(KOL_Database!$K$24/Lookup_Lists!$D$141*100,0)))</f>
      </c>
      <c r="AE55" s="47">
        <f>IF(KOL_Database!$R$24="",0,MIN(100,MAX(0,KOL_Database!$R$24)))</f>
      </c>
      <c r="AF55" s="47">
        <f>IF(KOL_Database!$P$24="",0,MIN(100,MAX(0,KOL_Database!$P$24)))</f>
      </c>
      <c r="AG55" s="47">
        <f>IF(KOL_Database!$Q$24="",0,MIN(100,MAX(0,KOL_Database!$Q$24)))</f>
      </c>
      <c r="AH55" s="47">
        <f>IF(OR(KOL_Database!$J$24="",KOL_Database!$J$24=0,KOL_Database!$L$24=""),0,MIN(100,ROUND(KOL_Database!$L$24/KOL_Database!$J$24/Lookup_Lists!$D$144*100,0)))</f>
      </c>
      <c r="AI55" s="47">
        <f>IF(KOL_Database!$N$24="",0,MIN(100,MAX(0,ROUND((KOL_Database!$N$24+2)/(Lookup_Lists!$D$145+2)*100,0))))</f>
      </c>
      <c r="AJ55" s="47">
        <f>ROUND((Matching_Engine!$AD$55*Lookup_Lists!$D$129+Matching_Engine!$AE$55*Lookup_Lists!$D$130+Matching_Engine!$AF$55*Lookup_Lists!$D$131+Matching_Engine!$AG$55*Lookup_Lists!$D$132+Matching_Engine!$AH$55*Lookup_Lists!$D$133+Matching_Engine!$AI$55*Lookup_Lists!$D$134)/(Lookup_Lists!$D$129+Lookup_Lists!$D$130+Lookup_Lists!$D$131+Lookup_Lists!$D$132+Lookup_Lists!$D$133+Lookup_Lists!$D$134),0)</f>
      </c>
      <c r="AK55" s="47">
        <f>IF(KOL_Database!$AT$24="",0,MIN(100,MAX(0,KOL_Database!$AT$24)))</f>
      </c>
      <c r="AL55" s="47">
        <f>IF(KOL_Database!$AU$24="",0,KOL_Database!$AU$24)</f>
      </c>
      <c r="AM55" s="44">
        <f>IF(KOL_Database!$AV$24="","None",KOL_Database!$AV$24)</f>
      </c>
      <c r="AN55" s="48">
        <f>IF(Matching_Engine!$AM$55="High",Lookup_Lists!$D$137,IF(Matching_Engine!$AM$55="Medium",Lookup_Lists!$D$138,IF(Matching_Engine!$AM$55="Low",Lookup_Lists!$D$139,Lookup_Lists!$D$140)))</f>
      </c>
      <c r="AO55" s="47">
        <f>ROUND(MIN(100,MAX(0,(Matching_Engine!$AK$55*Lookup_Lists!$D$135+(100-Matching_Engine!$AL$55)*Lookup_Lists!$D$136)/(Lookup_Lists!$D$135+Lookup_Lists!$D$136)*Matching_Engine!$AN$55)),0)</f>
      </c>
      <c r="AP55" s="49">
        <f>ROUND((Matching_Engine!$N$55*Lookup_Lists!$D$104+Matching_Engine!$S$55*Lookup_Lists!$D$105+Matching_Engine!$X$55*Lookup_Lists!$D$106+Matching_Engine!$AC$55*Lookup_Lists!$D$107+Matching_Engine!$AJ$55*Lookup_Lists!$D$108+Matching_Engine!$AO$55*Lookup_Lists!$D$109)/MAX(1,(Lookup_Lists!$D$104+Lookup_Lists!$D$105+Lookup_Lists!$D$106+Lookup_Lists!$D$107+Lookup_Lists!$D$108+Lookup_Lists!$D$109)),0)</f>
      </c>
      <c r="AQ55" s="44">
        <f>IF(Matching_Engine!$AP$55&gt;=Lookup_Lists!$D$152,"Excellent Match",IF(Matching_Engine!$AP$55&gt;=Lookup_Lists!$D$153,"Strong Match",IF(Matching_Engine!$AP$55&gt;=Lookup_Lists!$D$154,"Good Match",IF(Matching_Engine!$AP$55&gt;=Lookup_Lists!$D$155,"Moderate Match","Low Match"))))</f>
      </c>
      <c r="AR55" s="47">
        <f>KOL_Database!$BE$24</f>
      </c>
      <c r="AS55" s="44">
        <f>IF(Matching_Engine!$AR$55&gt;=Lookup_Lists!$D$159,"High",IF(Matching_Engine!$AR$55&gt;=Lookup_Lists!$D$160,"Medium","Limited Data"))</f>
      </c>
      <c r="AT55" s="47">
        <f>ROUND((Matching_Engine!$N$55+Matching_Engine!$X$55+Matching_Engine!$AC$55)/3,0)</f>
      </c>
      <c r="AU55" s="47">
        <f>ROUND(((100-Matching_Engine!$AL$55)*Lookup_Lists!$D$162+IF(KOL_Database!$BD$24="",Lookup_Lists!$D$150,KOL_Database!$BD$24)*Lookup_Lists!$D$163+Matching_Engine!$AI$55*Lookup_Lists!$D$164+Matching_Engine!$AD$55*Lookup_Lists!$D$165)/(Lookup_Lists!$D$162+Lookup_Lists!$D$163+Lookup_Lists!$D$164+Lookup_Lists!$D$165),0)</f>
      </c>
      <c r="AV55" s="44">
        <f>IF(Matching_Engine!$AW$55="","PASS","EXCLUDED")</f>
      </c>
      <c r="AW55" s="44">
        <f>IF(ISERROR(SEARCH(KOL_Database!$D$24,Brand_Profile!$E$32)),"Platform not in Preferred Platform",IF(AND(Brand_Profile!$E$36&gt;0,KOL_Database!$J$24&lt;Brand_Profile!$E$36),"Followers below Preferred Follower Range",IF(AND(Brand_Profile!$E$37&gt;0,KOL_Database!$J$24&gt;Brand_Profile!$E$37),"Followers above Preferred Follower Range",IF(AND(Brand_Profile!$E$38&gt;0,IF(KOL_Database!$K$24="",0,KOL_Database!$K$24)&lt;Brand_Profile!$E$38),"Engagement Rate below Minimum Engagement Rate",IF(ISERROR(SEARCH(KOL_Database!$G$24,Brand_Profile!$E$35)),"Tier not in Preferred Tier",IF(AND(Brand_Profile!$E$43&gt;0,Matching_Engine!$AE$55&lt;Brand_Profile!$E$43),"Audience Quality below Minimum Audience Quality",IF(AND(Brand_Profile!$E$44&gt;0,Matching_Engine!$AK$55&lt;Brand_Profile!$E$44),"Brand Safety below Minimum Brand Safety",IF(AND(Brand_Profile!$E$47="Yes",KOL_Database!$AD$24&lt;&gt;Brand_Profile!$E$19),"Audience Country does not match Target Country",IF(AND(Brand_Profile!$E$46="Yes",KOL_Database!$E$24&lt;&gt;Brand_Profile!$E$33),"Category is not the Preferred Category",IF(AND(Brand_Profile!$E$48&gt;0,Matching_Engine!$AL$55&gt;Brand_Profile!$E$48),"Competitor Saturation above Max Competitor Saturation",IF(AND(Brand_Profile!$E$50="Yes",KOL_Database!$AW$24="Yes"),"Already Selected",IF(AND(Brand_Profile!$E$51="Yes",KOL_Database!$AX$24="Yes"),"Already in Cart",IF(AND(Brand_Profile!$E$52="Yes",KOL_Database!$AY$24="Yes"),"Existing Partner",IF(AND(Brand_Profile!$E$53="Yes",KOL_Database!$AZ$24="Yes"),"Excluded Creator",IF(AND(Brand_Profile!$E$49&gt;0,Matching_Engine!$AP$55&lt;Brand_Profile!$E$49),"Brand Match below Minimum Brand Match","")))))))))))))))</f>
      </c>
      <c r="AX55" s="44">
        <f>IF(Matching_Engine!$AV$55="EXCLUDED","Excluded",IF(Matching_Engine!$AP$55&gt;=Lookup_Lists!$D$156,"Highly Recommended",IF(Matching_Engine!$AP$55&gt;=Lookup_Lists!$D$157,"Recommended",IF(Matching_Engine!$AP$55&gt;=Lookup_Lists!$D$158,"Consider","Low Priority"))))</f>
      </c>
      <c r="AY55" s="47">
        <f>IF(Matching_Engine!$AV$55="PASS",Matching_Engine!$AP$55,"")</f>
      </c>
      <c r="AZ55" s="44">
        <f>Matching_Engine!$A$55&amp;"|"&amp;Matching_Engine!$C$55</f>
      </c>
      <c r="BA55" s="44">
        <f>IFERROR(INDEX(Lookup_Lists!$B$51:$B$92,MATCH(Brand_Profile!$E$12,Lookup_Lists!$A$51:$A$92,0)),"")</f>
      </c>
      <c r="BB55" s="44">
        <f>IFERROR(INDEX(Lookup_Lists!$B$51:$B$92,MATCH(KOL_Database!$F$24,Lookup_Lists!$A$51:$A$92,0)),"")</f>
      </c>
      <c r="BC55" s="47">
        <f>IFERROR(INDEX(Lookup_Lists!$B$185:$O$198,MATCH(Matching_Engine!$BA$55,Lookup_Lists!$A$185:$A$198,0),MATCH(KOL_Database!$E$24,Lookup_Lists!$B$184:$O$184,0)),Lookup_Lists!$D$151)</f>
      </c>
      <c r="BD55" s="47">
        <f>IFERROR(INDEX(Lookup_Lists!$B$185:$O$198,MATCH(Brand_Profile!$E$33,Lookup_Lists!$A$185:$A$198,0),MATCH(KOL_Database!$E$24,Lookup_Lists!$B$184:$O$184,0)),Lookup_Lists!$D$151)</f>
      </c>
      <c r="BE55" s="44">
        <f>IFERROR(INDEX(Lookup_Lists!$B$51:$B$92,MATCH(Brand_Profile!$E$34,Lookup_Lists!$A$51:$A$92,0)),"")</f>
      </c>
      <c r="BF55" s="44">
        <f>KOL_Database!$AI$24&amp;", "&amp;KOL_Database!$AG$24&amp;", "&amp;KOL_Database!$F$24&amp;", "&amp;KOL_Database!$E$24</f>
      </c>
      <c r="BG55" s="44">
        <f>KOL_Database!$AI$24&amp;", "&amp;KOL_Database!$AG$24</f>
      </c>
    </row>
    <row r="56" spans="1:59" x14ac:dyDescent="0.25">
      <c r="A56" s="43" t="s">
        <v>76</v>
      </c>
      <c r="B56" s="44">
        <f>Brand_Profile!$E$9</f>
      </c>
      <c r="C56" s="44">
        <f>KOL_Database!$A$25</f>
      </c>
      <c r="D56" s="44">
        <f>KOL_Database!$B$25</f>
      </c>
      <c r="E56" s="44">
        <f>KOL_Database!$C$25</f>
      </c>
      <c r="F56" s="44">
        <f>KOL_Database!$D$25</f>
      </c>
      <c r="G56" s="44">
        <f>KOL_Database!$E$25</f>
      </c>
      <c r="H56" s="44">
        <f>KOL_Database!$G$25</f>
      </c>
      <c r="I56" s="45">
        <f>KOL_Database!$J$25</f>
      </c>
      <c r="J56" s="46">
        <f>KOL_Database!$K$25</f>
      </c>
      <c r="K56" s="47">
        <f>IFERROR(INDEX(Lookup_Lists!$B$170:$O$181,MATCH(Brand_Profile!$E$10,Lookup_Lists!$A$170:$A$181,0),MATCH(KOL_Database!$E$25,Lookup_Lists!$B$169:$O$169,0)),Lookup_Lists!$D$151)</f>
      </c>
      <c r="L56" s="47">
        <f>IF(KOL_Database!$F$25="",Matching_Engine!$BC$56,IF(Brand_Profile!$E$12=KOL_Database!$F$25,100,IF(Matching_Engine!$BA$56=KOL_Database!$E$25,80,IF(Matching_Engine!$BC$56&gt;=80,60,IF(Matching_Engine!$BC$56&gt;=60,40,Lookup_Lists!$D$151)))))</f>
      </c>
      <c r="M56" s="47">
        <f>ROUND((IF(Brand_Profile!$E$62=0,Lookup_Lists!$D$150,ROUND((IF(Brand_Profile!$E$57="",0,IF(ISNUMBER(SEARCH(Brand_Profile!$E$57,Matching_Engine!$BF$56)),1,0))+IF(Brand_Profile!$E$58="",0,IF(ISNUMBER(SEARCH(Brand_Profile!$E$58,Matching_Engine!$BF$56)),1,0))+IF(Brand_Profile!$E$59="",0,IF(ISNUMBER(SEARCH(Brand_Profile!$E$59,Matching_Engine!$BF$56)),1,0))+IF(Brand_Profile!$E$60="",0,IF(ISNUMBER(SEARCH(Brand_Profile!$E$60,Matching_Engine!$BF$56)),1,0))+IF(Brand_Profile!$E$61="",0,IF(ISNUMBER(SEARCH(Brand_Profile!$E$61,Matching_Engine!$BF$56)),1,0)))/Brand_Profile!$E$62*100,0))+IF(Brand_Profile!$E$74=0,Lookup_Lists!$D$150,ROUND((IF(Brand_Profile!$E$69="",0,IF(ISNUMBER(SEARCH(Brand_Profile!$E$69,Matching_Engine!$BF$56)),1,0))+IF(Brand_Profile!$E$70="",0,IF(ISNUMBER(SEARCH(Brand_Profile!$E$70,Matching_Engine!$BF$56)),1,0))+IF(Brand_Profile!$E$71="",0,IF(ISNUMBER(SEARCH(Brand_Profile!$E$71,Matching_Engine!$BF$56)),1,0))+IF(Brand_Profile!$E$72="",0,IF(ISNUMBER(SEARCH(Brand_Profile!$E$72,Matching_Engine!$BF$56)),1,0))+IF(Brand_Profile!$E$73="",0,IF(ISNUMBER(SEARCH(Brand_Profile!$E$73,Matching_Engine!$BF$56)),1,0)))/Brand_Profile!$E$74*100,0)))/2,0)</f>
      </c>
      <c r="N56" s="47">
        <f>ROUND((Matching_Engine!$K$56*Lookup_Lists!$D$110+Matching_Engine!$L$56*Lookup_Lists!$D$111+Matching_Engine!$M$56*Lookup_Lists!$D$112)/(Lookup_Lists!$D$110+Lookup_Lists!$D$111+Lookup_Lists!$D$112),0)</f>
      </c>
      <c r="O56" s="47">
        <f>IF(Brand_Profile!$E$16="",Lookup_Lists!$D$150,MIN(100,ROUND((IFERROR(INDEX(KOL_Database!$W$25:KOL_Database!$AA$25,1,MATCH(Brand_Profile!$E$16,Lookup_Lists!$F$6:$F$10,0)),0)+0.5*IFERROR(INDEX(KOL_Database!$W$25:KOL_Database!$AA$25,1,MATCH(Brand_Profile!$E$17,Lookup_Lists!$F$6:$F$10,0)),0))/Lookup_Lists!$D$142*100,0)))</f>
      </c>
      <c r="P56" s="47">
        <f>IF(OR(Brand_Profile!$E$18="",Brand_Profile!$E$18="Any"),100,IF(Brand_Profile!$E$18="Female",MIN(100,ROUND(KOL_Database!$AB$25/Lookup_Lists!$D$143*100,0)),IF(Brand_Profile!$E$18="Male",MIN(100,ROUND(KOL_Database!$AC$25/Lookup_Lists!$D$143*100,0)),MAX(0,ROUND(100-ABS(KOL_Database!$AB$25-50)*2,0)))))</f>
      </c>
      <c r="Q56" s="47">
        <f>ROUND((IF(Brand_Profile!$E$19="",100,IF(KOL_Database!$AD$25=Brand_Profile!$E$19,100,Lookup_Lists!$D$151))*Lookup_Lists!$D$118+IF(OR(Brand_Profile!$E$20="",Brand_Profile!$E$20="Nasional"),100,IF(KOL_Database!$AE$25="",Lookup_Lists!$D$150,IF(KOL_Database!$AE$25=Brand_Profile!$E$20,100,IF(KOL_Database!$AD$25=Brand_Profile!$E$19,40,Lookup_Lists!$D$151))))*Lookup_Lists!$D$119+IF(OR(Brand_Profile!$E$21="",Brand_Profile!$E$21="Nasional"),100,IF(KOL_Database!$AF$25="",Lookup_Lists!$D$150,IF(KOL_Database!$AF$25=Brand_Profile!$E$21,100,IF(KOL_Database!$AE$25=Brand_Profile!$E$20,60,Lookup_Lists!$D$151))))*Lookup_Lists!$D$120)/(Lookup_Lists!$D$118+Lookup_Lists!$D$119+Lookup_Lists!$D$120),0)</f>
      </c>
      <c r="R56" s="47">
        <f>IF(Brand_Profile!$E$68=0,Lookup_Lists!$D$150,ROUND((IF(Brand_Profile!$E$63="",0,IF(ISNUMBER(SEARCH(Brand_Profile!$E$63,KOL_Database!$AG$25)),1,0))+IF(Brand_Profile!$E$64="",0,IF(ISNUMBER(SEARCH(Brand_Profile!$E$64,KOL_Database!$AG$25)),1,0))+IF(Brand_Profile!$E$65="",0,IF(ISNUMBER(SEARCH(Brand_Profile!$E$65,KOL_Database!$AG$25)),1,0))+IF(Brand_Profile!$E$66="",0,IF(ISNUMBER(SEARCH(Brand_Profile!$E$66,KOL_Database!$AG$25)),1,0))+IF(Brand_Profile!$E$67="",0,IF(ISNUMBER(SEARCH(Brand_Profile!$E$67,KOL_Database!$AG$25)),1,0)))/Brand_Profile!$E$68*100,0))</f>
      </c>
      <c r="S56" s="47">
        <f>ROUND((Matching_Engine!$O$56*Brand_Profile!$E$96+Matching_Engine!$P$56*Brand_Profile!$E$97+Matching_Engine!$Q$56*Brand_Profile!$E$98+Matching_Engine!$R$56*Brand_Profile!$E$99)/MAX(1,Brand_Profile!$E$96+Brand_Profile!$E$97+Brand_Profile!$E$98+Brand_Profile!$E$99),0)</f>
      </c>
      <c r="T56" s="47">
        <f>IF(Brand_Profile!$E$33="",Lookup_Lists!$D$150,Matching_Engine!$BD$56)</f>
      </c>
      <c r="U56" s="47">
        <f>IF(Brand_Profile!$E$34="",Lookup_Lists!$D$150,IF(Brand_Profile!$E$34=KOL_Database!$F$25,100,IF(Matching_Engine!$BE$56=KOL_Database!$E$25,75,IF(Matching_Engine!$BD$56&gt;=80,Lookup_Lists!$D$150,IF(Matching_Engine!$BD$56&gt;=60,35,Lookup_Lists!$D$151)))))</f>
      </c>
      <c r="V56" s="47">
        <f>IF(Brand_Profile!$E$86=0,Lookup_Lists!$D$150,ROUND((IF(Brand_Profile!$E$81="",0,IF(ISNUMBER(SEARCH(Brand_Profile!$E$81,Matching_Engine!$BG$56)),1,0))+IF(Brand_Profile!$E$82="",0,IF(ISNUMBER(SEARCH(Brand_Profile!$E$82,Matching_Engine!$BG$56)),1,0))+IF(Brand_Profile!$E$83="",0,IF(ISNUMBER(SEARCH(Brand_Profile!$E$83,Matching_Engine!$BG$56)),1,0))+IF(Brand_Profile!$E$84="",0,IF(ISNUMBER(SEARCH(Brand_Profile!$E$84,Matching_Engine!$BG$56)),1,0))+IF(Brand_Profile!$E$85="",0,IF(ISNUMBER(SEARCH(Brand_Profile!$E$85,Matching_Engine!$BG$56)),1,0)))/Brand_Profile!$E$86*100,0))</f>
      </c>
      <c r="W56" s="47">
        <f>IF(Brand_Profile!$E$39="",Lookup_Lists!$D$150,IFERROR(INDEX(Lookup_Lists!$B$237:$K$246,MATCH(Brand_Profile!$E$39,Lookup_Lists!$A$237:$A$246,0),MATCH(KOL_Database!$AJ$25,Lookup_Lists!$B$236:$K$236,0)),45))</f>
      </c>
      <c r="X56" s="47">
        <f>ROUND((Matching_Engine!$T$56*Lookup_Lists!$D$121+Matching_Engine!$U$56*Lookup_Lists!$D$122+Matching_Engine!$V$56*Lookup_Lists!$D$123+Matching_Engine!$W$56*Lookup_Lists!$D$124)/(Lookup_Lists!$D$121+Lookup_Lists!$D$122+Lookup_Lists!$D$123+Lookup_Lists!$D$124),0)</f>
      </c>
      <c r="Y56" s="47">
        <f>MIN(100,MAX(IFERROR(INDEX(Lookup_Lists!$B$202:$M$211,MATCH(Brand_Profile!$E$25,Lookup_Lists!$A$202:$A$211,0),MATCH(KOL_Database!$AK$25,Lookup_Lists!$B$201:$M$201,0)),40),IF(KOL_Database!$AK$25=Brand_Profile!$E$41,95,0)))</f>
      </c>
      <c r="Z56" s="47">
        <f>IFERROR(INDEX(Lookup_Lists!$B$215:$K$222,MATCH(Brand_Profile!$E$27,Lookup_Lists!$A$215:$A$222,0),MATCH(KOL_Database!$AJ$25,Lookup_Lists!$B$214:$K$214,0)),45)</f>
      </c>
      <c r="AA56" s="47">
        <f>ROUND((IF(Brand_Profile!$E$80=0,Lookup_Lists!$D$150,ROUND((IF(Brand_Profile!$E$75="",0,IF(ISNUMBER(SEARCH(Brand_Profile!$E$75,KOL_Database!$AL$25)),1,0))+IF(Brand_Profile!$E$76="",0,IF(ISNUMBER(SEARCH(Brand_Profile!$E$76,KOL_Database!$AL$25)),1,0))+IF(Brand_Profile!$E$77="",0,IF(ISNUMBER(SEARCH(Brand_Profile!$E$77,KOL_Database!$AL$25)),1,0))+IF(Brand_Profile!$E$78="",0,IF(ISNUMBER(SEARCH(Brand_Profile!$E$78,KOL_Database!$AL$25)),1,0))+IF(Brand_Profile!$E$79="",0,IF(ISNUMBER(SEARCH(Brand_Profile!$E$79,KOL_Database!$AL$25)),1,0)))/Brand_Profile!$E$80*100,0))+IF(Brand_Profile!$E$92=0,Lookup_Lists!$D$150,ROUND((IF(Brand_Profile!$E$87="",0,IF(ISNUMBER(SEARCH(Brand_Profile!$E$87,KOL_Database!$AL$25)),1,0))+IF(Brand_Profile!$E$88="",0,IF(ISNUMBER(SEARCH(Brand_Profile!$E$88,KOL_Database!$AL$25)),1,0))+IF(Brand_Profile!$E$89="",0,IF(ISNUMBER(SEARCH(Brand_Profile!$E$89,KOL_Database!$AL$25)),1,0))+IF(Brand_Profile!$E$90="",0,IF(ISNUMBER(SEARCH(Brand_Profile!$E$90,KOL_Database!$AL$25)),1,0))+IF(Brand_Profile!$E$91="",0,IF(ISNUMBER(SEARCH(Brand_Profile!$E$91,KOL_Database!$AL$25)),1,0)))/Brand_Profile!$E$92*100,0)))/2,0)</f>
      </c>
      <c r="AB56" s="47">
        <f>IFERROR(INDEX(Lookup_Lists!$B$226:$K$233,MATCH(Brand_Profile!$E$30,Lookup_Lists!$A$226:$A$233,0),MATCH(KOL_Database!$AJ$25,Lookup_Lists!$B$225:$K$225,0)),45)</f>
      </c>
      <c r="AC56" s="47">
        <f>ROUND((Matching_Engine!$Y$56*Lookup_Lists!$D$125+Matching_Engine!$Z$56*Lookup_Lists!$D$126+Matching_Engine!$AA$56*Lookup_Lists!$D$127+Matching_Engine!$AB$56*Lookup_Lists!$D$128)/(Lookup_Lists!$D$125+Lookup_Lists!$D$126+Lookup_Lists!$D$127+Lookup_Lists!$D$128),0)</f>
      </c>
      <c r="AD56" s="47">
        <f>IF(KOL_Database!$K$25="",0,MIN(100,ROUND(KOL_Database!$K$25/Lookup_Lists!$D$141*100,0)))</f>
      </c>
      <c r="AE56" s="47">
        <f>IF(KOL_Database!$R$25="",0,MIN(100,MAX(0,KOL_Database!$R$25)))</f>
      </c>
      <c r="AF56" s="47">
        <f>IF(KOL_Database!$P$25="",0,MIN(100,MAX(0,KOL_Database!$P$25)))</f>
      </c>
      <c r="AG56" s="47">
        <f>IF(KOL_Database!$Q$25="",0,MIN(100,MAX(0,KOL_Database!$Q$25)))</f>
      </c>
      <c r="AH56" s="47">
        <f>IF(OR(KOL_Database!$J$25="",KOL_Database!$J$25=0,KOL_Database!$L$25=""),0,MIN(100,ROUND(KOL_Database!$L$25/KOL_Database!$J$25/Lookup_Lists!$D$144*100,0)))</f>
      </c>
      <c r="AI56" s="47">
        <f>IF(KOL_Database!$N$25="",0,MIN(100,MAX(0,ROUND((KOL_Database!$N$25+2)/(Lookup_Lists!$D$145+2)*100,0))))</f>
      </c>
      <c r="AJ56" s="47">
        <f>ROUND((Matching_Engine!$AD$56*Lookup_Lists!$D$129+Matching_Engine!$AE$56*Lookup_Lists!$D$130+Matching_Engine!$AF$56*Lookup_Lists!$D$131+Matching_Engine!$AG$56*Lookup_Lists!$D$132+Matching_Engine!$AH$56*Lookup_Lists!$D$133+Matching_Engine!$AI$56*Lookup_Lists!$D$134)/(Lookup_Lists!$D$129+Lookup_Lists!$D$130+Lookup_Lists!$D$131+Lookup_Lists!$D$132+Lookup_Lists!$D$133+Lookup_Lists!$D$134),0)</f>
      </c>
      <c r="AK56" s="47">
        <f>IF(KOL_Database!$AT$25="",0,MIN(100,MAX(0,KOL_Database!$AT$25)))</f>
      </c>
      <c r="AL56" s="47">
        <f>IF(KOL_Database!$AU$25="",0,KOL_Database!$AU$25)</f>
      </c>
      <c r="AM56" s="44">
        <f>IF(KOL_Database!$AV$25="","None",KOL_Database!$AV$25)</f>
      </c>
      <c r="AN56" s="48">
        <f>IF(Matching_Engine!$AM$56="High",Lookup_Lists!$D$137,IF(Matching_Engine!$AM$56="Medium",Lookup_Lists!$D$138,IF(Matching_Engine!$AM$56="Low",Lookup_Lists!$D$139,Lookup_Lists!$D$140)))</f>
      </c>
      <c r="AO56" s="47">
        <f>ROUND(MIN(100,MAX(0,(Matching_Engine!$AK$56*Lookup_Lists!$D$135+(100-Matching_Engine!$AL$56)*Lookup_Lists!$D$136)/(Lookup_Lists!$D$135+Lookup_Lists!$D$136)*Matching_Engine!$AN$56)),0)</f>
      </c>
      <c r="AP56" s="49">
        <f>ROUND((Matching_Engine!$N$56*Lookup_Lists!$D$104+Matching_Engine!$S$56*Lookup_Lists!$D$105+Matching_Engine!$X$56*Lookup_Lists!$D$106+Matching_Engine!$AC$56*Lookup_Lists!$D$107+Matching_Engine!$AJ$56*Lookup_Lists!$D$108+Matching_Engine!$AO$56*Lookup_Lists!$D$109)/MAX(1,(Lookup_Lists!$D$104+Lookup_Lists!$D$105+Lookup_Lists!$D$106+Lookup_Lists!$D$107+Lookup_Lists!$D$108+Lookup_Lists!$D$109)),0)</f>
      </c>
      <c r="AQ56" s="44">
        <f>IF(Matching_Engine!$AP$56&gt;=Lookup_Lists!$D$152,"Excellent Match",IF(Matching_Engine!$AP$56&gt;=Lookup_Lists!$D$153,"Strong Match",IF(Matching_Engine!$AP$56&gt;=Lookup_Lists!$D$154,"Good Match",IF(Matching_Engine!$AP$56&gt;=Lookup_Lists!$D$155,"Moderate Match","Low Match"))))</f>
      </c>
      <c r="AR56" s="47">
        <f>KOL_Database!$BE$25</f>
      </c>
      <c r="AS56" s="44">
        <f>IF(Matching_Engine!$AR$56&gt;=Lookup_Lists!$D$159,"High",IF(Matching_Engine!$AR$56&gt;=Lookup_Lists!$D$160,"Medium","Limited Data"))</f>
      </c>
      <c r="AT56" s="47">
        <f>ROUND((Matching_Engine!$N$56+Matching_Engine!$X$56+Matching_Engine!$AC$56)/3,0)</f>
      </c>
      <c r="AU56" s="47">
        <f>ROUND(((100-Matching_Engine!$AL$56)*Lookup_Lists!$D$162+IF(KOL_Database!$BD$25="",Lookup_Lists!$D$150,KOL_Database!$BD$25)*Lookup_Lists!$D$163+Matching_Engine!$AI$56*Lookup_Lists!$D$164+Matching_Engine!$AD$56*Lookup_Lists!$D$165)/(Lookup_Lists!$D$162+Lookup_Lists!$D$163+Lookup_Lists!$D$164+Lookup_Lists!$D$165),0)</f>
      </c>
      <c r="AV56" s="44">
        <f>IF(Matching_Engine!$AW$56="","PASS","EXCLUDED")</f>
      </c>
      <c r="AW56" s="44">
        <f>IF(ISERROR(SEARCH(KOL_Database!$D$25,Brand_Profile!$E$32)),"Platform not in Preferred Platform",IF(AND(Brand_Profile!$E$36&gt;0,KOL_Database!$J$25&lt;Brand_Profile!$E$36),"Followers below Preferred Follower Range",IF(AND(Brand_Profile!$E$37&gt;0,KOL_Database!$J$25&gt;Brand_Profile!$E$37),"Followers above Preferred Follower Range",IF(AND(Brand_Profile!$E$38&gt;0,IF(KOL_Database!$K$25="",0,KOL_Database!$K$25)&lt;Brand_Profile!$E$38),"Engagement Rate below Minimum Engagement Rate",IF(ISERROR(SEARCH(KOL_Database!$G$25,Brand_Profile!$E$35)),"Tier not in Preferred Tier",IF(AND(Brand_Profile!$E$43&gt;0,Matching_Engine!$AE$56&lt;Brand_Profile!$E$43),"Audience Quality below Minimum Audience Quality",IF(AND(Brand_Profile!$E$44&gt;0,Matching_Engine!$AK$56&lt;Brand_Profile!$E$44),"Brand Safety below Minimum Brand Safety",IF(AND(Brand_Profile!$E$47="Yes",KOL_Database!$AD$25&lt;&gt;Brand_Profile!$E$19),"Audience Country does not match Target Country",IF(AND(Brand_Profile!$E$46="Yes",KOL_Database!$E$25&lt;&gt;Brand_Profile!$E$33),"Category is not the Preferred Category",IF(AND(Brand_Profile!$E$48&gt;0,Matching_Engine!$AL$56&gt;Brand_Profile!$E$48),"Competitor Saturation above Max Competitor Saturation",IF(AND(Brand_Profile!$E$50="Yes",KOL_Database!$AW$25="Yes"),"Already Selected",IF(AND(Brand_Profile!$E$51="Yes",KOL_Database!$AX$25="Yes"),"Already in Cart",IF(AND(Brand_Profile!$E$52="Yes",KOL_Database!$AY$25="Yes"),"Existing Partner",IF(AND(Brand_Profile!$E$53="Yes",KOL_Database!$AZ$25="Yes"),"Excluded Creator",IF(AND(Brand_Profile!$E$49&gt;0,Matching_Engine!$AP$56&lt;Brand_Profile!$E$49),"Brand Match below Minimum Brand Match","")))))))))))))))</f>
      </c>
      <c r="AX56" s="44">
        <f>IF(Matching_Engine!$AV$56="EXCLUDED","Excluded",IF(Matching_Engine!$AP$56&gt;=Lookup_Lists!$D$156,"Highly Recommended",IF(Matching_Engine!$AP$56&gt;=Lookup_Lists!$D$157,"Recommended",IF(Matching_Engine!$AP$56&gt;=Lookup_Lists!$D$158,"Consider","Low Priority"))))</f>
      </c>
      <c r="AY56" s="47">
        <f>IF(Matching_Engine!$AV$56="PASS",Matching_Engine!$AP$56,"")</f>
      </c>
      <c r="AZ56" s="44">
        <f>Matching_Engine!$A$56&amp;"|"&amp;Matching_Engine!$C$56</f>
      </c>
      <c r="BA56" s="44">
        <f>IFERROR(INDEX(Lookup_Lists!$B$51:$B$92,MATCH(Brand_Profile!$E$12,Lookup_Lists!$A$51:$A$92,0)),"")</f>
      </c>
      <c r="BB56" s="44">
        <f>IFERROR(INDEX(Lookup_Lists!$B$51:$B$92,MATCH(KOL_Database!$F$25,Lookup_Lists!$A$51:$A$92,0)),"")</f>
      </c>
      <c r="BC56" s="47">
        <f>IFERROR(INDEX(Lookup_Lists!$B$185:$O$198,MATCH(Matching_Engine!$BA$56,Lookup_Lists!$A$185:$A$198,0),MATCH(KOL_Database!$E$25,Lookup_Lists!$B$184:$O$184,0)),Lookup_Lists!$D$151)</f>
      </c>
      <c r="BD56" s="47">
        <f>IFERROR(INDEX(Lookup_Lists!$B$185:$O$198,MATCH(Brand_Profile!$E$33,Lookup_Lists!$A$185:$A$198,0),MATCH(KOL_Database!$E$25,Lookup_Lists!$B$184:$O$184,0)),Lookup_Lists!$D$151)</f>
      </c>
      <c r="BE56" s="44">
        <f>IFERROR(INDEX(Lookup_Lists!$B$51:$B$92,MATCH(Brand_Profile!$E$34,Lookup_Lists!$A$51:$A$92,0)),"")</f>
      </c>
      <c r="BF56" s="44">
        <f>KOL_Database!$AI$25&amp;", "&amp;KOL_Database!$AG$25&amp;", "&amp;KOL_Database!$F$25&amp;", "&amp;KOL_Database!$E$25</f>
      </c>
      <c r="BG56" s="44">
        <f>KOL_Database!$AI$25&amp;", "&amp;KOL_Database!$AG$25</f>
      </c>
    </row>
    <row r="57" spans="1:59" x14ac:dyDescent="0.25">
      <c r="A57" s="43" t="s">
        <v>76</v>
      </c>
      <c r="B57" s="44">
        <f>Brand_Profile!$E$9</f>
      </c>
      <c r="C57" s="44">
        <f>KOL_Database!$A$26</f>
      </c>
      <c r="D57" s="44">
        <f>KOL_Database!$B$26</f>
      </c>
      <c r="E57" s="44">
        <f>KOL_Database!$C$26</f>
      </c>
      <c r="F57" s="44">
        <f>KOL_Database!$D$26</f>
      </c>
      <c r="G57" s="44">
        <f>KOL_Database!$E$26</f>
      </c>
      <c r="H57" s="44">
        <f>KOL_Database!$G$26</f>
      </c>
      <c r="I57" s="45">
        <f>KOL_Database!$J$26</f>
      </c>
      <c r="J57" s="46">
        <f>KOL_Database!$K$26</f>
      </c>
      <c r="K57" s="47">
        <f>IFERROR(INDEX(Lookup_Lists!$B$170:$O$181,MATCH(Brand_Profile!$E$10,Lookup_Lists!$A$170:$A$181,0),MATCH(KOL_Database!$E$26,Lookup_Lists!$B$169:$O$169,0)),Lookup_Lists!$D$151)</f>
      </c>
      <c r="L57" s="47">
        <f>IF(KOL_Database!$F$26="",Matching_Engine!$BC$57,IF(Brand_Profile!$E$12=KOL_Database!$F$26,100,IF(Matching_Engine!$BA$57=KOL_Database!$E$26,80,IF(Matching_Engine!$BC$57&gt;=80,60,IF(Matching_Engine!$BC$57&gt;=60,40,Lookup_Lists!$D$151)))))</f>
      </c>
      <c r="M57" s="47">
        <f>ROUND((IF(Brand_Profile!$E$62=0,Lookup_Lists!$D$150,ROUND((IF(Brand_Profile!$E$57="",0,IF(ISNUMBER(SEARCH(Brand_Profile!$E$57,Matching_Engine!$BF$57)),1,0))+IF(Brand_Profile!$E$58="",0,IF(ISNUMBER(SEARCH(Brand_Profile!$E$58,Matching_Engine!$BF$57)),1,0))+IF(Brand_Profile!$E$59="",0,IF(ISNUMBER(SEARCH(Brand_Profile!$E$59,Matching_Engine!$BF$57)),1,0))+IF(Brand_Profile!$E$60="",0,IF(ISNUMBER(SEARCH(Brand_Profile!$E$60,Matching_Engine!$BF$57)),1,0))+IF(Brand_Profile!$E$61="",0,IF(ISNUMBER(SEARCH(Brand_Profile!$E$61,Matching_Engine!$BF$57)),1,0)))/Brand_Profile!$E$62*100,0))+IF(Brand_Profile!$E$74=0,Lookup_Lists!$D$150,ROUND((IF(Brand_Profile!$E$69="",0,IF(ISNUMBER(SEARCH(Brand_Profile!$E$69,Matching_Engine!$BF$57)),1,0))+IF(Brand_Profile!$E$70="",0,IF(ISNUMBER(SEARCH(Brand_Profile!$E$70,Matching_Engine!$BF$57)),1,0))+IF(Brand_Profile!$E$71="",0,IF(ISNUMBER(SEARCH(Brand_Profile!$E$71,Matching_Engine!$BF$57)),1,0))+IF(Brand_Profile!$E$72="",0,IF(ISNUMBER(SEARCH(Brand_Profile!$E$72,Matching_Engine!$BF$57)),1,0))+IF(Brand_Profile!$E$73="",0,IF(ISNUMBER(SEARCH(Brand_Profile!$E$73,Matching_Engine!$BF$57)),1,0)))/Brand_Profile!$E$74*100,0)))/2,0)</f>
      </c>
      <c r="N57" s="47">
        <f>ROUND((Matching_Engine!$K$57*Lookup_Lists!$D$110+Matching_Engine!$L$57*Lookup_Lists!$D$111+Matching_Engine!$M$57*Lookup_Lists!$D$112)/(Lookup_Lists!$D$110+Lookup_Lists!$D$111+Lookup_Lists!$D$112),0)</f>
      </c>
      <c r="O57" s="47">
        <f>IF(Brand_Profile!$E$16="",Lookup_Lists!$D$150,MIN(100,ROUND((IFERROR(INDEX(KOL_Database!$W$26:KOL_Database!$AA$26,1,MATCH(Brand_Profile!$E$16,Lookup_Lists!$F$6:$F$10,0)),0)+0.5*IFERROR(INDEX(KOL_Database!$W$26:KOL_Database!$AA$26,1,MATCH(Brand_Profile!$E$17,Lookup_Lists!$F$6:$F$10,0)),0))/Lookup_Lists!$D$142*100,0)))</f>
      </c>
      <c r="P57" s="47">
        <f>IF(OR(Brand_Profile!$E$18="",Brand_Profile!$E$18="Any"),100,IF(Brand_Profile!$E$18="Female",MIN(100,ROUND(KOL_Database!$AB$26/Lookup_Lists!$D$143*100,0)),IF(Brand_Profile!$E$18="Male",MIN(100,ROUND(KOL_Database!$AC$26/Lookup_Lists!$D$143*100,0)),MAX(0,ROUND(100-ABS(KOL_Database!$AB$26-50)*2,0)))))</f>
      </c>
      <c r="Q57" s="47">
        <f>ROUND((IF(Brand_Profile!$E$19="",100,IF(KOL_Database!$AD$26=Brand_Profile!$E$19,100,Lookup_Lists!$D$151))*Lookup_Lists!$D$118+IF(OR(Brand_Profile!$E$20="",Brand_Profile!$E$20="Nasional"),100,IF(KOL_Database!$AE$26="",Lookup_Lists!$D$150,IF(KOL_Database!$AE$26=Brand_Profile!$E$20,100,IF(KOL_Database!$AD$26=Brand_Profile!$E$19,40,Lookup_Lists!$D$151))))*Lookup_Lists!$D$119+IF(OR(Brand_Profile!$E$21="",Brand_Profile!$E$21="Nasional"),100,IF(KOL_Database!$AF$26="",Lookup_Lists!$D$150,IF(KOL_Database!$AF$26=Brand_Profile!$E$21,100,IF(KOL_Database!$AE$26=Brand_Profile!$E$20,60,Lookup_Lists!$D$151))))*Lookup_Lists!$D$120)/(Lookup_Lists!$D$118+Lookup_Lists!$D$119+Lookup_Lists!$D$120),0)</f>
      </c>
      <c r="R57" s="47">
        <f>IF(Brand_Profile!$E$68=0,Lookup_Lists!$D$150,ROUND((IF(Brand_Profile!$E$63="",0,IF(ISNUMBER(SEARCH(Brand_Profile!$E$63,KOL_Database!$AG$26)),1,0))+IF(Brand_Profile!$E$64="",0,IF(ISNUMBER(SEARCH(Brand_Profile!$E$64,KOL_Database!$AG$26)),1,0))+IF(Brand_Profile!$E$65="",0,IF(ISNUMBER(SEARCH(Brand_Profile!$E$65,KOL_Database!$AG$26)),1,0))+IF(Brand_Profile!$E$66="",0,IF(ISNUMBER(SEARCH(Brand_Profile!$E$66,KOL_Database!$AG$26)),1,0))+IF(Brand_Profile!$E$67="",0,IF(ISNUMBER(SEARCH(Brand_Profile!$E$67,KOL_Database!$AG$26)),1,0)))/Brand_Profile!$E$68*100,0))</f>
      </c>
      <c r="S57" s="47">
        <f>ROUND((Matching_Engine!$O$57*Brand_Profile!$E$96+Matching_Engine!$P$57*Brand_Profile!$E$97+Matching_Engine!$Q$57*Brand_Profile!$E$98+Matching_Engine!$R$57*Brand_Profile!$E$99)/MAX(1,Brand_Profile!$E$96+Brand_Profile!$E$97+Brand_Profile!$E$98+Brand_Profile!$E$99),0)</f>
      </c>
      <c r="T57" s="47">
        <f>IF(Brand_Profile!$E$33="",Lookup_Lists!$D$150,Matching_Engine!$BD$57)</f>
      </c>
      <c r="U57" s="47">
        <f>IF(Brand_Profile!$E$34="",Lookup_Lists!$D$150,IF(Brand_Profile!$E$34=KOL_Database!$F$26,100,IF(Matching_Engine!$BE$57=KOL_Database!$E$26,75,IF(Matching_Engine!$BD$57&gt;=80,Lookup_Lists!$D$150,IF(Matching_Engine!$BD$57&gt;=60,35,Lookup_Lists!$D$151)))))</f>
      </c>
      <c r="V57" s="47">
        <f>IF(Brand_Profile!$E$86=0,Lookup_Lists!$D$150,ROUND((IF(Brand_Profile!$E$81="",0,IF(ISNUMBER(SEARCH(Brand_Profile!$E$81,Matching_Engine!$BG$57)),1,0))+IF(Brand_Profile!$E$82="",0,IF(ISNUMBER(SEARCH(Brand_Profile!$E$82,Matching_Engine!$BG$57)),1,0))+IF(Brand_Profile!$E$83="",0,IF(ISNUMBER(SEARCH(Brand_Profile!$E$83,Matching_Engine!$BG$57)),1,0))+IF(Brand_Profile!$E$84="",0,IF(ISNUMBER(SEARCH(Brand_Profile!$E$84,Matching_Engine!$BG$57)),1,0))+IF(Brand_Profile!$E$85="",0,IF(ISNUMBER(SEARCH(Brand_Profile!$E$85,Matching_Engine!$BG$57)),1,0)))/Brand_Profile!$E$86*100,0))</f>
      </c>
      <c r="W57" s="47">
        <f>IF(Brand_Profile!$E$39="",Lookup_Lists!$D$150,IFERROR(INDEX(Lookup_Lists!$B$237:$K$246,MATCH(Brand_Profile!$E$39,Lookup_Lists!$A$237:$A$246,0),MATCH(KOL_Database!$AJ$26,Lookup_Lists!$B$236:$K$236,0)),45))</f>
      </c>
      <c r="X57" s="47">
        <f>ROUND((Matching_Engine!$T$57*Lookup_Lists!$D$121+Matching_Engine!$U$57*Lookup_Lists!$D$122+Matching_Engine!$V$57*Lookup_Lists!$D$123+Matching_Engine!$W$57*Lookup_Lists!$D$124)/(Lookup_Lists!$D$121+Lookup_Lists!$D$122+Lookup_Lists!$D$123+Lookup_Lists!$D$124),0)</f>
      </c>
      <c r="Y57" s="47">
        <f>MIN(100,MAX(IFERROR(INDEX(Lookup_Lists!$B$202:$M$211,MATCH(Brand_Profile!$E$25,Lookup_Lists!$A$202:$A$211,0),MATCH(KOL_Database!$AK$26,Lookup_Lists!$B$201:$M$201,0)),40),IF(KOL_Database!$AK$26=Brand_Profile!$E$41,95,0)))</f>
      </c>
      <c r="Z57" s="47">
        <f>IFERROR(INDEX(Lookup_Lists!$B$215:$K$222,MATCH(Brand_Profile!$E$27,Lookup_Lists!$A$215:$A$222,0),MATCH(KOL_Database!$AJ$26,Lookup_Lists!$B$214:$K$214,0)),45)</f>
      </c>
      <c r="AA57" s="47">
        <f>ROUND((IF(Brand_Profile!$E$80=0,Lookup_Lists!$D$150,ROUND((IF(Brand_Profile!$E$75="",0,IF(ISNUMBER(SEARCH(Brand_Profile!$E$75,KOL_Database!$AL$26)),1,0))+IF(Brand_Profile!$E$76="",0,IF(ISNUMBER(SEARCH(Brand_Profile!$E$76,KOL_Database!$AL$26)),1,0))+IF(Brand_Profile!$E$77="",0,IF(ISNUMBER(SEARCH(Brand_Profile!$E$77,KOL_Database!$AL$26)),1,0))+IF(Brand_Profile!$E$78="",0,IF(ISNUMBER(SEARCH(Brand_Profile!$E$78,KOL_Database!$AL$26)),1,0))+IF(Brand_Profile!$E$79="",0,IF(ISNUMBER(SEARCH(Brand_Profile!$E$79,KOL_Database!$AL$26)),1,0)))/Brand_Profile!$E$80*100,0))+IF(Brand_Profile!$E$92=0,Lookup_Lists!$D$150,ROUND((IF(Brand_Profile!$E$87="",0,IF(ISNUMBER(SEARCH(Brand_Profile!$E$87,KOL_Database!$AL$26)),1,0))+IF(Brand_Profile!$E$88="",0,IF(ISNUMBER(SEARCH(Brand_Profile!$E$88,KOL_Database!$AL$26)),1,0))+IF(Brand_Profile!$E$89="",0,IF(ISNUMBER(SEARCH(Brand_Profile!$E$89,KOL_Database!$AL$26)),1,0))+IF(Brand_Profile!$E$90="",0,IF(ISNUMBER(SEARCH(Brand_Profile!$E$90,KOL_Database!$AL$26)),1,0))+IF(Brand_Profile!$E$91="",0,IF(ISNUMBER(SEARCH(Brand_Profile!$E$91,KOL_Database!$AL$26)),1,0)))/Brand_Profile!$E$92*100,0)))/2,0)</f>
      </c>
      <c r="AB57" s="47">
        <f>IFERROR(INDEX(Lookup_Lists!$B$226:$K$233,MATCH(Brand_Profile!$E$30,Lookup_Lists!$A$226:$A$233,0),MATCH(KOL_Database!$AJ$26,Lookup_Lists!$B$225:$K$225,0)),45)</f>
      </c>
      <c r="AC57" s="47">
        <f>ROUND((Matching_Engine!$Y$57*Lookup_Lists!$D$125+Matching_Engine!$Z$57*Lookup_Lists!$D$126+Matching_Engine!$AA$57*Lookup_Lists!$D$127+Matching_Engine!$AB$57*Lookup_Lists!$D$128)/(Lookup_Lists!$D$125+Lookup_Lists!$D$126+Lookup_Lists!$D$127+Lookup_Lists!$D$128),0)</f>
      </c>
      <c r="AD57" s="47">
        <f>IF(KOL_Database!$K$26="",0,MIN(100,ROUND(KOL_Database!$K$26/Lookup_Lists!$D$141*100,0)))</f>
      </c>
      <c r="AE57" s="47">
        <f>IF(KOL_Database!$R$26="",0,MIN(100,MAX(0,KOL_Database!$R$26)))</f>
      </c>
      <c r="AF57" s="47">
        <f>IF(KOL_Database!$P$26="",0,MIN(100,MAX(0,KOL_Database!$P$26)))</f>
      </c>
      <c r="AG57" s="47">
        <f>IF(KOL_Database!$Q$26="",0,MIN(100,MAX(0,KOL_Database!$Q$26)))</f>
      </c>
      <c r="AH57" s="47">
        <f>IF(OR(KOL_Database!$J$26="",KOL_Database!$J$26=0,KOL_Database!$L$26=""),0,MIN(100,ROUND(KOL_Database!$L$26/KOL_Database!$J$26/Lookup_Lists!$D$144*100,0)))</f>
      </c>
      <c r="AI57" s="47">
        <f>IF(KOL_Database!$N$26="",0,MIN(100,MAX(0,ROUND((KOL_Database!$N$26+2)/(Lookup_Lists!$D$145+2)*100,0))))</f>
      </c>
      <c r="AJ57" s="47">
        <f>ROUND((Matching_Engine!$AD$57*Lookup_Lists!$D$129+Matching_Engine!$AE$57*Lookup_Lists!$D$130+Matching_Engine!$AF$57*Lookup_Lists!$D$131+Matching_Engine!$AG$57*Lookup_Lists!$D$132+Matching_Engine!$AH$57*Lookup_Lists!$D$133+Matching_Engine!$AI$57*Lookup_Lists!$D$134)/(Lookup_Lists!$D$129+Lookup_Lists!$D$130+Lookup_Lists!$D$131+Lookup_Lists!$D$132+Lookup_Lists!$D$133+Lookup_Lists!$D$134),0)</f>
      </c>
      <c r="AK57" s="47">
        <f>IF(KOL_Database!$AT$26="",0,MIN(100,MAX(0,KOL_Database!$AT$26)))</f>
      </c>
      <c r="AL57" s="47">
        <f>IF(KOL_Database!$AU$26="",0,KOL_Database!$AU$26)</f>
      </c>
      <c r="AM57" s="44">
        <f>IF(KOL_Database!$AV$26="","None",KOL_Database!$AV$26)</f>
      </c>
      <c r="AN57" s="48">
        <f>IF(Matching_Engine!$AM$57="High",Lookup_Lists!$D$137,IF(Matching_Engine!$AM$57="Medium",Lookup_Lists!$D$138,IF(Matching_Engine!$AM$57="Low",Lookup_Lists!$D$139,Lookup_Lists!$D$140)))</f>
      </c>
      <c r="AO57" s="47">
        <f>ROUND(MIN(100,MAX(0,(Matching_Engine!$AK$57*Lookup_Lists!$D$135+(100-Matching_Engine!$AL$57)*Lookup_Lists!$D$136)/(Lookup_Lists!$D$135+Lookup_Lists!$D$136)*Matching_Engine!$AN$57)),0)</f>
      </c>
      <c r="AP57" s="49">
        <f>ROUND((Matching_Engine!$N$57*Lookup_Lists!$D$104+Matching_Engine!$S$57*Lookup_Lists!$D$105+Matching_Engine!$X$57*Lookup_Lists!$D$106+Matching_Engine!$AC$57*Lookup_Lists!$D$107+Matching_Engine!$AJ$57*Lookup_Lists!$D$108+Matching_Engine!$AO$57*Lookup_Lists!$D$109)/MAX(1,(Lookup_Lists!$D$104+Lookup_Lists!$D$105+Lookup_Lists!$D$106+Lookup_Lists!$D$107+Lookup_Lists!$D$108+Lookup_Lists!$D$109)),0)</f>
      </c>
      <c r="AQ57" s="44">
        <f>IF(Matching_Engine!$AP$57&gt;=Lookup_Lists!$D$152,"Excellent Match",IF(Matching_Engine!$AP$57&gt;=Lookup_Lists!$D$153,"Strong Match",IF(Matching_Engine!$AP$57&gt;=Lookup_Lists!$D$154,"Good Match",IF(Matching_Engine!$AP$57&gt;=Lookup_Lists!$D$155,"Moderate Match","Low Match"))))</f>
      </c>
      <c r="AR57" s="47">
        <f>KOL_Database!$BE$26</f>
      </c>
      <c r="AS57" s="44">
        <f>IF(Matching_Engine!$AR$57&gt;=Lookup_Lists!$D$159,"High",IF(Matching_Engine!$AR$57&gt;=Lookup_Lists!$D$160,"Medium","Limited Data"))</f>
      </c>
      <c r="AT57" s="47">
        <f>ROUND((Matching_Engine!$N$57+Matching_Engine!$X$57+Matching_Engine!$AC$57)/3,0)</f>
      </c>
      <c r="AU57" s="47">
        <f>ROUND(((100-Matching_Engine!$AL$57)*Lookup_Lists!$D$162+IF(KOL_Database!$BD$26="",Lookup_Lists!$D$150,KOL_Database!$BD$26)*Lookup_Lists!$D$163+Matching_Engine!$AI$57*Lookup_Lists!$D$164+Matching_Engine!$AD$57*Lookup_Lists!$D$165)/(Lookup_Lists!$D$162+Lookup_Lists!$D$163+Lookup_Lists!$D$164+Lookup_Lists!$D$165),0)</f>
      </c>
      <c r="AV57" s="44">
        <f>IF(Matching_Engine!$AW$57="","PASS","EXCLUDED")</f>
      </c>
      <c r="AW57" s="44">
        <f>IF(ISERROR(SEARCH(KOL_Database!$D$26,Brand_Profile!$E$32)),"Platform not in Preferred Platform",IF(AND(Brand_Profile!$E$36&gt;0,KOL_Database!$J$26&lt;Brand_Profile!$E$36),"Followers below Preferred Follower Range",IF(AND(Brand_Profile!$E$37&gt;0,KOL_Database!$J$26&gt;Brand_Profile!$E$37),"Followers above Preferred Follower Range",IF(AND(Brand_Profile!$E$38&gt;0,IF(KOL_Database!$K$26="",0,KOL_Database!$K$26)&lt;Brand_Profile!$E$38),"Engagement Rate below Minimum Engagement Rate",IF(ISERROR(SEARCH(KOL_Database!$G$26,Brand_Profile!$E$35)),"Tier not in Preferred Tier",IF(AND(Brand_Profile!$E$43&gt;0,Matching_Engine!$AE$57&lt;Brand_Profile!$E$43),"Audience Quality below Minimum Audience Quality",IF(AND(Brand_Profile!$E$44&gt;0,Matching_Engine!$AK$57&lt;Brand_Profile!$E$44),"Brand Safety below Minimum Brand Safety",IF(AND(Brand_Profile!$E$47="Yes",KOL_Database!$AD$26&lt;&gt;Brand_Profile!$E$19),"Audience Country does not match Target Country",IF(AND(Brand_Profile!$E$46="Yes",KOL_Database!$E$26&lt;&gt;Brand_Profile!$E$33),"Category is not the Preferred Category",IF(AND(Brand_Profile!$E$48&gt;0,Matching_Engine!$AL$57&gt;Brand_Profile!$E$48),"Competitor Saturation above Max Competitor Saturation",IF(AND(Brand_Profile!$E$50="Yes",KOL_Database!$AW$26="Yes"),"Already Selected",IF(AND(Brand_Profile!$E$51="Yes",KOL_Database!$AX$26="Yes"),"Already in Cart",IF(AND(Brand_Profile!$E$52="Yes",KOL_Database!$AY$26="Yes"),"Existing Partner",IF(AND(Brand_Profile!$E$53="Yes",KOL_Database!$AZ$26="Yes"),"Excluded Creator",IF(AND(Brand_Profile!$E$49&gt;0,Matching_Engine!$AP$57&lt;Brand_Profile!$E$49),"Brand Match below Minimum Brand Match","")))))))))))))))</f>
      </c>
      <c r="AX57" s="44">
        <f>IF(Matching_Engine!$AV$57="EXCLUDED","Excluded",IF(Matching_Engine!$AP$57&gt;=Lookup_Lists!$D$156,"Highly Recommended",IF(Matching_Engine!$AP$57&gt;=Lookup_Lists!$D$157,"Recommended",IF(Matching_Engine!$AP$57&gt;=Lookup_Lists!$D$158,"Consider","Low Priority"))))</f>
      </c>
      <c r="AY57" s="47">
        <f>IF(Matching_Engine!$AV$57="PASS",Matching_Engine!$AP$57,"")</f>
      </c>
      <c r="AZ57" s="44">
        <f>Matching_Engine!$A$57&amp;"|"&amp;Matching_Engine!$C$57</f>
      </c>
      <c r="BA57" s="44">
        <f>IFERROR(INDEX(Lookup_Lists!$B$51:$B$92,MATCH(Brand_Profile!$E$12,Lookup_Lists!$A$51:$A$92,0)),"")</f>
      </c>
      <c r="BB57" s="44">
        <f>IFERROR(INDEX(Lookup_Lists!$B$51:$B$92,MATCH(KOL_Database!$F$26,Lookup_Lists!$A$51:$A$92,0)),"")</f>
      </c>
      <c r="BC57" s="47">
        <f>IFERROR(INDEX(Lookup_Lists!$B$185:$O$198,MATCH(Matching_Engine!$BA$57,Lookup_Lists!$A$185:$A$198,0),MATCH(KOL_Database!$E$26,Lookup_Lists!$B$184:$O$184,0)),Lookup_Lists!$D$151)</f>
      </c>
      <c r="BD57" s="47">
        <f>IFERROR(INDEX(Lookup_Lists!$B$185:$O$198,MATCH(Brand_Profile!$E$33,Lookup_Lists!$A$185:$A$198,0),MATCH(KOL_Database!$E$26,Lookup_Lists!$B$184:$O$184,0)),Lookup_Lists!$D$151)</f>
      </c>
      <c r="BE57" s="44">
        <f>IFERROR(INDEX(Lookup_Lists!$B$51:$B$92,MATCH(Brand_Profile!$E$34,Lookup_Lists!$A$51:$A$92,0)),"")</f>
      </c>
      <c r="BF57" s="44">
        <f>KOL_Database!$AI$26&amp;", "&amp;KOL_Database!$AG$26&amp;", "&amp;KOL_Database!$F$26&amp;", "&amp;KOL_Database!$E$26</f>
      </c>
      <c r="BG57" s="44">
        <f>KOL_Database!$AI$26&amp;", "&amp;KOL_Database!$AG$26</f>
      </c>
    </row>
    <row r="58" spans="1:59" x14ac:dyDescent="0.25">
      <c r="A58" s="43" t="s">
        <v>76</v>
      </c>
      <c r="B58" s="44">
        <f>Brand_Profile!$E$9</f>
      </c>
      <c r="C58" s="44">
        <f>KOL_Database!$A$27</f>
      </c>
      <c r="D58" s="44">
        <f>KOL_Database!$B$27</f>
      </c>
      <c r="E58" s="44">
        <f>KOL_Database!$C$27</f>
      </c>
      <c r="F58" s="44">
        <f>KOL_Database!$D$27</f>
      </c>
      <c r="G58" s="44">
        <f>KOL_Database!$E$27</f>
      </c>
      <c r="H58" s="44">
        <f>KOL_Database!$G$27</f>
      </c>
      <c r="I58" s="45">
        <f>KOL_Database!$J$27</f>
      </c>
      <c r="J58" s="46">
        <f>KOL_Database!$K$27</f>
      </c>
      <c r="K58" s="47">
        <f>IFERROR(INDEX(Lookup_Lists!$B$170:$O$181,MATCH(Brand_Profile!$E$10,Lookup_Lists!$A$170:$A$181,0),MATCH(KOL_Database!$E$27,Lookup_Lists!$B$169:$O$169,0)),Lookup_Lists!$D$151)</f>
      </c>
      <c r="L58" s="47">
        <f>IF(KOL_Database!$F$27="",Matching_Engine!$BC$58,IF(Brand_Profile!$E$12=KOL_Database!$F$27,100,IF(Matching_Engine!$BA$58=KOL_Database!$E$27,80,IF(Matching_Engine!$BC$58&gt;=80,60,IF(Matching_Engine!$BC$58&gt;=60,40,Lookup_Lists!$D$151)))))</f>
      </c>
      <c r="M58" s="47">
        <f>ROUND((IF(Brand_Profile!$E$62=0,Lookup_Lists!$D$150,ROUND((IF(Brand_Profile!$E$57="",0,IF(ISNUMBER(SEARCH(Brand_Profile!$E$57,Matching_Engine!$BF$58)),1,0))+IF(Brand_Profile!$E$58="",0,IF(ISNUMBER(SEARCH(Brand_Profile!$E$58,Matching_Engine!$BF$58)),1,0))+IF(Brand_Profile!$E$59="",0,IF(ISNUMBER(SEARCH(Brand_Profile!$E$59,Matching_Engine!$BF$58)),1,0))+IF(Brand_Profile!$E$60="",0,IF(ISNUMBER(SEARCH(Brand_Profile!$E$60,Matching_Engine!$BF$58)),1,0))+IF(Brand_Profile!$E$61="",0,IF(ISNUMBER(SEARCH(Brand_Profile!$E$61,Matching_Engine!$BF$58)),1,0)))/Brand_Profile!$E$62*100,0))+IF(Brand_Profile!$E$74=0,Lookup_Lists!$D$150,ROUND((IF(Brand_Profile!$E$69="",0,IF(ISNUMBER(SEARCH(Brand_Profile!$E$69,Matching_Engine!$BF$58)),1,0))+IF(Brand_Profile!$E$70="",0,IF(ISNUMBER(SEARCH(Brand_Profile!$E$70,Matching_Engine!$BF$58)),1,0))+IF(Brand_Profile!$E$71="",0,IF(ISNUMBER(SEARCH(Brand_Profile!$E$71,Matching_Engine!$BF$58)),1,0))+IF(Brand_Profile!$E$72="",0,IF(ISNUMBER(SEARCH(Brand_Profile!$E$72,Matching_Engine!$BF$58)),1,0))+IF(Brand_Profile!$E$73="",0,IF(ISNUMBER(SEARCH(Brand_Profile!$E$73,Matching_Engine!$BF$58)),1,0)))/Brand_Profile!$E$74*100,0)))/2,0)</f>
      </c>
      <c r="N58" s="47">
        <f>ROUND((Matching_Engine!$K$58*Lookup_Lists!$D$110+Matching_Engine!$L$58*Lookup_Lists!$D$111+Matching_Engine!$M$58*Lookup_Lists!$D$112)/(Lookup_Lists!$D$110+Lookup_Lists!$D$111+Lookup_Lists!$D$112),0)</f>
      </c>
      <c r="O58" s="47">
        <f>IF(Brand_Profile!$E$16="",Lookup_Lists!$D$150,MIN(100,ROUND((IFERROR(INDEX(KOL_Database!$W$27:KOL_Database!$AA$27,1,MATCH(Brand_Profile!$E$16,Lookup_Lists!$F$6:$F$10,0)),0)+0.5*IFERROR(INDEX(KOL_Database!$W$27:KOL_Database!$AA$27,1,MATCH(Brand_Profile!$E$17,Lookup_Lists!$F$6:$F$10,0)),0))/Lookup_Lists!$D$142*100,0)))</f>
      </c>
      <c r="P58" s="47">
        <f>IF(OR(Brand_Profile!$E$18="",Brand_Profile!$E$18="Any"),100,IF(Brand_Profile!$E$18="Female",MIN(100,ROUND(KOL_Database!$AB$27/Lookup_Lists!$D$143*100,0)),IF(Brand_Profile!$E$18="Male",MIN(100,ROUND(KOL_Database!$AC$27/Lookup_Lists!$D$143*100,0)),MAX(0,ROUND(100-ABS(KOL_Database!$AB$27-50)*2,0)))))</f>
      </c>
      <c r="Q58" s="47">
        <f>ROUND((IF(Brand_Profile!$E$19="",100,IF(KOL_Database!$AD$27=Brand_Profile!$E$19,100,Lookup_Lists!$D$151))*Lookup_Lists!$D$118+IF(OR(Brand_Profile!$E$20="",Brand_Profile!$E$20="Nasional"),100,IF(KOL_Database!$AE$27="",Lookup_Lists!$D$150,IF(KOL_Database!$AE$27=Brand_Profile!$E$20,100,IF(KOL_Database!$AD$27=Brand_Profile!$E$19,40,Lookup_Lists!$D$151))))*Lookup_Lists!$D$119+IF(OR(Brand_Profile!$E$21="",Brand_Profile!$E$21="Nasional"),100,IF(KOL_Database!$AF$27="",Lookup_Lists!$D$150,IF(KOL_Database!$AF$27=Brand_Profile!$E$21,100,IF(KOL_Database!$AE$27=Brand_Profile!$E$20,60,Lookup_Lists!$D$151))))*Lookup_Lists!$D$120)/(Lookup_Lists!$D$118+Lookup_Lists!$D$119+Lookup_Lists!$D$120),0)</f>
      </c>
      <c r="R58" s="47">
        <f>IF(Brand_Profile!$E$68=0,Lookup_Lists!$D$150,ROUND((IF(Brand_Profile!$E$63="",0,IF(ISNUMBER(SEARCH(Brand_Profile!$E$63,KOL_Database!$AG$27)),1,0))+IF(Brand_Profile!$E$64="",0,IF(ISNUMBER(SEARCH(Brand_Profile!$E$64,KOL_Database!$AG$27)),1,0))+IF(Brand_Profile!$E$65="",0,IF(ISNUMBER(SEARCH(Brand_Profile!$E$65,KOL_Database!$AG$27)),1,0))+IF(Brand_Profile!$E$66="",0,IF(ISNUMBER(SEARCH(Brand_Profile!$E$66,KOL_Database!$AG$27)),1,0))+IF(Brand_Profile!$E$67="",0,IF(ISNUMBER(SEARCH(Brand_Profile!$E$67,KOL_Database!$AG$27)),1,0)))/Brand_Profile!$E$68*100,0))</f>
      </c>
      <c r="S58" s="47">
        <f>ROUND((Matching_Engine!$O$58*Brand_Profile!$E$96+Matching_Engine!$P$58*Brand_Profile!$E$97+Matching_Engine!$Q$58*Brand_Profile!$E$98+Matching_Engine!$R$58*Brand_Profile!$E$99)/MAX(1,Brand_Profile!$E$96+Brand_Profile!$E$97+Brand_Profile!$E$98+Brand_Profile!$E$99),0)</f>
      </c>
      <c r="T58" s="47">
        <f>IF(Brand_Profile!$E$33="",Lookup_Lists!$D$150,Matching_Engine!$BD$58)</f>
      </c>
      <c r="U58" s="47">
        <f>IF(Brand_Profile!$E$34="",Lookup_Lists!$D$150,IF(Brand_Profile!$E$34=KOL_Database!$F$27,100,IF(Matching_Engine!$BE$58=KOL_Database!$E$27,75,IF(Matching_Engine!$BD$58&gt;=80,Lookup_Lists!$D$150,IF(Matching_Engine!$BD$58&gt;=60,35,Lookup_Lists!$D$151)))))</f>
      </c>
      <c r="V58" s="47">
        <f>IF(Brand_Profile!$E$86=0,Lookup_Lists!$D$150,ROUND((IF(Brand_Profile!$E$81="",0,IF(ISNUMBER(SEARCH(Brand_Profile!$E$81,Matching_Engine!$BG$58)),1,0))+IF(Brand_Profile!$E$82="",0,IF(ISNUMBER(SEARCH(Brand_Profile!$E$82,Matching_Engine!$BG$58)),1,0))+IF(Brand_Profile!$E$83="",0,IF(ISNUMBER(SEARCH(Brand_Profile!$E$83,Matching_Engine!$BG$58)),1,0))+IF(Brand_Profile!$E$84="",0,IF(ISNUMBER(SEARCH(Brand_Profile!$E$84,Matching_Engine!$BG$58)),1,0))+IF(Brand_Profile!$E$85="",0,IF(ISNUMBER(SEARCH(Brand_Profile!$E$85,Matching_Engine!$BG$58)),1,0)))/Brand_Profile!$E$86*100,0))</f>
      </c>
      <c r="W58" s="47">
        <f>IF(Brand_Profile!$E$39="",Lookup_Lists!$D$150,IFERROR(INDEX(Lookup_Lists!$B$237:$K$246,MATCH(Brand_Profile!$E$39,Lookup_Lists!$A$237:$A$246,0),MATCH(KOL_Database!$AJ$27,Lookup_Lists!$B$236:$K$236,0)),45))</f>
      </c>
      <c r="X58" s="47">
        <f>ROUND((Matching_Engine!$T$58*Lookup_Lists!$D$121+Matching_Engine!$U$58*Lookup_Lists!$D$122+Matching_Engine!$V$58*Lookup_Lists!$D$123+Matching_Engine!$W$58*Lookup_Lists!$D$124)/(Lookup_Lists!$D$121+Lookup_Lists!$D$122+Lookup_Lists!$D$123+Lookup_Lists!$D$124),0)</f>
      </c>
      <c r="Y58" s="47">
        <f>MIN(100,MAX(IFERROR(INDEX(Lookup_Lists!$B$202:$M$211,MATCH(Brand_Profile!$E$25,Lookup_Lists!$A$202:$A$211,0),MATCH(KOL_Database!$AK$27,Lookup_Lists!$B$201:$M$201,0)),40),IF(KOL_Database!$AK$27=Brand_Profile!$E$41,95,0)))</f>
      </c>
      <c r="Z58" s="47">
        <f>IFERROR(INDEX(Lookup_Lists!$B$215:$K$222,MATCH(Brand_Profile!$E$27,Lookup_Lists!$A$215:$A$222,0),MATCH(KOL_Database!$AJ$27,Lookup_Lists!$B$214:$K$214,0)),45)</f>
      </c>
      <c r="AA58" s="47">
        <f>ROUND((IF(Brand_Profile!$E$80=0,Lookup_Lists!$D$150,ROUND((IF(Brand_Profile!$E$75="",0,IF(ISNUMBER(SEARCH(Brand_Profile!$E$75,KOL_Database!$AL$27)),1,0))+IF(Brand_Profile!$E$76="",0,IF(ISNUMBER(SEARCH(Brand_Profile!$E$76,KOL_Database!$AL$27)),1,0))+IF(Brand_Profile!$E$77="",0,IF(ISNUMBER(SEARCH(Brand_Profile!$E$77,KOL_Database!$AL$27)),1,0))+IF(Brand_Profile!$E$78="",0,IF(ISNUMBER(SEARCH(Brand_Profile!$E$78,KOL_Database!$AL$27)),1,0))+IF(Brand_Profile!$E$79="",0,IF(ISNUMBER(SEARCH(Brand_Profile!$E$79,KOL_Database!$AL$27)),1,0)))/Brand_Profile!$E$80*100,0))+IF(Brand_Profile!$E$92=0,Lookup_Lists!$D$150,ROUND((IF(Brand_Profile!$E$87="",0,IF(ISNUMBER(SEARCH(Brand_Profile!$E$87,KOL_Database!$AL$27)),1,0))+IF(Brand_Profile!$E$88="",0,IF(ISNUMBER(SEARCH(Brand_Profile!$E$88,KOL_Database!$AL$27)),1,0))+IF(Brand_Profile!$E$89="",0,IF(ISNUMBER(SEARCH(Brand_Profile!$E$89,KOL_Database!$AL$27)),1,0))+IF(Brand_Profile!$E$90="",0,IF(ISNUMBER(SEARCH(Brand_Profile!$E$90,KOL_Database!$AL$27)),1,0))+IF(Brand_Profile!$E$91="",0,IF(ISNUMBER(SEARCH(Brand_Profile!$E$91,KOL_Database!$AL$27)),1,0)))/Brand_Profile!$E$92*100,0)))/2,0)</f>
      </c>
      <c r="AB58" s="47">
        <f>IFERROR(INDEX(Lookup_Lists!$B$226:$K$233,MATCH(Brand_Profile!$E$30,Lookup_Lists!$A$226:$A$233,0),MATCH(KOL_Database!$AJ$27,Lookup_Lists!$B$225:$K$225,0)),45)</f>
      </c>
      <c r="AC58" s="47">
        <f>ROUND((Matching_Engine!$Y$58*Lookup_Lists!$D$125+Matching_Engine!$Z$58*Lookup_Lists!$D$126+Matching_Engine!$AA$58*Lookup_Lists!$D$127+Matching_Engine!$AB$58*Lookup_Lists!$D$128)/(Lookup_Lists!$D$125+Lookup_Lists!$D$126+Lookup_Lists!$D$127+Lookup_Lists!$D$128),0)</f>
      </c>
      <c r="AD58" s="47">
        <f>IF(KOL_Database!$K$27="",0,MIN(100,ROUND(KOL_Database!$K$27/Lookup_Lists!$D$141*100,0)))</f>
      </c>
      <c r="AE58" s="47">
        <f>IF(KOL_Database!$R$27="",0,MIN(100,MAX(0,KOL_Database!$R$27)))</f>
      </c>
      <c r="AF58" s="47">
        <f>IF(KOL_Database!$P$27="",0,MIN(100,MAX(0,KOL_Database!$P$27)))</f>
      </c>
      <c r="AG58" s="47">
        <f>IF(KOL_Database!$Q$27="",0,MIN(100,MAX(0,KOL_Database!$Q$27)))</f>
      </c>
      <c r="AH58" s="47">
        <f>IF(OR(KOL_Database!$J$27="",KOL_Database!$J$27=0,KOL_Database!$L$27=""),0,MIN(100,ROUND(KOL_Database!$L$27/KOL_Database!$J$27/Lookup_Lists!$D$144*100,0)))</f>
      </c>
      <c r="AI58" s="47">
        <f>IF(KOL_Database!$N$27="",0,MIN(100,MAX(0,ROUND((KOL_Database!$N$27+2)/(Lookup_Lists!$D$145+2)*100,0))))</f>
      </c>
      <c r="AJ58" s="47">
        <f>ROUND((Matching_Engine!$AD$58*Lookup_Lists!$D$129+Matching_Engine!$AE$58*Lookup_Lists!$D$130+Matching_Engine!$AF$58*Lookup_Lists!$D$131+Matching_Engine!$AG$58*Lookup_Lists!$D$132+Matching_Engine!$AH$58*Lookup_Lists!$D$133+Matching_Engine!$AI$58*Lookup_Lists!$D$134)/(Lookup_Lists!$D$129+Lookup_Lists!$D$130+Lookup_Lists!$D$131+Lookup_Lists!$D$132+Lookup_Lists!$D$133+Lookup_Lists!$D$134),0)</f>
      </c>
      <c r="AK58" s="47">
        <f>IF(KOL_Database!$AT$27="",0,MIN(100,MAX(0,KOL_Database!$AT$27)))</f>
      </c>
      <c r="AL58" s="47">
        <f>IF(KOL_Database!$AU$27="",0,KOL_Database!$AU$27)</f>
      </c>
      <c r="AM58" s="44">
        <f>IF(KOL_Database!$AV$27="","None",KOL_Database!$AV$27)</f>
      </c>
      <c r="AN58" s="48">
        <f>IF(Matching_Engine!$AM$58="High",Lookup_Lists!$D$137,IF(Matching_Engine!$AM$58="Medium",Lookup_Lists!$D$138,IF(Matching_Engine!$AM$58="Low",Lookup_Lists!$D$139,Lookup_Lists!$D$140)))</f>
      </c>
      <c r="AO58" s="47">
        <f>ROUND(MIN(100,MAX(0,(Matching_Engine!$AK$58*Lookup_Lists!$D$135+(100-Matching_Engine!$AL$58)*Lookup_Lists!$D$136)/(Lookup_Lists!$D$135+Lookup_Lists!$D$136)*Matching_Engine!$AN$58)),0)</f>
      </c>
      <c r="AP58" s="49">
        <f>ROUND((Matching_Engine!$N$58*Lookup_Lists!$D$104+Matching_Engine!$S$58*Lookup_Lists!$D$105+Matching_Engine!$X$58*Lookup_Lists!$D$106+Matching_Engine!$AC$58*Lookup_Lists!$D$107+Matching_Engine!$AJ$58*Lookup_Lists!$D$108+Matching_Engine!$AO$58*Lookup_Lists!$D$109)/MAX(1,(Lookup_Lists!$D$104+Lookup_Lists!$D$105+Lookup_Lists!$D$106+Lookup_Lists!$D$107+Lookup_Lists!$D$108+Lookup_Lists!$D$109)),0)</f>
      </c>
      <c r="AQ58" s="44">
        <f>IF(Matching_Engine!$AP$58&gt;=Lookup_Lists!$D$152,"Excellent Match",IF(Matching_Engine!$AP$58&gt;=Lookup_Lists!$D$153,"Strong Match",IF(Matching_Engine!$AP$58&gt;=Lookup_Lists!$D$154,"Good Match",IF(Matching_Engine!$AP$58&gt;=Lookup_Lists!$D$155,"Moderate Match","Low Match"))))</f>
      </c>
      <c r="AR58" s="47">
        <f>KOL_Database!$BE$27</f>
      </c>
      <c r="AS58" s="44">
        <f>IF(Matching_Engine!$AR$58&gt;=Lookup_Lists!$D$159,"High",IF(Matching_Engine!$AR$58&gt;=Lookup_Lists!$D$160,"Medium","Limited Data"))</f>
      </c>
      <c r="AT58" s="47">
        <f>ROUND((Matching_Engine!$N$58+Matching_Engine!$X$58+Matching_Engine!$AC$58)/3,0)</f>
      </c>
      <c r="AU58" s="47">
        <f>ROUND(((100-Matching_Engine!$AL$58)*Lookup_Lists!$D$162+IF(KOL_Database!$BD$27="",Lookup_Lists!$D$150,KOL_Database!$BD$27)*Lookup_Lists!$D$163+Matching_Engine!$AI$58*Lookup_Lists!$D$164+Matching_Engine!$AD$58*Lookup_Lists!$D$165)/(Lookup_Lists!$D$162+Lookup_Lists!$D$163+Lookup_Lists!$D$164+Lookup_Lists!$D$165),0)</f>
      </c>
      <c r="AV58" s="44">
        <f>IF(Matching_Engine!$AW$58="","PASS","EXCLUDED")</f>
      </c>
      <c r="AW58" s="44">
        <f>IF(ISERROR(SEARCH(KOL_Database!$D$27,Brand_Profile!$E$32)),"Platform not in Preferred Platform",IF(AND(Brand_Profile!$E$36&gt;0,KOL_Database!$J$27&lt;Brand_Profile!$E$36),"Followers below Preferred Follower Range",IF(AND(Brand_Profile!$E$37&gt;0,KOL_Database!$J$27&gt;Brand_Profile!$E$37),"Followers above Preferred Follower Range",IF(AND(Brand_Profile!$E$38&gt;0,IF(KOL_Database!$K$27="",0,KOL_Database!$K$27)&lt;Brand_Profile!$E$38),"Engagement Rate below Minimum Engagement Rate",IF(ISERROR(SEARCH(KOL_Database!$G$27,Brand_Profile!$E$35)),"Tier not in Preferred Tier",IF(AND(Brand_Profile!$E$43&gt;0,Matching_Engine!$AE$58&lt;Brand_Profile!$E$43),"Audience Quality below Minimum Audience Quality",IF(AND(Brand_Profile!$E$44&gt;0,Matching_Engine!$AK$58&lt;Brand_Profile!$E$44),"Brand Safety below Minimum Brand Safety",IF(AND(Brand_Profile!$E$47="Yes",KOL_Database!$AD$27&lt;&gt;Brand_Profile!$E$19),"Audience Country does not match Target Country",IF(AND(Brand_Profile!$E$46="Yes",KOL_Database!$E$27&lt;&gt;Brand_Profile!$E$33),"Category is not the Preferred Category",IF(AND(Brand_Profile!$E$48&gt;0,Matching_Engine!$AL$58&gt;Brand_Profile!$E$48),"Competitor Saturation above Max Competitor Saturation",IF(AND(Brand_Profile!$E$50="Yes",KOL_Database!$AW$27="Yes"),"Already Selected",IF(AND(Brand_Profile!$E$51="Yes",KOL_Database!$AX$27="Yes"),"Already in Cart",IF(AND(Brand_Profile!$E$52="Yes",KOL_Database!$AY$27="Yes"),"Existing Partner",IF(AND(Brand_Profile!$E$53="Yes",KOL_Database!$AZ$27="Yes"),"Excluded Creator",IF(AND(Brand_Profile!$E$49&gt;0,Matching_Engine!$AP$58&lt;Brand_Profile!$E$49),"Brand Match below Minimum Brand Match","")))))))))))))))</f>
      </c>
      <c r="AX58" s="44">
        <f>IF(Matching_Engine!$AV$58="EXCLUDED","Excluded",IF(Matching_Engine!$AP$58&gt;=Lookup_Lists!$D$156,"Highly Recommended",IF(Matching_Engine!$AP$58&gt;=Lookup_Lists!$D$157,"Recommended",IF(Matching_Engine!$AP$58&gt;=Lookup_Lists!$D$158,"Consider","Low Priority"))))</f>
      </c>
      <c r="AY58" s="47">
        <f>IF(Matching_Engine!$AV$58="PASS",Matching_Engine!$AP$58,"")</f>
      </c>
      <c r="AZ58" s="44">
        <f>Matching_Engine!$A$58&amp;"|"&amp;Matching_Engine!$C$58</f>
      </c>
      <c r="BA58" s="44">
        <f>IFERROR(INDEX(Lookup_Lists!$B$51:$B$92,MATCH(Brand_Profile!$E$12,Lookup_Lists!$A$51:$A$92,0)),"")</f>
      </c>
      <c r="BB58" s="44">
        <f>IFERROR(INDEX(Lookup_Lists!$B$51:$B$92,MATCH(KOL_Database!$F$27,Lookup_Lists!$A$51:$A$92,0)),"")</f>
      </c>
      <c r="BC58" s="47">
        <f>IFERROR(INDEX(Lookup_Lists!$B$185:$O$198,MATCH(Matching_Engine!$BA$58,Lookup_Lists!$A$185:$A$198,0),MATCH(KOL_Database!$E$27,Lookup_Lists!$B$184:$O$184,0)),Lookup_Lists!$D$151)</f>
      </c>
      <c r="BD58" s="47">
        <f>IFERROR(INDEX(Lookup_Lists!$B$185:$O$198,MATCH(Brand_Profile!$E$33,Lookup_Lists!$A$185:$A$198,0),MATCH(KOL_Database!$E$27,Lookup_Lists!$B$184:$O$184,0)),Lookup_Lists!$D$151)</f>
      </c>
      <c r="BE58" s="44">
        <f>IFERROR(INDEX(Lookup_Lists!$B$51:$B$92,MATCH(Brand_Profile!$E$34,Lookup_Lists!$A$51:$A$92,0)),"")</f>
      </c>
      <c r="BF58" s="44">
        <f>KOL_Database!$AI$27&amp;", "&amp;KOL_Database!$AG$27&amp;", "&amp;KOL_Database!$F$27&amp;", "&amp;KOL_Database!$E$27</f>
      </c>
      <c r="BG58" s="44">
        <f>KOL_Database!$AI$27&amp;", "&amp;KOL_Database!$AG$27</f>
      </c>
    </row>
    <row r="59" spans="1:59" x14ac:dyDescent="0.25">
      <c r="A59" s="43" t="s">
        <v>76</v>
      </c>
      <c r="B59" s="44">
        <f>Brand_Profile!$E$9</f>
      </c>
      <c r="C59" s="44">
        <f>KOL_Database!$A$28</f>
      </c>
      <c r="D59" s="44">
        <f>KOL_Database!$B$28</f>
      </c>
      <c r="E59" s="44">
        <f>KOL_Database!$C$28</f>
      </c>
      <c r="F59" s="44">
        <f>KOL_Database!$D$28</f>
      </c>
      <c r="G59" s="44">
        <f>KOL_Database!$E$28</f>
      </c>
      <c r="H59" s="44">
        <f>KOL_Database!$G$28</f>
      </c>
      <c r="I59" s="45">
        <f>KOL_Database!$J$28</f>
      </c>
      <c r="J59" s="46">
        <f>KOL_Database!$K$28</f>
      </c>
      <c r="K59" s="47">
        <f>IFERROR(INDEX(Lookup_Lists!$B$170:$O$181,MATCH(Brand_Profile!$E$10,Lookup_Lists!$A$170:$A$181,0),MATCH(KOL_Database!$E$28,Lookup_Lists!$B$169:$O$169,0)),Lookup_Lists!$D$151)</f>
      </c>
      <c r="L59" s="47">
        <f>IF(KOL_Database!$F$28="",Matching_Engine!$BC$59,IF(Brand_Profile!$E$12=KOL_Database!$F$28,100,IF(Matching_Engine!$BA$59=KOL_Database!$E$28,80,IF(Matching_Engine!$BC$59&gt;=80,60,IF(Matching_Engine!$BC$59&gt;=60,40,Lookup_Lists!$D$151)))))</f>
      </c>
      <c r="M59" s="47">
        <f>ROUND((IF(Brand_Profile!$E$62=0,Lookup_Lists!$D$150,ROUND((IF(Brand_Profile!$E$57="",0,IF(ISNUMBER(SEARCH(Brand_Profile!$E$57,Matching_Engine!$BF$59)),1,0))+IF(Brand_Profile!$E$58="",0,IF(ISNUMBER(SEARCH(Brand_Profile!$E$58,Matching_Engine!$BF$59)),1,0))+IF(Brand_Profile!$E$59="",0,IF(ISNUMBER(SEARCH(Brand_Profile!$E$59,Matching_Engine!$BF$59)),1,0))+IF(Brand_Profile!$E$60="",0,IF(ISNUMBER(SEARCH(Brand_Profile!$E$60,Matching_Engine!$BF$59)),1,0))+IF(Brand_Profile!$E$61="",0,IF(ISNUMBER(SEARCH(Brand_Profile!$E$61,Matching_Engine!$BF$59)),1,0)))/Brand_Profile!$E$62*100,0))+IF(Brand_Profile!$E$74=0,Lookup_Lists!$D$150,ROUND((IF(Brand_Profile!$E$69="",0,IF(ISNUMBER(SEARCH(Brand_Profile!$E$69,Matching_Engine!$BF$59)),1,0))+IF(Brand_Profile!$E$70="",0,IF(ISNUMBER(SEARCH(Brand_Profile!$E$70,Matching_Engine!$BF$59)),1,0))+IF(Brand_Profile!$E$71="",0,IF(ISNUMBER(SEARCH(Brand_Profile!$E$71,Matching_Engine!$BF$59)),1,0))+IF(Brand_Profile!$E$72="",0,IF(ISNUMBER(SEARCH(Brand_Profile!$E$72,Matching_Engine!$BF$59)),1,0))+IF(Brand_Profile!$E$73="",0,IF(ISNUMBER(SEARCH(Brand_Profile!$E$73,Matching_Engine!$BF$59)),1,0)))/Brand_Profile!$E$74*100,0)))/2,0)</f>
      </c>
      <c r="N59" s="47">
        <f>ROUND((Matching_Engine!$K$59*Lookup_Lists!$D$110+Matching_Engine!$L$59*Lookup_Lists!$D$111+Matching_Engine!$M$59*Lookup_Lists!$D$112)/(Lookup_Lists!$D$110+Lookup_Lists!$D$111+Lookup_Lists!$D$112),0)</f>
      </c>
      <c r="O59" s="47">
        <f>IF(Brand_Profile!$E$16="",Lookup_Lists!$D$150,MIN(100,ROUND((IFERROR(INDEX(KOL_Database!$W$28:KOL_Database!$AA$28,1,MATCH(Brand_Profile!$E$16,Lookup_Lists!$F$6:$F$10,0)),0)+0.5*IFERROR(INDEX(KOL_Database!$W$28:KOL_Database!$AA$28,1,MATCH(Brand_Profile!$E$17,Lookup_Lists!$F$6:$F$10,0)),0))/Lookup_Lists!$D$142*100,0)))</f>
      </c>
      <c r="P59" s="47">
        <f>IF(OR(Brand_Profile!$E$18="",Brand_Profile!$E$18="Any"),100,IF(Brand_Profile!$E$18="Female",MIN(100,ROUND(KOL_Database!$AB$28/Lookup_Lists!$D$143*100,0)),IF(Brand_Profile!$E$18="Male",MIN(100,ROUND(KOL_Database!$AC$28/Lookup_Lists!$D$143*100,0)),MAX(0,ROUND(100-ABS(KOL_Database!$AB$28-50)*2,0)))))</f>
      </c>
      <c r="Q59" s="47">
        <f>ROUND((IF(Brand_Profile!$E$19="",100,IF(KOL_Database!$AD$28=Brand_Profile!$E$19,100,Lookup_Lists!$D$151))*Lookup_Lists!$D$118+IF(OR(Brand_Profile!$E$20="",Brand_Profile!$E$20="Nasional"),100,IF(KOL_Database!$AE$28="",Lookup_Lists!$D$150,IF(KOL_Database!$AE$28=Brand_Profile!$E$20,100,IF(KOL_Database!$AD$28=Brand_Profile!$E$19,40,Lookup_Lists!$D$151))))*Lookup_Lists!$D$119+IF(OR(Brand_Profile!$E$21="",Brand_Profile!$E$21="Nasional"),100,IF(KOL_Database!$AF$28="",Lookup_Lists!$D$150,IF(KOL_Database!$AF$28=Brand_Profile!$E$21,100,IF(KOL_Database!$AE$28=Brand_Profile!$E$20,60,Lookup_Lists!$D$151))))*Lookup_Lists!$D$120)/(Lookup_Lists!$D$118+Lookup_Lists!$D$119+Lookup_Lists!$D$120),0)</f>
      </c>
      <c r="R59" s="47">
        <f>IF(Brand_Profile!$E$68=0,Lookup_Lists!$D$150,ROUND((IF(Brand_Profile!$E$63="",0,IF(ISNUMBER(SEARCH(Brand_Profile!$E$63,KOL_Database!$AG$28)),1,0))+IF(Brand_Profile!$E$64="",0,IF(ISNUMBER(SEARCH(Brand_Profile!$E$64,KOL_Database!$AG$28)),1,0))+IF(Brand_Profile!$E$65="",0,IF(ISNUMBER(SEARCH(Brand_Profile!$E$65,KOL_Database!$AG$28)),1,0))+IF(Brand_Profile!$E$66="",0,IF(ISNUMBER(SEARCH(Brand_Profile!$E$66,KOL_Database!$AG$28)),1,0))+IF(Brand_Profile!$E$67="",0,IF(ISNUMBER(SEARCH(Brand_Profile!$E$67,KOL_Database!$AG$28)),1,0)))/Brand_Profile!$E$68*100,0))</f>
      </c>
      <c r="S59" s="47">
        <f>ROUND((Matching_Engine!$O$59*Brand_Profile!$E$96+Matching_Engine!$P$59*Brand_Profile!$E$97+Matching_Engine!$Q$59*Brand_Profile!$E$98+Matching_Engine!$R$59*Brand_Profile!$E$99)/MAX(1,Brand_Profile!$E$96+Brand_Profile!$E$97+Brand_Profile!$E$98+Brand_Profile!$E$99),0)</f>
      </c>
      <c r="T59" s="47">
        <f>IF(Brand_Profile!$E$33="",Lookup_Lists!$D$150,Matching_Engine!$BD$59)</f>
      </c>
      <c r="U59" s="47">
        <f>IF(Brand_Profile!$E$34="",Lookup_Lists!$D$150,IF(Brand_Profile!$E$34=KOL_Database!$F$28,100,IF(Matching_Engine!$BE$59=KOL_Database!$E$28,75,IF(Matching_Engine!$BD$59&gt;=80,Lookup_Lists!$D$150,IF(Matching_Engine!$BD$59&gt;=60,35,Lookup_Lists!$D$151)))))</f>
      </c>
      <c r="V59" s="47">
        <f>IF(Brand_Profile!$E$86=0,Lookup_Lists!$D$150,ROUND((IF(Brand_Profile!$E$81="",0,IF(ISNUMBER(SEARCH(Brand_Profile!$E$81,Matching_Engine!$BG$59)),1,0))+IF(Brand_Profile!$E$82="",0,IF(ISNUMBER(SEARCH(Brand_Profile!$E$82,Matching_Engine!$BG$59)),1,0))+IF(Brand_Profile!$E$83="",0,IF(ISNUMBER(SEARCH(Brand_Profile!$E$83,Matching_Engine!$BG$59)),1,0))+IF(Brand_Profile!$E$84="",0,IF(ISNUMBER(SEARCH(Brand_Profile!$E$84,Matching_Engine!$BG$59)),1,0))+IF(Brand_Profile!$E$85="",0,IF(ISNUMBER(SEARCH(Brand_Profile!$E$85,Matching_Engine!$BG$59)),1,0)))/Brand_Profile!$E$86*100,0))</f>
      </c>
      <c r="W59" s="47">
        <f>IF(Brand_Profile!$E$39="",Lookup_Lists!$D$150,IFERROR(INDEX(Lookup_Lists!$B$237:$K$246,MATCH(Brand_Profile!$E$39,Lookup_Lists!$A$237:$A$246,0),MATCH(KOL_Database!$AJ$28,Lookup_Lists!$B$236:$K$236,0)),45))</f>
      </c>
      <c r="X59" s="47">
        <f>ROUND((Matching_Engine!$T$59*Lookup_Lists!$D$121+Matching_Engine!$U$59*Lookup_Lists!$D$122+Matching_Engine!$V$59*Lookup_Lists!$D$123+Matching_Engine!$W$59*Lookup_Lists!$D$124)/(Lookup_Lists!$D$121+Lookup_Lists!$D$122+Lookup_Lists!$D$123+Lookup_Lists!$D$124),0)</f>
      </c>
      <c r="Y59" s="47">
        <f>MIN(100,MAX(IFERROR(INDEX(Lookup_Lists!$B$202:$M$211,MATCH(Brand_Profile!$E$25,Lookup_Lists!$A$202:$A$211,0),MATCH(KOL_Database!$AK$28,Lookup_Lists!$B$201:$M$201,0)),40),IF(KOL_Database!$AK$28=Brand_Profile!$E$41,95,0)))</f>
      </c>
      <c r="Z59" s="47">
        <f>IFERROR(INDEX(Lookup_Lists!$B$215:$K$222,MATCH(Brand_Profile!$E$27,Lookup_Lists!$A$215:$A$222,0),MATCH(KOL_Database!$AJ$28,Lookup_Lists!$B$214:$K$214,0)),45)</f>
      </c>
      <c r="AA59" s="47">
        <f>ROUND((IF(Brand_Profile!$E$80=0,Lookup_Lists!$D$150,ROUND((IF(Brand_Profile!$E$75="",0,IF(ISNUMBER(SEARCH(Brand_Profile!$E$75,KOL_Database!$AL$28)),1,0))+IF(Brand_Profile!$E$76="",0,IF(ISNUMBER(SEARCH(Brand_Profile!$E$76,KOL_Database!$AL$28)),1,0))+IF(Brand_Profile!$E$77="",0,IF(ISNUMBER(SEARCH(Brand_Profile!$E$77,KOL_Database!$AL$28)),1,0))+IF(Brand_Profile!$E$78="",0,IF(ISNUMBER(SEARCH(Brand_Profile!$E$78,KOL_Database!$AL$28)),1,0))+IF(Brand_Profile!$E$79="",0,IF(ISNUMBER(SEARCH(Brand_Profile!$E$79,KOL_Database!$AL$28)),1,0)))/Brand_Profile!$E$80*100,0))+IF(Brand_Profile!$E$92=0,Lookup_Lists!$D$150,ROUND((IF(Brand_Profile!$E$87="",0,IF(ISNUMBER(SEARCH(Brand_Profile!$E$87,KOL_Database!$AL$28)),1,0))+IF(Brand_Profile!$E$88="",0,IF(ISNUMBER(SEARCH(Brand_Profile!$E$88,KOL_Database!$AL$28)),1,0))+IF(Brand_Profile!$E$89="",0,IF(ISNUMBER(SEARCH(Brand_Profile!$E$89,KOL_Database!$AL$28)),1,0))+IF(Brand_Profile!$E$90="",0,IF(ISNUMBER(SEARCH(Brand_Profile!$E$90,KOL_Database!$AL$28)),1,0))+IF(Brand_Profile!$E$91="",0,IF(ISNUMBER(SEARCH(Brand_Profile!$E$91,KOL_Database!$AL$28)),1,0)))/Brand_Profile!$E$92*100,0)))/2,0)</f>
      </c>
      <c r="AB59" s="47">
        <f>IFERROR(INDEX(Lookup_Lists!$B$226:$K$233,MATCH(Brand_Profile!$E$30,Lookup_Lists!$A$226:$A$233,0),MATCH(KOL_Database!$AJ$28,Lookup_Lists!$B$225:$K$225,0)),45)</f>
      </c>
      <c r="AC59" s="47">
        <f>ROUND((Matching_Engine!$Y$59*Lookup_Lists!$D$125+Matching_Engine!$Z$59*Lookup_Lists!$D$126+Matching_Engine!$AA$59*Lookup_Lists!$D$127+Matching_Engine!$AB$59*Lookup_Lists!$D$128)/(Lookup_Lists!$D$125+Lookup_Lists!$D$126+Lookup_Lists!$D$127+Lookup_Lists!$D$128),0)</f>
      </c>
      <c r="AD59" s="47">
        <f>IF(KOL_Database!$K$28="",0,MIN(100,ROUND(KOL_Database!$K$28/Lookup_Lists!$D$141*100,0)))</f>
      </c>
      <c r="AE59" s="47">
        <f>IF(KOL_Database!$R$28="",0,MIN(100,MAX(0,KOL_Database!$R$28)))</f>
      </c>
      <c r="AF59" s="47">
        <f>IF(KOL_Database!$P$28="",0,MIN(100,MAX(0,KOL_Database!$P$28)))</f>
      </c>
      <c r="AG59" s="47">
        <f>IF(KOL_Database!$Q$28="",0,MIN(100,MAX(0,KOL_Database!$Q$28)))</f>
      </c>
      <c r="AH59" s="47">
        <f>IF(OR(KOL_Database!$J$28="",KOL_Database!$J$28=0,KOL_Database!$L$28=""),0,MIN(100,ROUND(KOL_Database!$L$28/KOL_Database!$J$28/Lookup_Lists!$D$144*100,0)))</f>
      </c>
      <c r="AI59" s="47">
        <f>IF(KOL_Database!$N$28="",0,MIN(100,MAX(0,ROUND((KOL_Database!$N$28+2)/(Lookup_Lists!$D$145+2)*100,0))))</f>
      </c>
      <c r="AJ59" s="47">
        <f>ROUND((Matching_Engine!$AD$59*Lookup_Lists!$D$129+Matching_Engine!$AE$59*Lookup_Lists!$D$130+Matching_Engine!$AF$59*Lookup_Lists!$D$131+Matching_Engine!$AG$59*Lookup_Lists!$D$132+Matching_Engine!$AH$59*Lookup_Lists!$D$133+Matching_Engine!$AI$59*Lookup_Lists!$D$134)/(Lookup_Lists!$D$129+Lookup_Lists!$D$130+Lookup_Lists!$D$131+Lookup_Lists!$D$132+Lookup_Lists!$D$133+Lookup_Lists!$D$134),0)</f>
      </c>
      <c r="AK59" s="47">
        <f>IF(KOL_Database!$AT$28="",0,MIN(100,MAX(0,KOL_Database!$AT$28)))</f>
      </c>
      <c r="AL59" s="47">
        <f>IF(KOL_Database!$AU$28="",0,KOL_Database!$AU$28)</f>
      </c>
      <c r="AM59" s="44">
        <f>IF(KOL_Database!$AV$28="","None",KOL_Database!$AV$28)</f>
      </c>
      <c r="AN59" s="48">
        <f>IF(Matching_Engine!$AM$59="High",Lookup_Lists!$D$137,IF(Matching_Engine!$AM$59="Medium",Lookup_Lists!$D$138,IF(Matching_Engine!$AM$59="Low",Lookup_Lists!$D$139,Lookup_Lists!$D$140)))</f>
      </c>
      <c r="AO59" s="47">
        <f>ROUND(MIN(100,MAX(0,(Matching_Engine!$AK$59*Lookup_Lists!$D$135+(100-Matching_Engine!$AL$59)*Lookup_Lists!$D$136)/(Lookup_Lists!$D$135+Lookup_Lists!$D$136)*Matching_Engine!$AN$59)),0)</f>
      </c>
      <c r="AP59" s="49">
        <f>ROUND((Matching_Engine!$N$59*Lookup_Lists!$D$104+Matching_Engine!$S$59*Lookup_Lists!$D$105+Matching_Engine!$X$59*Lookup_Lists!$D$106+Matching_Engine!$AC$59*Lookup_Lists!$D$107+Matching_Engine!$AJ$59*Lookup_Lists!$D$108+Matching_Engine!$AO$59*Lookup_Lists!$D$109)/MAX(1,(Lookup_Lists!$D$104+Lookup_Lists!$D$105+Lookup_Lists!$D$106+Lookup_Lists!$D$107+Lookup_Lists!$D$108+Lookup_Lists!$D$109)),0)</f>
      </c>
      <c r="AQ59" s="44">
        <f>IF(Matching_Engine!$AP$59&gt;=Lookup_Lists!$D$152,"Excellent Match",IF(Matching_Engine!$AP$59&gt;=Lookup_Lists!$D$153,"Strong Match",IF(Matching_Engine!$AP$59&gt;=Lookup_Lists!$D$154,"Good Match",IF(Matching_Engine!$AP$59&gt;=Lookup_Lists!$D$155,"Moderate Match","Low Match"))))</f>
      </c>
      <c r="AR59" s="47">
        <f>KOL_Database!$BE$28</f>
      </c>
      <c r="AS59" s="44">
        <f>IF(Matching_Engine!$AR$59&gt;=Lookup_Lists!$D$159,"High",IF(Matching_Engine!$AR$59&gt;=Lookup_Lists!$D$160,"Medium","Limited Data"))</f>
      </c>
      <c r="AT59" s="47">
        <f>ROUND((Matching_Engine!$N$59+Matching_Engine!$X$59+Matching_Engine!$AC$59)/3,0)</f>
      </c>
      <c r="AU59" s="47">
        <f>ROUND(((100-Matching_Engine!$AL$59)*Lookup_Lists!$D$162+IF(KOL_Database!$BD$28="",Lookup_Lists!$D$150,KOL_Database!$BD$28)*Lookup_Lists!$D$163+Matching_Engine!$AI$59*Lookup_Lists!$D$164+Matching_Engine!$AD$59*Lookup_Lists!$D$165)/(Lookup_Lists!$D$162+Lookup_Lists!$D$163+Lookup_Lists!$D$164+Lookup_Lists!$D$165),0)</f>
      </c>
      <c r="AV59" s="44">
        <f>IF(Matching_Engine!$AW$59="","PASS","EXCLUDED")</f>
      </c>
      <c r="AW59" s="44">
        <f>IF(ISERROR(SEARCH(KOL_Database!$D$28,Brand_Profile!$E$32)),"Platform not in Preferred Platform",IF(AND(Brand_Profile!$E$36&gt;0,KOL_Database!$J$28&lt;Brand_Profile!$E$36),"Followers below Preferred Follower Range",IF(AND(Brand_Profile!$E$37&gt;0,KOL_Database!$J$28&gt;Brand_Profile!$E$37),"Followers above Preferred Follower Range",IF(AND(Brand_Profile!$E$38&gt;0,IF(KOL_Database!$K$28="",0,KOL_Database!$K$28)&lt;Brand_Profile!$E$38),"Engagement Rate below Minimum Engagement Rate",IF(ISERROR(SEARCH(KOL_Database!$G$28,Brand_Profile!$E$35)),"Tier not in Preferred Tier",IF(AND(Brand_Profile!$E$43&gt;0,Matching_Engine!$AE$59&lt;Brand_Profile!$E$43),"Audience Quality below Minimum Audience Quality",IF(AND(Brand_Profile!$E$44&gt;0,Matching_Engine!$AK$59&lt;Brand_Profile!$E$44),"Brand Safety below Minimum Brand Safety",IF(AND(Brand_Profile!$E$47="Yes",KOL_Database!$AD$28&lt;&gt;Brand_Profile!$E$19),"Audience Country does not match Target Country",IF(AND(Brand_Profile!$E$46="Yes",KOL_Database!$E$28&lt;&gt;Brand_Profile!$E$33),"Category is not the Preferred Category",IF(AND(Brand_Profile!$E$48&gt;0,Matching_Engine!$AL$59&gt;Brand_Profile!$E$48),"Competitor Saturation above Max Competitor Saturation",IF(AND(Brand_Profile!$E$50="Yes",KOL_Database!$AW$28="Yes"),"Already Selected",IF(AND(Brand_Profile!$E$51="Yes",KOL_Database!$AX$28="Yes"),"Already in Cart",IF(AND(Brand_Profile!$E$52="Yes",KOL_Database!$AY$28="Yes"),"Existing Partner",IF(AND(Brand_Profile!$E$53="Yes",KOL_Database!$AZ$28="Yes"),"Excluded Creator",IF(AND(Brand_Profile!$E$49&gt;0,Matching_Engine!$AP$59&lt;Brand_Profile!$E$49),"Brand Match below Minimum Brand Match","")))))))))))))))</f>
      </c>
      <c r="AX59" s="44">
        <f>IF(Matching_Engine!$AV$59="EXCLUDED","Excluded",IF(Matching_Engine!$AP$59&gt;=Lookup_Lists!$D$156,"Highly Recommended",IF(Matching_Engine!$AP$59&gt;=Lookup_Lists!$D$157,"Recommended",IF(Matching_Engine!$AP$59&gt;=Lookup_Lists!$D$158,"Consider","Low Priority"))))</f>
      </c>
      <c r="AY59" s="47">
        <f>IF(Matching_Engine!$AV$59="PASS",Matching_Engine!$AP$59,"")</f>
      </c>
      <c r="AZ59" s="44">
        <f>Matching_Engine!$A$59&amp;"|"&amp;Matching_Engine!$C$59</f>
      </c>
      <c r="BA59" s="44">
        <f>IFERROR(INDEX(Lookup_Lists!$B$51:$B$92,MATCH(Brand_Profile!$E$12,Lookup_Lists!$A$51:$A$92,0)),"")</f>
      </c>
      <c r="BB59" s="44">
        <f>IFERROR(INDEX(Lookup_Lists!$B$51:$B$92,MATCH(KOL_Database!$F$28,Lookup_Lists!$A$51:$A$92,0)),"")</f>
      </c>
      <c r="BC59" s="47">
        <f>IFERROR(INDEX(Lookup_Lists!$B$185:$O$198,MATCH(Matching_Engine!$BA$59,Lookup_Lists!$A$185:$A$198,0),MATCH(KOL_Database!$E$28,Lookup_Lists!$B$184:$O$184,0)),Lookup_Lists!$D$151)</f>
      </c>
      <c r="BD59" s="47">
        <f>IFERROR(INDEX(Lookup_Lists!$B$185:$O$198,MATCH(Brand_Profile!$E$33,Lookup_Lists!$A$185:$A$198,0),MATCH(KOL_Database!$E$28,Lookup_Lists!$B$184:$O$184,0)),Lookup_Lists!$D$151)</f>
      </c>
      <c r="BE59" s="44">
        <f>IFERROR(INDEX(Lookup_Lists!$B$51:$B$92,MATCH(Brand_Profile!$E$34,Lookup_Lists!$A$51:$A$92,0)),"")</f>
      </c>
      <c r="BF59" s="44">
        <f>KOL_Database!$AI$28&amp;", "&amp;KOL_Database!$AG$28&amp;", "&amp;KOL_Database!$F$28&amp;", "&amp;KOL_Database!$E$28</f>
      </c>
      <c r="BG59" s="44">
        <f>KOL_Database!$AI$28&amp;", "&amp;KOL_Database!$AG$28</f>
      </c>
    </row>
    <row r="60" spans="1:59" x14ac:dyDescent="0.25">
      <c r="A60" s="43" t="s">
        <v>76</v>
      </c>
      <c r="B60" s="44">
        <f>Brand_Profile!$E$9</f>
      </c>
      <c r="C60" s="44">
        <f>KOL_Database!$A$29</f>
      </c>
      <c r="D60" s="44">
        <f>KOL_Database!$B$29</f>
      </c>
      <c r="E60" s="44">
        <f>KOL_Database!$C$29</f>
      </c>
      <c r="F60" s="44">
        <f>KOL_Database!$D$29</f>
      </c>
      <c r="G60" s="44">
        <f>KOL_Database!$E$29</f>
      </c>
      <c r="H60" s="44">
        <f>KOL_Database!$G$29</f>
      </c>
      <c r="I60" s="45">
        <f>KOL_Database!$J$29</f>
      </c>
      <c r="J60" s="46">
        <f>KOL_Database!$K$29</f>
      </c>
      <c r="K60" s="47">
        <f>IFERROR(INDEX(Lookup_Lists!$B$170:$O$181,MATCH(Brand_Profile!$E$10,Lookup_Lists!$A$170:$A$181,0),MATCH(KOL_Database!$E$29,Lookup_Lists!$B$169:$O$169,0)),Lookup_Lists!$D$151)</f>
      </c>
      <c r="L60" s="47">
        <f>IF(KOL_Database!$F$29="",Matching_Engine!$BC$60,IF(Brand_Profile!$E$12=KOL_Database!$F$29,100,IF(Matching_Engine!$BA$60=KOL_Database!$E$29,80,IF(Matching_Engine!$BC$60&gt;=80,60,IF(Matching_Engine!$BC$60&gt;=60,40,Lookup_Lists!$D$151)))))</f>
      </c>
      <c r="M60" s="47">
        <f>ROUND((IF(Brand_Profile!$E$62=0,Lookup_Lists!$D$150,ROUND((IF(Brand_Profile!$E$57="",0,IF(ISNUMBER(SEARCH(Brand_Profile!$E$57,Matching_Engine!$BF$60)),1,0))+IF(Brand_Profile!$E$58="",0,IF(ISNUMBER(SEARCH(Brand_Profile!$E$58,Matching_Engine!$BF$60)),1,0))+IF(Brand_Profile!$E$59="",0,IF(ISNUMBER(SEARCH(Brand_Profile!$E$59,Matching_Engine!$BF$60)),1,0))+IF(Brand_Profile!$E$60="",0,IF(ISNUMBER(SEARCH(Brand_Profile!$E$60,Matching_Engine!$BF$60)),1,0))+IF(Brand_Profile!$E$61="",0,IF(ISNUMBER(SEARCH(Brand_Profile!$E$61,Matching_Engine!$BF$60)),1,0)))/Brand_Profile!$E$62*100,0))+IF(Brand_Profile!$E$74=0,Lookup_Lists!$D$150,ROUND((IF(Brand_Profile!$E$69="",0,IF(ISNUMBER(SEARCH(Brand_Profile!$E$69,Matching_Engine!$BF$60)),1,0))+IF(Brand_Profile!$E$70="",0,IF(ISNUMBER(SEARCH(Brand_Profile!$E$70,Matching_Engine!$BF$60)),1,0))+IF(Brand_Profile!$E$71="",0,IF(ISNUMBER(SEARCH(Brand_Profile!$E$71,Matching_Engine!$BF$60)),1,0))+IF(Brand_Profile!$E$72="",0,IF(ISNUMBER(SEARCH(Brand_Profile!$E$72,Matching_Engine!$BF$60)),1,0))+IF(Brand_Profile!$E$73="",0,IF(ISNUMBER(SEARCH(Brand_Profile!$E$73,Matching_Engine!$BF$60)),1,0)))/Brand_Profile!$E$74*100,0)))/2,0)</f>
      </c>
      <c r="N60" s="47">
        <f>ROUND((Matching_Engine!$K$60*Lookup_Lists!$D$110+Matching_Engine!$L$60*Lookup_Lists!$D$111+Matching_Engine!$M$60*Lookup_Lists!$D$112)/(Lookup_Lists!$D$110+Lookup_Lists!$D$111+Lookup_Lists!$D$112),0)</f>
      </c>
      <c r="O60" s="47">
        <f>IF(Brand_Profile!$E$16="",Lookup_Lists!$D$150,MIN(100,ROUND((IFERROR(INDEX(KOL_Database!$W$29:KOL_Database!$AA$29,1,MATCH(Brand_Profile!$E$16,Lookup_Lists!$F$6:$F$10,0)),0)+0.5*IFERROR(INDEX(KOL_Database!$W$29:KOL_Database!$AA$29,1,MATCH(Brand_Profile!$E$17,Lookup_Lists!$F$6:$F$10,0)),0))/Lookup_Lists!$D$142*100,0)))</f>
      </c>
      <c r="P60" s="47">
        <f>IF(OR(Brand_Profile!$E$18="",Brand_Profile!$E$18="Any"),100,IF(Brand_Profile!$E$18="Female",MIN(100,ROUND(KOL_Database!$AB$29/Lookup_Lists!$D$143*100,0)),IF(Brand_Profile!$E$18="Male",MIN(100,ROUND(KOL_Database!$AC$29/Lookup_Lists!$D$143*100,0)),MAX(0,ROUND(100-ABS(KOL_Database!$AB$29-50)*2,0)))))</f>
      </c>
      <c r="Q60" s="47">
        <f>ROUND((IF(Brand_Profile!$E$19="",100,IF(KOL_Database!$AD$29=Brand_Profile!$E$19,100,Lookup_Lists!$D$151))*Lookup_Lists!$D$118+IF(OR(Brand_Profile!$E$20="",Brand_Profile!$E$20="Nasional"),100,IF(KOL_Database!$AE$29="",Lookup_Lists!$D$150,IF(KOL_Database!$AE$29=Brand_Profile!$E$20,100,IF(KOL_Database!$AD$29=Brand_Profile!$E$19,40,Lookup_Lists!$D$151))))*Lookup_Lists!$D$119+IF(OR(Brand_Profile!$E$21="",Brand_Profile!$E$21="Nasional"),100,IF(KOL_Database!$AF$29="",Lookup_Lists!$D$150,IF(KOL_Database!$AF$29=Brand_Profile!$E$21,100,IF(KOL_Database!$AE$29=Brand_Profile!$E$20,60,Lookup_Lists!$D$151))))*Lookup_Lists!$D$120)/(Lookup_Lists!$D$118+Lookup_Lists!$D$119+Lookup_Lists!$D$120),0)</f>
      </c>
      <c r="R60" s="47">
        <f>IF(Brand_Profile!$E$68=0,Lookup_Lists!$D$150,ROUND((IF(Brand_Profile!$E$63="",0,IF(ISNUMBER(SEARCH(Brand_Profile!$E$63,KOL_Database!$AG$29)),1,0))+IF(Brand_Profile!$E$64="",0,IF(ISNUMBER(SEARCH(Brand_Profile!$E$64,KOL_Database!$AG$29)),1,0))+IF(Brand_Profile!$E$65="",0,IF(ISNUMBER(SEARCH(Brand_Profile!$E$65,KOL_Database!$AG$29)),1,0))+IF(Brand_Profile!$E$66="",0,IF(ISNUMBER(SEARCH(Brand_Profile!$E$66,KOL_Database!$AG$29)),1,0))+IF(Brand_Profile!$E$67="",0,IF(ISNUMBER(SEARCH(Brand_Profile!$E$67,KOL_Database!$AG$29)),1,0)))/Brand_Profile!$E$68*100,0))</f>
      </c>
      <c r="S60" s="47">
        <f>ROUND((Matching_Engine!$O$60*Brand_Profile!$E$96+Matching_Engine!$P$60*Brand_Profile!$E$97+Matching_Engine!$Q$60*Brand_Profile!$E$98+Matching_Engine!$R$60*Brand_Profile!$E$99)/MAX(1,Brand_Profile!$E$96+Brand_Profile!$E$97+Brand_Profile!$E$98+Brand_Profile!$E$99),0)</f>
      </c>
      <c r="T60" s="47">
        <f>IF(Brand_Profile!$E$33="",Lookup_Lists!$D$150,Matching_Engine!$BD$60)</f>
      </c>
      <c r="U60" s="47">
        <f>IF(Brand_Profile!$E$34="",Lookup_Lists!$D$150,IF(Brand_Profile!$E$34=KOL_Database!$F$29,100,IF(Matching_Engine!$BE$60=KOL_Database!$E$29,75,IF(Matching_Engine!$BD$60&gt;=80,Lookup_Lists!$D$150,IF(Matching_Engine!$BD$60&gt;=60,35,Lookup_Lists!$D$151)))))</f>
      </c>
      <c r="V60" s="47">
        <f>IF(Brand_Profile!$E$86=0,Lookup_Lists!$D$150,ROUND((IF(Brand_Profile!$E$81="",0,IF(ISNUMBER(SEARCH(Brand_Profile!$E$81,Matching_Engine!$BG$60)),1,0))+IF(Brand_Profile!$E$82="",0,IF(ISNUMBER(SEARCH(Brand_Profile!$E$82,Matching_Engine!$BG$60)),1,0))+IF(Brand_Profile!$E$83="",0,IF(ISNUMBER(SEARCH(Brand_Profile!$E$83,Matching_Engine!$BG$60)),1,0))+IF(Brand_Profile!$E$84="",0,IF(ISNUMBER(SEARCH(Brand_Profile!$E$84,Matching_Engine!$BG$60)),1,0))+IF(Brand_Profile!$E$85="",0,IF(ISNUMBER(SEARCH(Brand_Profile!$E$85,Matching_Engine!$BG$60)),1,0)))/Brand_Profile!$E$86*100,0))</f>
      </c>
      <c r="W60" s="47">
        <f>IF(Brand_Profile!$E$39="",Lookup_Lists!$D$150,IFERROR(INDEX(Lookup_Lists!$B$237:$K$246,MATCH(Brand_Profile!$E$39,Lookup_Lists!$A$237:$A$246,0),MATCH(KOL_Database!$AJ$29,Lookup_Lists!$B$236:$K$236,0)),45))</f>
      </c>
      <c r="X60" s="47">
        <f>ROUND((Matching_Engine!$T$60*Lookup_Lists!$D$121+Matching_Engine!$U$60*Lookup_Lists!$D$122+Matching_Engine!$V$60*Lookup_Lists!$D$123+Matching_Engine!$W$60*Lookup_Lists!$D$124)/(Lookup_Lists!$D$121+Lookup_Lists!$D$122+Lookup_Lists!$D$123+Lookup_Lists!$D$124),0)</f>
      </c>
      <c r="Y60" s="47">
        <f>MIN(100,MAX(IFERROR(INDEX(Lookup_Lists!$B$202:$M$211,MATCH(Brand_Profile!$E$25,Lookup_Lists!$A$202:$A$211,0),MATCH(KOL_Database!$AK$29,Lookup_Lists!$B$201:$M$201,0)),40),IF(KOL_Database!$AK$29=Brand_Profile!$E$41,95,0)))</f>
      </c>
      <c r="Z60" s="47">
        <f>IFERROR(INDEX(Lookup_Lists!$B$215:$K$222,MATCH(Brand_Profile!$E$27,Lookup_Lists!$A$215:$A$222,0),MATCH(KOL_Database!$AJ$29,Lookup_Lists!$B$214:$K$214,0)),45)</f>
      </c>
      <c r="AA60" s="47">
        <f>ROUND((IF(Brand_Profile!$E$80=0,Lookup_Lists!$D$150,ROUND((IF(Brand_Profile!$E$75="",0,IF(ISNUMBER(SEARCH(Brand_Profile!$E$75,KOL_Database!$AL$29)),1,0))+IF(Brand_Profile!$E$76="",0,IF(ISNUMBER(SEARCH(Brand_Profile!$E$76,KOL_Database!$AL$29)),1,0))+IF(Brand_Profile!$E$77="",0,IF(ISNUMBER(SEARCH(Brand_Profile!$E$77,KOL_Database!$AL$29)),1,0))+IF(Brand_Profile!$E$78="",0,IF(ISNUMBER(SEARCH(Brand_Profile!$E$78,KOL_Database!$AL$29)),1,0))+IF(Brand_Profile!$E$79="",0,IF(ISNUMBER(SEARCH(Brand_Profile!$E$79,KOL_Database!$AL$29)),1,0)))/Brand_Profile!$E$80*100,0))+IF(Brand_Profile!$E$92=0,Lookup_Lists!$D$150,ROUND((IF(Brand_Profile!$E$87="",0,IF(ISNUMBER(SEARCH(Brand_Profile!$E$87,KOL_Database!$AL$29)),1,0))+IF(Brand_Profile!$E$88="",0,IF(ISNUMBER(SEARCH(Brand_Profile!$E$88,KOL_Database!$AL$29)),1,0))+IF(Brand_Profile!$E$89="",0,IF(ISNUMBER(SEARCH(Brand_Profile!$E$89,KOL_Database!$AL$29)),1,0))+IF(Brand_Profile!$E$90="",0,IF(ISNUMBER(SEARCH(Brand_Profile!$E$90,KOL_Database!$AL$29)),1,0))+IF(Brand_Profile!$E$91="",0,IF(ISNUMBER(SEARCH(Brand_Profile!$E$91,KOL_Database!$AL$29)),1,0)))/Brand_Profile!$E$92*100,0)))/2,0)</f>
      </c>
      <c r="AB60" s="47">
        <f>IFERROR(INDEX(Lookup_Lists!$B$226:$K$233,MATCH(Brand_Profile!$E$30,Lookup_Lists!$A$226:$A$233,0),MATCH(KOL_Database!$AJ$29,Lookup_Lists!$B$225:$K$225,0)),45)</f>
      </c>
      <c r="AC60" s="47">
        <f>ROUND((Matching_Engine!$Y$60*Lookup_Lists!$D$125+Matching_Engine!$Z$60*Lookup_Lists!$D$126+Matching_Engine!$AA$60*Lookup_Lists!$D$127+Matching_Engine!$AB$60*Lookup_Lists!$D$128)/(Lookup_Lists!$D$125+Lookup_Lists!$D$126+Lookup_Lists!$D$127+Lookup_Lists!$D$128),0)</f>
      </c>
      <c r="AD60" s="47">
        <f>IF(KOL_Database!$K$29="",0,MIN(100,ROUND(KOL_Database!$K$29/Lookup_Lists!$D$141*100,0)))</f>
      </c>
      <c r="AE60" s="47">
        <f>IF(KOL_Database!$R$29="",0,MIN(100,MAX(0,KOL_Database!$R$29)))</f>
      </c>
      <c r="AF60" s="47">
        <f>IF(KOL_Database!$P$29="",0,MIN(100,MAX(0,KOL_Database!$P$29)))</f>
      </c>
      <c r="AG60" s="47">
        <f>IF(KOL_Database!$Q$29="",0,MIN(100,MAX(0,KOL_Database!$Q$29)))</f>
      </c>
      <c r="AH60" s="47">
        <f>IF(OR(KOL_Database!$J$29="",KOL_Database!$J$29=0,KOL_Database!$L$29=""),0,MIN(100,ROUND(KOL_Database!$L$29/KOL_Database!$J$29/Lookup_Lists!$D$144*100,0)))</f>
      </c>
      <c r="AI60" s="47">
        <f>IF(KOL_Database!$N$29="",0,MIN(100,MAX(0,ROUND((KOL_Database!$N$29+2)/(Lookup_Lists!$D$145+2)*100,0))))</f>
      </c>
      <c r="AJ60" s="47">
        <f>ROUND((Matching_Engine!$AD$60*Lookup_Lists!$D$129+Matching_Engine!$AE$60*Lookup_Lists!$D$130+Matching_Engine!$AF$60*Lookup_Lists!$D$131+Matching_Engine!$AG$60*Lookup_Lists!$D$132+Matching_Engine!$AH$60*Lookup_Lists!$D$133+Matching_Engine!$AI$60*Lookup_Lists!$D$134)/(Lookup_Lists!$D$129+Lookup_Lists!$D$130+Lookup_Lists!$D$131+Lookup_Lists!$D$132+Lookup_Lists!$D$133+Lookup_Lists!$D$134),0)</f>
      </c>
      <c r="AK60" s="47">
        <f>IF(KOL_Database!$AT$29="",0,MIN(100,MAX(0,KOL_Database!$AT$29)))</f>
      </c>
      <c r="AL60" s="47">
        <f>IF(KOL_Database!$AU$29="",0,KOL_Database!$AU$29)</f>
      </c>
      <c r="AM60" s="44">
        <f>IF(KOL_Database!$AV$29="","None",KOL_Database!$AV$29)</f>
      </c>
      <c r="AN60" s="48">
        <f>IF(Matching_Engine!$AM$60="High",Lookup_Lists!$D$137,IF(Matching_Engine!$AM$60="Medium",Lookup_Lists!$D$138,IF(Matching_Engine!$AM$60="Low",Lookup_Lists!$D$139,Lookup_Lists!$D$140)))</f>
      </c>
      <c r="AO60" s="47">
        <f>ROUND(MIN(100,MAX(0,(Matching_Engine!$AK$60*Lookup_Lists!$D$135+(100-Matching_Engine!$AL$60)*Lookup_Lists!$D$136)/(Lookup_Lists!$D$135+Lookup_Lists!$D$136)*Matching_Engine!$AN$60)),0)</f>
      </c>
      <c r="AP60" s="49">
        <f>ROUND((Matching_Engine!$N$60*Lookup_Lists!$D$104+Matching_Engine!$S$60*Lookup_Lists!$D$105+Matching_Engine!$X$60*Lookup_Lists!$D$106+Matching_Engine!$AC$60*Lookup_Lists!$D$107+Matching_Engine!$AJ$60*Lookup_Lists!$D$108+Matching_Engine!$AO$60*Lookup_Lists!$D$109)/MAX(1,(Lookup_Lists!$D$104+Lookup_Lists!$D$105+Lookup_Lists!$D$106+Lookup_Lists!$D$107+Lookup_Lists!$D$108+Lookup_Lists!$D$109)),0)</f>
      </c>
      <c r="AQ60" s="44">
        <f>IF(Matching_Engine!$AP$60&gt;=Lookup_Lists!$D$152,"Excellent Match",IF(Matching_Engine!$AP$60&gt;=Lookup_Lists!$D$153,"Strong Match",IF(Matching_Engine!$AP$60&gt;=Lookup_Lists!$D$154,"Good Match",IF(Matching_Engine!$AP$60&gt;=Lookup_Lists!$D$155,"Moderate Match","Low Match"))))</f>
      </c>
      <c r="AR60" s="47">
        <f>KOL_Database!$BE$29</f>
      </c>
      <c r="AS60" s="44">
        <f>IF(Matching_Engine!$AR$60&gt;=Lookup_Lists!$D$159,"High",IF(Matching_Engine!$AR$60&gt;=Lookup_Lists!$D$160,"Medium","Limited Data"))</f>
      </c>
      <c r="AT60" s="47">
        <f>ROUND((Matching_Engine!$N$60+Matching_Engine!$X$60+Matching_Engine!$AC$60)/3,0)</f>
      </c>
      <c r="AU60" s="47">
        <f>ROUND(((100-Matching_Engine!$AL$60)*Lookup_Lists!$D$162+IF(KOL_Database!$BD$29="",Lookup_Lists!$D$150,KOL_Database!$BD$29)*Lookup_Lists!$D$163+Matching_Engine!$AI$60*Lookup_Lists!$D$164+Matching_Engine!$AD$60*Lookup_Lists!$D$165)/(Lookup_Lists!$D$162+Lookup_Lists!$D$163+Lookup_Lists!$D$164+Lookup_Lists!$D$165),0)</f>
      </c>
      <c r="AV60" s="44">
        <f>IF(Matching_Engine!$AW$60="","PASS","EXCLUDED")</f>
      </c>
      <c r="AW60" s="44">
        <f>IF(ISERROR(SEARCH(KOL_Database!$D$29,Brand_Profile!$E$32)),"Platform not in Preferred Platform",IF(AND(Brand_Profile!$E$36&gt;0,KOL_Database!$J$29&lt;Brand_Profile!$E$36),"Followers below Preferred Follower Range",IF(AND(Brand_Profile!$E$37&gt;0,KOL_Database!$J$29&gt;Brand_Profile!$E$37),"Followers above Preferred Follower Range",IF(AND(Brand_Profile!$E$38&gt;0,IF(KOL_Database!$K$29="",0,KOL_Database!$K$29)&lt;Brand_Profile!$E$38),"Engagement Rate below Minimum Engagement Rate",IF(ISERROR(SEARCH(KOL_Database!$G$29,Brand_Profile!$E$35)),"Tier not in Preferred Tier",IF(AND(Brand_Profile!$E$43&gt;0,Matching_Engine!$AE$60&lt;Brand_Profile!$E$43),"Audience Quality below Minimum Audience Quality",IF(AND(Brand_Profile!$E$44&gt;0,Matching_Engine!$AK$60&lt;Brand_Profile!$E$44),"Brand Safety below Minimum Brand Safety",IF(AND(Brand_Profile!$E$47="Yes",KOL_Database!$AD$29&lt;&gt;Brand_Profile!$E$19),"Audience Country does not match Target Country",IF(AND(Brand_Profile!$E$46="Yes",KOL_Database!$E$29&lt;&gt;Brand_Profile!$E$33),"Category is not the Preferred Category",IF(AND(Brand_Profile!$E$48&gt;0,Matching_Engine!$AL$60&gt;Brand_Profile!$E$48),"Competitor Saturation above Max Competitor Saturation",IF(AND(Brand_Profile!$E$50="Yes",KOL_Database!$AW$29="Yes"),"Already Selected",IF(AND(Brand_Profile!$E$51="Yes",KOL_Database!$AX$29="Yes"),"Already in Cart",IF(AND(Brand_Profile!$E$52="Yes",KOL_Database!$AY$29="Yes"),"Existing Partner",IF(AND(Brand_Profile!$E$53="Yes",KOL_Database!$AZ$29="Yes"),"Excluded Creator",IF(AND(Brand_Profile!$E$49&gt;0,Matching_Engine!$AP$60&lt;Brand_Profile!$E$49),"Brand Match below Minimum Brand Match","")))))))))))))))</f>
      </c>
      <c r="AX60" s="44">
        <f>IF(Matching_Engine!$AV$60="EXCLUDED","Excluded",IF(Matching_Engine!$AP$60&gt;=Lookup_Lists!$D$156,"Highly Recommended",IF(Matching_Engine!$AP$60&gt;=Lookup_Lists!$D$157,"Recommended",IF(Matching_Engine!$AP$60&gt;=Lookup_Lists!$D$158,"Consider","Low Priority"))))</f>
      </c>
      <c r="AY60" s="47">
        <f>IF(Matching_Engine!$AV$60="PASS",Matching_Engine!$AP$60,"")</f>
      </c>
      <c r="AZ60" s="44">
        <f>Matching_Engine!$A$60&amp;"|"&amp;Matching_Engine!$C$60</f>
      </c>
      <c r="BA60" s="44">
        <f>IFERROR(INDEX(Lookup_Lists!$B$51:$B$92,MATCH(Brand_Profile!$E$12,Lookup_Lists!$A$51:$A$92,0)),"")</f>
      </c>
      <c r="BB60" s="44">
        <f>IFERROR(INDEX(Lookup_Lists!$B$51:$B$92,MATCH(KOL_Database!$F$29,Lookup_Lists!$A$51:$A$92,0)),"")</f>
      </c>
      <c r="BC60" s="47">
        <f>IFERROR(INDEX(Lookup_Lists!$B$185:$O$198,MATCH(Matching_Engine!$BA$60,Lookup_Lists!$A$185:$A$198,0),MATCH(KOL_Database!$E$29,Lookup_Lists!$B$184:$O$184,0)),Lookup_Lists!$D$151)</f>
      </c>
      <c r="BD60" s="47">
        <f>IFERROR(INDEX(Lookup_Lists!$B$185:$O$198,MATCH(Brand_Profile!$E$33,Lookup_Lists!$A$185:$A$198,0),MATCH(KOL_Database!$E$29,Lookup_Lists!$B$184:$O$184,0)),Lookup_Lists!$D$151)</f>
      </c>
      <c r="BE60" s="44">
        <f>IFERROR(INDEX(Lookup_Lists!$B$51:$B$92,MATCH(Brand_Profile!$E$34,Lookup_Lists!$A$51:$A$92,0)),"")</f>
      </c>
      <c r="BF60" s="44">
        <f>KOL_Database!$AI$29&amp;", "&amp;KOL_Database!$AG$29&amp;", "&amp;KOL_Database!$F$29&amp;", "&amp;KOL_Database!$E$29</f>
      </c>
      <c r="BG60" s="44">
        <f>KOL_Database!$AI$29&amp;", "&amp;KOL_Database!$AG$29</f>
      </c>
    </row>
    <row r="61" spans="1:59" x14ac:dyDescent="0.25">
      <c r="A61" s="43" t="s">
        <v>76</v>
      </c>
      <c r="B61" s="44">
        <f>Brand_Profile!$E$9</f>
      </c>
      <c r="C61" s="44">
        <f>KOL_Database!$A$30</f>
      </c>
      <c r="D61" s="44">
        <f>KOL_Database!$B$30</f>
      </c>
      <c r="E61" s="44">
        <f>KOL_Database!$C$30</f>
      </c>
      <c r="F61" s="44">
        <f>KOL_Database!$D$30</f>
      </c>
      <c r="G61" s="44">
        <f>KOL_Database!$E$30</f>
      </c>
      <c r="H61" s="44">
        <f>KOL_Database!$G$30</f>
      </c>
      <c r="I61" s="45">
        <f>KOL_Database!$J$30</f>
      </c>
      <c r="J61" s="46">
        <f>KOL_Database!$K$30</f>
      </c>
      <c r="K61" s="47">
        <f>IFERROR(INDEX(Lookup_Lists!$B$170:$O$181,MATCH(Brand_Profile!$E$10,Lookup_Lists!$A$170:$A$181,0),MATCH(KOL_Database!$E$30,Lookup_Lists!$B$169:$O$169,0)),Lookup_Lists!$D$151)</f>
      </c>
      <c r="L61" s="47">
        <f>IF(KOL_Database!$F$30="",Matching_Engine!$BC$61,IF(Brand_Profile!$E$12=KOL_Database!$F$30,100,IF(Matching_Engine!$BA$61=KOL_Database!$E$30,80,IF(Matching_Engine!$BC$61&gt;=80,60,IF(Matching_Engine!$BC$61&gt;=60,40,Lookup_Lists!$D$151)))))</f>
      </c>
      <c r="M61" s="47">
        <f>ROUND((IF(Brand_Profile!$E$62=0,Lookup_Lists!$D$150,ROUND((IF(Brand_Profile!$E$57="",0,IF(ISNUMBER(SEARCH(Brand_Profile!$E$57,Matching_Engine!$BF$61)),1,0))+IF(Brand_Profile!$E$58="",0,IF(ISNUMBER(SEARCH(Brand_Profile!$E$58,Matching_Engine!$BF$61)),1,0))+IF(Brand_Profile!$E$59="",0,IF(ISNUMBER(SEARCH(Brand_Profile!$E$59,Matching_Engine!$BF$61)),1,0))+IF(Brand_Profile!$E$60="",0,IF(ISNUMBER(SEARCH(Brand_Profile!$E$60,Matching_Engine!$BF$61)),1,0))+IF(Brand_Profile!$E$61="",0,IF(ISNUMBER(SEARCH(Brand_Profile!$E$61,Matching_Engine!$BF$61)),1,0)))/Brand_Profile!$E$62*100,0))+IF(Brand_Profile!$E$74=0,Lookup_Lists!$D$150,ROUND((IF(Brand_Profile!$E$69="",0,IF(ISNUMBER(SEARCH(Brand_Profile!$E$69,Matching_Engine!$BF$61)),1,0))+IF(Brand_Profile!$E$70="",0,IF(ISNUMBER(SEARCH(Brand_Profile!$E$70,Matching_Engine!$BF$61)),1,0))+IF(Brand_Profile!$E$71="",0,IF(ISNUMBER(SEARCH(Brand_Profile!$E$71,Matching_Engine!$BF$61)),1,0))+IF(Brand_Profile!$E$72="",0,IF(ISNUMBER(SEARCH(Brand_Profile!$E$72,Matching_Engine!$BF$61)),1,0))+IF(Brand_Profile!$E$73="",0,IF(ISNUMBER(SEARCH(Brand_Profile!$E$73,Matching_Engine!$BF$61)),1,0)))/Brand_Profile!$E$74*100,0)))/2,0)</f>
      </c>
      <c r="N61" s="47">
        <f>ROUND((Matching_Engine!$K$61*Lookup_Lists!$D$110+Matching_Engine!$L$61*Lookup_Lists!$D$111+Matching_Engine!$M$61*Lookup_Lists!$D$112)/(Lookup_Lists!$D$110+Lookup_Lists!$D$111+Lookup_Lists!$D$112),0)</f>
      </c>
      <c r="O61" s="47">
        <f>IF(Brand_Profile!$E$16="",Lookup_Lists!$D$150,MIN(100,ROUND((IFERROR(INDEX(KOL_Database!$W$30:KOL_Database!$AA$30,1,MATCH(Brand_Profile!$E$16,Lookup_Lists!$F$6:$F$10,0)),0)+0.5*IFERROR(INDEX(KOL_Database!$W$30:KOL_Database!$AA$30,1,MATCH(Brand_Profile!$E$17,Lookup_Lists!$F$6:$F$10,0)),0))/Lookup_Lists!$D$142*100,0)))</f>
      </c>
      <c r="P61" s="47">
        <f>IF(OR(Brand_Profile!$E$18="",Brand_Profile!$E$18="Any"),100,IF(Brand_Profile!$E$18="Female",MIN(100,ROUND(KOL_Database!$AB$30/Lookup_Lists!$D$143*100,0)),IF(Brand_Profile!$E$18="Male",MIN(100,ROUND(KOL_Database!$AC$30/Lookup_Lists!$D$143*100,0)),MAX(0,ROUND(100-ABS(KOL_Database!$AB$30-50)*2,0)))))</f>
      </c>
      <c r="Q61" s="47">
        <f>ROUND((IF(Brand_Profile!$E$19="",100,IF(KOL_Database!$AD$30=Brand_Profile!$E$19,100,Lookup_Lists!$D$151))*Lookup_Lists!$D$118+IF(OR(Brand_Profile!$E$20="",Brand_Profile!$E$20="Nasional"),100,IF(KOL_Database!$AE$30="",Lookup_Lists!$D$150,IF(KOL_Database!$AE$30=Brand_Profile!$E$20,100,IF(KOL_Database!$AD$30=Brand_Profile!$E$19,40,Lookup_Lists!$D$151))))*Lookup_Lists!$D$119+IF(OR(Brand_Profile!$E$21="",Brand_Profile!$E$21="Nasional"),100,IF(KOL_Database!$AF$30="",Lookup_Lists!$D$150,IF(KOL_Database!$AF$30=Brand_Profile!$E$21,100,IF(KOL_Database!$AE$30=Brand_Profile!$E$20,60,Lookup_Lists!$D$151))))*Lookup_Lists!$D$120)/(Lookup_Lists!$D$118+Lookup_Lists!$D$119+Lookup_Lists!$D$120),0)</f>
      </c>
      <c r="R61" s="47">
        <f>IF(Brand_Profile!$E$68=0,Lookup_Lists!$D$150,ROUND((IF(Brand_Profile!$E$63="",0,IF(ISNUMBER(SEARCH(Brand_Profile!$E$63,KOL_Database!$AG$30)),1,0))+IF(Brand_Profile!$E$64="",0,IF(ISNUMBER(SEARCH(Brand_Profile!$E$64,KOL_Database!$AG$30)),1,0))+IF(Brand_Profile!$E$65="",0,IF(ISNUMBER(SEARCH(Brand_Profile!$E$65,KOL_Database!$AG$30)),1,0))+IF(Brand_Profile!$E$66="",0,IF(ISNUMBER(SEARCH(Brand_Profile!$E$66,KOL_Database!$AG$30)),1,0))+IF(Brand_Profile!$E$67="",0,IF(ISNUMBER(SEARCH(Brand_Profile!$E$67,KOL_Database!$AG$30)),1,0)))/Brand_Profile!$E$68*100,0))</f>
      </c>
      <c r="S61" s="47">
        <f>ROUND((Matching_Engine!$O$61*Brand_Profile!$E$96+Matching_Engine!$P$61*Brand_Profile!$E$97+Matching_Engine!$Q$61*Brand_Profile!$E$98+Matching_Engine!$R$61*Brand_Profile!$E$99)/MAX(1,Brand_Profile!$E$96+Brand_Profile!$E$97+Brand_Profile!$E$98+Brand_Profile!$E$99),0)</f>
      </c>
      <c r="T61" s="47">
        <f>IF(Brand_Profile!$E$33="",Lookup_Lists!$D$150,Matching_Engine!$BD$61)</f>
      </c>
      <c r="U61" s="47">
        <f>IF(Brand_Profile!$E$34="",Lookup_Lists!$D$150,IF(Brand_Profile!$E$34=KOL_Database!$F$30,100,IF(Matching_Engine!$BE$61=KOL_Database!$E$30,75,IF(Matching_Engine!$BD$61&gt;=80,Lookup_Lists!$D$150,IF(Matching_Engine!$BD$61&gt;=60,35,Lookup_Lists!$D$151)))))</f>
      </c>
      <c r="V61" s="47">
        <f>IF(Brand_Profile!$E$86=0,Lookup_Lists!$D$150,ROUND((IF(Brand_Profile!$E$81="",0,IF(ISNUMBER(SEARCH(Brand_Profile!$E$81,Matching_Engine!$BG$61)),1,0))+IF(Brand_Profile!$E$82="",0,IF(ISNUMBER(SEARCH(Brand_Profile!$E$82,Matching_Engine!$BG$61)),1,0))+IF(Brand_Profile!$E$83="",0,IF(ISNUMBER(SEARCH(Brand_Profile!$E$83,Matching_Engine!$BG$61)),1,0))+IF(Brand_Profile!$E$84="",0,IF(ISNUMBER(SEARCH(Brand_Profile!$E$84,Matching_Engine!$BG$61)),1,0))+IF(Brand_Profile!$E$85="",0,IF(ISNUMBER(SEARCH(Brand_Profile!$E$85,Matching_Engine!$BG$61)),1,0)))/Brand_Profile!$E$86*100,0))</f>
      </c>
      <c r="W61" s="47">
        <f>IF(Brand_Profile!$E$39="",Lookup_Lists!$D$150,IFERROR(INDEX(Lookup_Lists!$B$237:$K$246,MATCH(Brand_Profile!$E$39,Lookup_Lists!$A$237:$A$246,0),MATCH(KOL_Database!$AJ$30,Lookup_Lists!$B$236:$K$236,0)),45))</f>
      </c>
      <c r="X61" s="47">
        <f>ROUND((Matching_Engine!$T$61*Lookup_Lists!$D$121+Matching_Engine!$U$61*Lookup_Lists!$D$122+Matching_Engine!$V$61*Lookup_Lists!$D$123+Matching_Engine!$W$61*Lookup_Lists!$D$124)/(Lookup_Lists!$D$121+Lookup_Lists!$D$122+Lookup_Lists!$D$123+Lookup_Lists!$D$124),0)</f>
      </c>
      <c r="Y61" s="47">
        <f>MIN(100,MAX(IFERROR(INDEX(Lookup_Lists!$B$202:$M$211,MATCH(Brand_Profile!$E$25,Lookup_Lists!$A$202:$A$211,0),MATCH(KOL_Database!$AK$30,Lookup_Lists!$B$201:$M$201,0)),40),IF(KOL_Database!$AK$30=Brand_Profile!$E$41,95,0)))</f>
      </c>
      <c r="Z61" s="47">
        <f>IFERROR(INDEX(Lookup_Lists!$B$215:$K$222,MATCH(Brand_Profile!$E$27,Lookup_Lists!$A$215:$A$222,0),MATCH(KOL_Database!$AJ$30,Lookup_Lists!$B$214:$K$214,0)),45)</f>
      </c>
      <c r="AA61" s="47">
        <f>ROUND((IF(Brand_Profile!$E$80=0,Lookup_Lists!$D$150,ROUND((IF(Brand_Profile!$E$75="",0,IF(ISNUMBER(SEARCH(Brand_Profile!$E$75,KOL_Database!$AL$30)),1,0))+IF(Brand_Profile!$E$76="",0,IF(ISNUMBER(SEARCH(Brand_Profile!$E$76,KOL_Database!$AL$30)),1,0))+IF(Brand_Profile!$E$77="",0,IF(ISNUMBER(SEARCH(Brand_Profile!$E$77,KOL_Database!$AL$30)),1,0))+IF(Brand_Profile!$E$78="",0,IF(ISNUMBER(SEARCH(Brand_Profile!$E$78,KOL_Database!$AL$30)),1,0))+IF(Brand_Profile!$E$79="",0,IF(ISNUMBER(SEARCH(Brand_Profile!$E$79,KOL_Database!$AL$30)),1,0)))/Brand_Profile!$E$80*100,0))+IF(Brand_Profile!$E$92=0,Lookup_Lists!$D$150,ROUND((IF(Brand_Profile!$E$87="",0,IF(ISNUMBER(SEARCH(Brand_Profile!$E$87,KOL_Database!$AL$30)),1,0))+IF(Brand_Profile!$E$88="",0,IF(ISNUMBER(SEARCH(Brand_Profile!$E$88,KOL_Database!$AL$30)),1,0))+IF(Brand_Profile!$E$89="",0,IF(ISNUMBER(SEARCH(Brand_Profile!$E$89,KOL_Database!$AL$30)),1,0))+IF(Brand_Profile!$E$90="",0,IF(ISNUMBER(SEARCH(Brand_Profile!$E$90,KOL_Database!$AL$30)),1,0))+IF(Brand_Profile!$E$91="",0,IF(ISNUMBER(SEARCH(Brand_Profile!$E$91,KOL_Database!$AL$30)),1,0)))/Brand_Profile!$E$92*100,0)))/2,0)</f>
      </c>
      <c r="AB61" s="47">
        <f>IFERROR(INDEX(Lookup_Lists!$B$226:$K$233,MATCH(Brand_Profile!$E$30,Lookup_Lists!$A$226:$A$233,0),MATCH(KOL_Database!$AJ$30,Lookup_Lists!$B$225:$K$225,0)),45)</f>
      </c>
      <c r="AC61" s="47">
        <f>ROUND((Matching_Engine!$Y$61*Lookup_Lists!$D$125+Matching_Engine!$Z$61*Lookup_Lists!$D$126+Matching_Engine!$AA$61*Lookup_Lists!$D$127+Matching_Engine!$AB$61*Lookup_Lists!$D$128)/(Lookup_Lists!$D$125+Lookup_Lists!$D$126+Lookup_Lists!$D$127+Lookup_Lists!$D$128),0)</f>
      </c>
      <c r="AD61" s="47">
        <f>IF(KOL_Database!$K$30="",0,MIN(100,ROUND(KOL_Database!$K$30/Lookup_Lists!$D$141*100,0)))</f>
      </c>
      <c r="AE61" s="47">
        <f>IF(KOL_Database!$R$30="",0,MIN(100,MAX(0,KOL_Database!$R$30)))</f>
      </c>
      <c r="AF61" s="47">
        <f>IF(KOL_Database!$P$30="",0,MIN(100,MAX(0,KOL_Database!$P$30)))</f>
      </c>
      <c r="AG61" s="47">
        <f>IF(KOL_Database!$Q$30="",0,MIN(100,MAX(0,KOL_Database!$Q$30)))</f>
      </c>
      <c r="AH61" s="47">
        <f>IF(OR(KOL_Database!$J$30="",KOL_Database!$J$30=0,KOL_Database!$L$30=""),0,MIN(100,ROUND(KOL_Database!$L$30/KOL_Database!$J$30/Lookup_Lists!$D$144*100,0)))</f>
      </c>
      <c r="AI61" s="47">
        <f>IF(KOL_Database!$N$30="",0,MIN(100,MAX(0,ROUND((KOL_Database!$N$30+2)/(Lookup_Lists!$D$145+2)*100,0))))</f>
      </c>
      <c r="AJ61" s="47">
        <f>ROUND((Matching_Engine!$AD$61*Lookup_Lists!$D$129+Matching_Engine!$AE$61*Lookup_Lists!$D$130+Matching_Engine!$AF$61*Lookup_Lists!$D$131+Matching_Engine!$AG$61*Lookup_Lists!$D$132+Matching_Engine!$AH$61*Lookup_Lists!$D$133+Matching_Engine!$AI$61*Lookup_Lists!$D$134)/(Lookup_Lists!$D$129+Lookup_Lists!$D$130+Lookup_Lists!$D$131+Lookup_Lists!$D$132+Lookup_Lists!$D$133+Lookup_Lists!$D$134),0)</f>
      </c>
      <c r="AK61" s="47">
        <f>IF(KOL_Database!$AT$30="",0,MIN(100,MAX(0,KOL_Database!$AT$30)))</f>
      </c>
      <c r="AL61" s="47">
        <f>IF(KOL_Database!$AU$30="",0,KOL_Database!$AU$30)</f>
      </c>
      <c r="AM61" s="44">
        <f>IF(KOL_Database!$AV$30="","None",KOL_Database!$AV$30)</f>
      </c>
      <c r="AN61" s="48">
        <f>IF(Matching_Engine!$AM$61="High",Lookup_Lists!$D$137,IF(Matching_Engine!$AM$61="Medium",Lookup_Lists!$D$138,IF(Matching_Engine!$AM$61="Low",Lookup_Lists!$D$139,Lookup_Lists!$D$140)))</f>
      </c>
      <c r="AO61" s="47">
        <f>ROUND(MIN(100,MAX(0,(Matching_Engine!$AK$61*Lookup_Lists!$D$135+(100-Matching_Engine!$AL$61)*Lookup_Lists!$D$136)/(Lookup_Lists!$D$135+Lookup_Lists!$D$136)*Matching_Engine!$AN$61)),0)</f>
      </c>
      <c r="AP61" s="49">
        <f>ROUND((Matching_Engine!$N$61*Lookup_Lists!$D$104+Matching_Engine!$S$61*Lookup_Lists!$D$105+Matching_Engine!$X$61*Lookup_Lists!$D$106+Matching_Engine!$AC$61*Lookup_Lists!$D$107+Matching_Engine!$AJ$61*Lookup_Lists!$D$108+Matching_Engine!$AO$61*Lookup_Lists!$D$109)/MAX(1,(Lookup_Lists!$D$104+Lookup_Lists!$D$105+Lookup_Lists!$D$106+Lookup_Lists!$D$107+Lookup_Lists!$D$108+Lookup_Lists!$D$109)),0)</f>
      </c>
      <c r="AQ61" s="44">
        <f>IF(Matching_Engine!$AP$61&gt;=Lookup_Lists!$D$152,"Excellent Match",IF(Matching_Engine!$AP$61&gt;=Lookup_Lists!$D$153,"Strong Match",IF(Matching_Engine!$AP$61&gt;=Lookup_Lists!$D$154,"Good Match",IF(Matching_Engine!$AP$61&gt;=Lookup_Lists!$D$155,"Moderate Match","Low Match"))))</f>
      </c>
      <c r="AR61" s="47">
        <f>KOL_Database!$BE$30</f>
      </c>
      <c r="AS61" s="44">
        <f>IF(Matching_Engine!$AR$61&gt;=Lookup_Lists!$D$159,"High",IF(Matching_Engine!$AR$61&gt;=Lookup_Lists!$D$160,"Medium","Limited Data"))</f>
      </c>
      <c r="AT61" s="47">
        <f>ROUND((Matching_Engine!$N$61+Matching_Engine!$X$61+Matching_Engine!$AC$61)/3,0)</f>
      </c>
      <c r="AU61" s="47">
        <f>ROUND(((100-Matching_Engine!$AL$61)*Lookup_Lists!$D$162+IF(KOL_Database!$BD$30="",Lookup_Lists!$D$150,KOL_Database!$BD$30)*Lookup_Lists!$D$163+Matching_Engine!$AI$61*Lookup_Lists!$D$164+Matching_Engine!$AD$61*Lookup_Lists!$D$165)/(Lookup_Lists!$D$162+Lookup_Lists!$D$163+Lookup_Lists!$D$164+Lookup_Lists!$D$165),0)</f>
      </c>
      <c r="AV61" s="44">
        <f>IF(Matching_Engine!$AW$61="","PASS","EXCLUDED")</f>
      </c>
      <c r="AW61" s="44">
        <f>IF(ISERROR(SEARCH(KOL_Database!$D$30,Brand_Profile!$E$32)),"Platform not in Preferred Platform",IF(AND(Brand_Profile!$E$36&gt;0,KOL_Database!$J$30&lt;Brand_Profile!$E$36),"Followers below Preferred Follower Range",IF(AND(Brand_Profile!$E$37&gt;0,KOL_Database!$J$30&gt;Brand_Profile!$E$37),"Followers above Preferred Follower Range",IF(AND(Brand_Profile!$E$38&gt;0,IF(KOL_Database!$K$30="",0,KOL_Database!$K$30)&lt;Brand_Profile!$E$38),"Engagement Rate below Minimum Engagement Rate",IF(ISERROR(SEARCH(KOL_Database!$G$30,Brand_Profile!$E$35)),"Tier not in Preferred Tier",IF(AND(Brand_Profile!$E$43&gt;0,Matching_Engine!$AE$61&lt;Brand_Profile!$E$43),"Audience Quality below Minimum Audience Quality",IF(AND(Brand_Profile!$E$44&gt;0,Matching_Engine!$AK$61&lt;Brand_Profile!$E$44),"Brand Safety below Minimum Brand Safety",IF(AND(Brand_Profile!$E$47="Yes",KOL_Database!$AD$30&lt;&gt;Brand_Profile!$E$19),"Audience Country does not match Target Country",IF(AND(Brand_Profile!$E$46="Yes",KOL_Database!$E$30&lt;&gt;Brand_Profile!$E$33),"Category is not the Preferred Category",IF(AND(Brand_Profile!$E$48&gt;0,Matching_Engine!$AL$61&gt;Brand_Profile!$E$48),"Competitor Saturation above Max Competitor Saturation",IF(AND(Brand_Profile!$E$50="Yes",KOL_Database!$AW$30="Yes"),"Already Selected",IF(AND(Brand_Profile!$E$51="Yes",KOL_Database!$AX$30="Yes"),"Already in Cart",IF(AND(Brand_Profile!$E$52="Yes",KOL_Database!$AY$30="Yes"),"Existing Partner",IF(AND(Brand_Profile!$E$53="Yes",KOL_Database!$AZ$30="Yes"),"Excluded Creator",IF(AND(Brand_Profile!$E$49&gt;0,Matching_Engine!$AP$61&lt;Brand_Profile!$E$49),"Brand Match below Minimum Brand Match","")))))))))))))))</f>
      </c>
      <c r="AX61" s="44">
        <f>IF(Matching_Engine!$AV$61="EXCLUDED","Excluded",IF(Matching_Engine!$AP$61&gt;=Lookup_Lists!$D$156,"Highly Recommended",IF(Matching_Engine!$AP$61&gt;=Lookup_Lists!$D$157,"Recommended",IF(Matching_Engine!$AP$61&gt;=Lookup_Lists!$D$158,"Consider","Low Priority"))))</f>
      </c>
      <c r="AY61" s="47">
        <f>IF(Matching_Engine!$AV$61="PASS",Matching_Engine!$AP$61,"")</f>
      </c>
      <c r="AZ61" s="44">
        <f>Matching_Engine!$A$61&amp;"|"&amp;Matching_Engine!$C$61</f>
      </c>
      <c r="BA61" s="44">
        <f>IFERROR(INDEX(Lookup_Lists!$B$51:$B$92,MATCH(Brand_Profile!$E$12,Lookup_Lists!$A$51:$A$92,0)),"")</f>
      </c>
      <c r="BB61" s="44">
        <f>IFERROR(INDEX(Lookup_Lists!$B$51:$B$92,MATCH(KOL_Database!$F$30,Lookup_Lists!$A$51:$A$92,0)),"")</f>
      </c>
      <c r="BC61" s="47">
        <f>IFERROR(INDEX(Lookup_Lists!$B$185:$O$198,MATCH(Matching_Engine!$BA$61,Lookup_Lists!$A$185:$A$198,0),MATCH(KOL_Database!$E$30,Lookup_Lists!$B$184:$O$184,0)),Lookup_Lists!$D$151)</f>
      </c>
      <c r="BD61" s="47">
        <f>IFERROR(INDEX(Lookup_Lists!$B$185:$O$198,MATCH(Brand_Profile!$E$33,Lookup_Lists!$A$185:$A$198,0),MATCH(KOL_Database!$E$30,Lookup_Lists!$B$184:$O$184,0)),Lookup_Lists!$D$151)</f>
      </c>
      <c r="BE61" s="44">
        <f>IFERROR(INDEX(Lookup_Lists!$B$51:$B$92,MATCH(Brand_Profile!$E$34,Lookup_Lists!$A$51:$A$92,0)),"")</f>
      </c>
      <c r="BF61" s="44">
        <f>KOL_Database!$AI$30&amp;", "&amp;KOL_Database!$AG$30&amp;", "&amp;KOL_Database!$F$30&amp;", "&amp;KOL_Database!$E$30</f>
      </c>
      <c r="BG61" s="44">
        <f>KOL_Database!$AI$30&amp;", "&amp;KOL_Database!$AG$30</f>
      </c>
    </row>
    <row r="62" spans="1:59" x14ac:dyDescent="0.25">
      <c r="A62" s="43" t="s">
        <v>76</v>
      </c>
      <c r="B62" s="44">
        <f>Brand_Profile!$E$9</f>
      </c>
      <c r="C62" s="44">
        <f>KOL_Database!$A$31</f>
      </c>
      <c r="D62" s="44">
        <f>KOL_Database!$B$31</f>
      </c>
      <c r="E62" s="44">
        <f>KOL_Database!$C$31</f>
      </c>
      <c r="F62" s="44">
        <f>KOL_Database!$D$31</f>
      </c>
      <c r="G62" s="44">
        <f>KOL_Database!$E$31</f>
      </c>
      <c r="H62" s="44">
        <f>KOL_Database!$G$31</f>
      </c>
      <c r="I62" s="45">
        <f>KOL_Database!$J$31</f>
      </c>
      <c r="J62" s="46">
        <f>KOL_Database!$K$31</f>
      </c>
      <c r="K62" s="47">
        <f>IFERROR(INDEX(Lookup_Lists!$B$170:$O$181,MATCH(Brand_Profile!$E$10,Lookup_Lists!$A$170:$A$181,0),MATCH(KOL_Database!$E$31,Lookup_Lists!$B$169:$O$169,0)),Lookup_Lists!$D$151)</f>
      </c>
      <c r="L62" s="47">
        <f>IF(KOL_Database!$F$31="",Matching_Engine!$BC$62,IF(Brand_Profile!$E$12=KOL_Database!$F$31,100,IF(Matching_Engine!$BA$62=KOL_Database!$E$31,80,IF(Matching_Engine!$BC$62&gt;=80,60,IF(Matching_Engine!$BC$62&gt;=60,40,Lookup_Lists!$D$151)))))</f>
      </c>
      <c r="M62" s="47">
        <f>ROUND((IF(Brand_Profile!$E$62=0,Lookup_Lists!$D$150,ROUND((IF(Brand_Profile!$E$57="",0,IF(ISNUMBER(SEARCH(Brand_Profile!$E$57,Matching_Engine!$BF$62)),1,0))+IF(Brand_Profile!$E$58="",0,IF(ISNUMBER(SEARCH(Brand_Profile!$E$58,Matching_Engine!$BF$62)),1,0))+IF(Brand_Profile!$E$59="",0,IF(ISNUMBER(SEARCH(Brand_Profile!$E$59,Matching_Engine!$BF$62)),1,0))+IF(Brand_Profile!$E$60="",0,IF(ISNUMBER(SEARCH(Brand_Profile!$E$60,Matching_Engine!$BF$62)),1,0))+IF(Brand_Profile!$E$61="",0,IF(ISNUMBER(SEARCH(Brand_Profile!$E$61,Matching_Engine!$BF$62)),1,0)))/Brand_Profile!$E$62*100,0))+IF(Brand_Profile!$E$74=0,Lookup_Lists!$D$150,ROUND((IF(Brand_Profile!$E$69="",0,IF(ISNUMBER(SEARCH(Brand_Profile!$E$69,Matching_Engine!$BF$62)),1,0))+IF(Brand_Profile!$E$70="",0,IF(ISNUMBER(SEARCH(Brand_Profile!$E$70,Matching_Engine!$BF$62)),1,0))+IF(Brand_Profile!$E$71="",0,IF(ISNUMBER(SEARCH(Brand_Profile!$E$71,Matching_Engine!$BF$62)),1,0))+IF(Brand_Profile!$E$72="",0,IF(ISNUMBER(SEARCH(Brand_Profile!$E$72,Matching_Engine!$BF$62)),1,0))+IF(Brand_Profile!$E$73="",0,IF(ISNUMBER(SEARCH(Brand_Profile!$E$73,Matching_Engine!$BF$62)),1,0)))/Brand_Profile!$E$74*100,0)))/2,0)</f>
      </c>
      <c r="N62" s="47">
        <f>ROUND((Matching_Engine!$K$62*Lookup_Lists!$D$110+Matching_Engine!$L$62*Lookup_Lists!$D$111+Matching_Engine!$M$62*Lookup_Lists!$D$112)/(Lookup_Lists!$D$110+Lookup_Lists!$D$111+Lookup_Lists!$D$112),0)</f>
      </c>
      <c r="O62" s="47">
        <f>IF(Brand_Profile!$E$16="",Lookup_Lists!$D$150,MIN(100,ROUND((IFERROR(INDEX(KOL_Database!$W$31:KOL_Database!$AA$31,1,MATCH(Brand_Profile!$E$16,Lookup_Lists!$F$6:$F$10,0)),0)+0.5*IFERROR(INDEX(KOL_Database!$W$31:KOL_Database!$AA$31,1,MATCH(Brand_Profile!$E$17,Lookup_Lists!$F$6:$F$10,0)),0))/Lookup_Lists!$D$142*100,0)))</f>
      </c>
      <c r="P62" s="47">
        <f>IF(OR(Brand_Profile!$E$18="",Brand_Profile!$E$18="Any"),100,IF(Brand_Profile!$E$18="Female",MIN(100,ROUND(KOL_Database!$AB$31/Lookup_Lists!$D$143*100,0)),IF(Brand_Profile!$E$18="Male",MIN(100,ROUND(KOL_Database!$AC$31/Lookup_Lists!$D$143*100,0)),MAX(0,ROUND(100-ABS(KOL_Database!$AB$31-50)*2,0)))))</f>
      </c>
      <c r="Q62" s="47">
        <f>ROUND((IF(Brand_Profile!$E$19="",100,IF(KOL_Database!$AD$31=Brand_Profile!$E$19,100,Lookup_Lists!$D$151))*Lookup_Lists!$D$118+IF(OR(Brand_Profile!$E$20="",Brand_Profile!$E$20="Nasional"),100,IF(KOL_Database!$AE$31="",Lookup_Lists!$D$150,IF(KOL_Database!$AE$31=Brand_Profile!$E$20,100,IF(KOL_Database!$AD$31=Brand_Profile!$E$19,40,Lookup_Lists!$D$151))))*Lookup_Lists!$D$119+IF(OR(Brand_Profile!$E$21="",Brand_Profile!$E$21="Nasional"),100,IF(KOL_Database!$AF$31="",Lookup_Lists!$D$150,IF(KOL_Database!$AF$31=Brand_Profile!$E$21,100,IF(KOL_Database!$AE$31=Brand_Profile!$E$20,60,Lookup_Lists!$D$151))))*Lookup_Lists!$D$120)/(Lookup_Lists!$D$118+Lookup_Lists!$D$119+Lookup_Lists!$D$120),0)</f>
      </c>
      <c r="R62" s="47">
        <f>IF(Brand_Profile!$E$68=0,Lookup_Lists!$D$150,ROUND((IF(Brand_Profile!$E$63="",0,IF(ISNUMBER(SEARCH(Brand_Profile!$E$63,KOL_Database!$AG$31)),1,0))+IF(Brand_Profile!$E$64="",0,IF(ISNUMBER(SEARCH(Brand_Profile!$E$64,KOL_Database!$AG$31)),1,0))+IF(Brand_Profile!$E$65="",0,IF(ISNUMBER(SEARCH(Brand_Profile!$E$65,KOL_Database!$AG$31)),1,0))+IF(Brand_Profile!$E$66="",0,IF(ISNUMBER(SEARCH(Brand_Profile!$E$66,KOL_Database!$AG$31)),1,0))+IF(Brand_Profile!$E$67="",0,IF(ISNUMBER(SEARCH(Brand_Profile!$E$67,KOL_Database!$AG$31)),1,0)))/Brand_Profile!$E$68*100,0))</f>
      </c>
      <c r="S62" s="47">
        <f>ROUND((Matching_Engine!$O$62*Brand_Profile!$E$96+Matching_Engine!$P$62*Brand_Profile!$E$97+Matching_Engine!$Q$62*Brand_Profile!$E$98+Matching_Engine!$R$62*Brand_Profile!$E$99)/MAX(1,Brand_Profile!$E$96+Brand_Profile!$E$97+Brand_Profile!$E$98+Brand_Profile!$E$99),0)</f>
      </c>
      <c r="T62" s="47">
        <f>IF(Brand_Profile!$E$33="",Lookup_Lists!$D$150,Matching_Engine!$BD$62)</f>
      </c>
      <c r="U62" s="47">
        <f>IF(Brand_Profile!$E$34="",Lookup_Lists!$D$150,IF(Brand_Profile!$E$34=KOL_Database!$F$31,100,IF(Matching_Engine!$BE$62=KOL_Database!$E$31,75,IF(Matching_Engine!$BD$62&gt;=80,Lookup_Lists!$D$150,IF(Matching_Engine!$BD$62&gt;=60,35,Lookup_Lists!$D$151)))))</f>
      </c>
      <c r="V62" s="47">
        <f>IF(Brand_Profile!$E$86=0,Lookup_Lists!$D$150,ROUND((IF(Brand_Profile!$E$81="",0,IF(ISNUMBER(SEARCH(Brand_Profile!$E$81,Matching_Engine!$BG$62)),1,0))+IF(Brand_Profile!$E$82="",0,IF(ISNUMBER(SEARCH(Brand_Profile!$E$82,Matching_Engine!$BG$62)),1,0))+IF(Brand_Profile!$E$83="",0,IF(ISNUMBER(SEARCH(Brand_Profile!$E$83,Matching_Engine!$BG$62)),1,0))+IF(Brand_Profile!$E$84="",0,IF(ISNUMBER(SEARCH(Brand_Profile!$E$84,Matching_Engine!$BG$62)),1,0))+IF(Brand_Profile!$E$85="",0,IF(ISNUMBER(SEARCH(Brand_Profile!$E$85,Matching_Engine!$BG$62)),1,0)))/Brand_Profile!$E$86*100,0))</f>
      </c>
      <c r="W62" s="47">
        <f>IF(Brand_Profile!$E$39="",Lookup_Lists!$D$150,IFERROR(INDEX(Lookup_Lists!$B$237:$K$246,MATCH(Brand_Profile!$E$39,Lookup_Lists!$A$237:$A$246,0),MATCH(KOL_Database!$AJ$31,Lookup_Lists!$B$236:$K$236,0)),45))</f>
      </c>
      <c r="X62" s="47">
        <f>ROUND((Matching_Engine!$T$62*Lookup_Lists!$D$121+Matching_Engine!$U$62*Lookup_Lists!$D$122+Matching_Engine!$V$62*Lookup_Lists!$D$123+Matching_Engine!$W$62*Lookup_Lists!$D$124)/(Lookup_Lists!$D$121+Lookup_Lists!$D$122+Lookup_Lists!$D$123+Lookup_Lists!$D$124),0)</f>
      </c>
      <c r="Y62" s="47">
        <f>MIN(100,MAX(IFERROR(INDEX(Lookup_Lists!$B$202:$M$211,MATCH(Brand_Profile!$E$25,Lookup_Lists!$A$202:$A$211,0),MATCH(KOL_Database!$AK$31,Lookup_Lists!$B$201:$M$201,0)),40),IF(KOL_Database!$AK$31=Brand_Profile!$E$41,95,0)))</f>
      </c>
      <c r="Z62" s="47">
        <f>IFERROR(INDEX(Lookup_Lists!$B$215:$K$222,MATCH(Brand_Profile!$E$27,Lookup_Lists!$A$215:$A$222,0),MATCH(KOL_Database!$AJ$31,Lookup_Lists!$B$214:$K$214,0)),45)</f>
      </c>
      <c r="AA62" s="47">
        <f>ROUND((IF(Brand_Profile!$E$80=0,Lookup_Lists!$D$150,ROUND((IF(Brand_Profile!$E$75="",0,IF(ISNUMBER(SEARCH(Brand_Profile!$E$75,KOL_Database!$AL$31)),1,0))+IF(Brand_Profile!$E$76="",0,IF(ISNUMBER(SEARCH(Brand_Profile!$E$76,KOL_Database!$AL$31)),1,0))+IF(Brand_Profile!$E$77="",0,IF(ISNUMBER(SEARCH(Brand_Profile!$E$77,KOL_Database!$AL$31)),1,0))+IF(Brand_Profile!$E$78="",0,IF(ISNUMBER(SEARCH(Brand_Profile!$E$78,KOL_Database!$AL$31)),1,0))+IF(Brand_Profile!$E$79="",0,IF(ISNUMBER(SEARCH(Brand_Profile!$E$79,KOL_Database!$AL$31)),1,0)))/Brand_Profile!$E$80*100,0))+IF(Brand_Profile!$E$92=0,Lookup_Lists!$D$150,ROUND((IF(Brand_Profile!$E$87="",0,IF(ISNUMBER(SEARCH(Brand_Profile!$E$87,KOL_Database!$AL$31)),1,0))+IF(Brand_Profile!$E$88="",0,IF(ISNUMBER(SEARCH(Brand_Profile!$E$88,KOL_Database!$AL$31)),1,0))+IF(Brand_Profile!$E$89="",0,IF(ISNUMBER(SEARCH(Brand_Profile!$E$89,KOL_Database!$AL$31)),1,0))+IF(Brand_Profile!$E$90="",0,IF(ISNUMBER(SEARCH(Brand_Profile!$E$90,KOL_Database!$AL$31)),1,0))+IF(Brand_Profile!$E$91="",0,IF(ISNUMBER(SEARCH(Brand_Profile!$E$91,KOL_Database!$AL$31)),1,0)))/Brand_Profile!$E$92*100,0)))/2,0)</f>
      </c>
      <c r="AB62" s="47">
        <f>IFERROR(INDEX(Lookup_Lists!$B$226:$K$233,MATCH(Brand_Profile!$E$30,Lookup_Lists!$A$226:$A$233,0),MATCH(KOL_Database!$AJ$31,Lookup_Lists!$B$225:$K$225,0)),45)</f>
      </c>
      <c r="AC62" s="47">
        <f>ROUND((Matching_Engine!$Y$62*Lookup_Lists!$D$125+Matching_Engine!$Z$62*Lookup_Lists!$D$126+Matching_Engine!$AA$62*Lookup_Lists!$D$127+Matching_Engine!$AB$62*Lookup_Lists!$D$128)/(Lookup_Lists!$D$125+Lookup_Lists!$D$126+Lookup_Lists!$D$127+Lookup_Lists!$D$128),0)</f>
      </c>
      <c r="AD62" s="47">
        <f>IF(KOL_Database!$K$31="",0,MIN(100,ROUND(KOL_Database!$K$31/Lookup_Lists!$D$141*100,0)))</f>
      </c>
      <c r="AE62" s="47">
        <f>IF(KOL_Database!$R$31="",0,MIN(100,MAX(0,KOL_Database!$R$31)))</f>
      </c>
      <c r="AF62" s="47">
        <f>IF(KOL_Database!$P$31="",0,MIN(100,MAX(0,KOL_Database!$P$31)))</f>
      </c>
      <c r="AG62" s="47">
        <f>IF(KOL_Database!$Q$31="",0,MIN(100,MAX(0,KOL_Database!$Q$31)))</f>
      </c>
      <c r="AH62" s="47">
        <f>IF(OR(KOL_Database!$J$31="",KOL_Database!$J$31=0,KOL_Database!$L$31=""),0,MIN(100,ROUND(KOL_Database!$L$31/KOL_Database!$J$31/Lookup_Lists!$D$144*100,0)))</f>
      </c>
      <c r="AI62" s="47">
        <f>IF(KOL_Database!$N$31="",0,MIN(100,MAX(0,ROUND((KOL_Database!$N$31+2)/(Lookup_Lists!$D$145+2)*100,0))))</f>
      </c>
      <c r="AJ62" s="47">
        <f>ROUND((Matching_Engine!$AD$62*Lookup_Lists!$D$129+Matching_Engine!$AE$62*Lookup_Lists!$D$130+Matching_Engine!$AF$62*Lookup_Lists!$D$131+Matching_Engine!$AG$62*Lookup_Lists!$D$132+Matching_Engine!$AH$62*Lookup_Lists!$D$133+Matching_Engine!$AI$62*Lookup_Lists!$D$134)/(Lookup_Lists!$D$129+Lookup_Lists!$D$130+Lookup_Lists!$D$131+Lookup_Lists!$D$132+Lookup_Lists!$D$133+Lookup_Lists!$D$134),0)</f>
      </c>
      <c r="AK62" s="47">
        <f>IF(KOL_Database!$AT$31="",0,MIN(100,MAX(0,KOL_Database!$AT$31)))</f>
      </c>
      <c r="AL62" s="47">
        <f>IF(KOL_Database!$AU$31="",0,KOL_Database!$AU$31)</f>
      </c>
      <c r="AM62" s="44">
        <f>IF(KOL_Database!$AV$31="","None",KOL_Database!$AV$31)</f>
      </c>
      <c r="AN62" s="48">
        <f>IF(Matching_Engine!$AM$62="High",Lookup_Lists!$D$137,IF(Matching_Engine!$AM$62="Medium",Lookup_Lists!$D$138,IF(Matching_Engine!$AM$62="Low",Lookup_Lists!$D$139,Lookup_Lists!$D$140)))</f>
      </c>
      <c r="AO62" s="47">
        <f>ROUND(MIN(100,MAX(0,(Matching_Engine!$AK$62*Lookup_Lists!$D$135+(100-Matching_Engine!$AL$62)*Lookup_Lists!$D$136)/(Lookup_Lists!$D$135+Lookup_Lists!$D$136)*Matching_Engine!$AN$62)),0)</f>
      </c>
      <c r="AP62" s="49">
        <f>ROUND((Matching_Engine!$N$62*Lookup_Lists!$D$104+Matching_Engine!$S$62*Lookup_Lists!$D$105+Matching_Engine!$X$62*Lookup_Lists!$D$106+Matching_Engine!$AC$62*Lookup_Lists!$D$107+Matching_Engine!$AJ$62*Lookup_Lists!$D$108+Matching_Engine!$AO$62*Lookup_Lists!$D$109)/MAX(1,(Lookup_Lists!$D$104+Lookup_Lists!$D$105+Lookup_Lists!$D$106+Lookup_Lists!$D$107+Lookup_Lists!$D$108+Lookup_Lists!$D$109)),0)</f>
      </c>
      <c r="AQ62" s="44">
        <f>IF(Matching_Engine!$AP$62&gt;=Lookup_Lists!$D$152,"Excellent Match",IF(Matching_Engine!$AP$62&gt;=Lookup_Lists!$D$153,"Strong Match",IF(Matching_Engine!$AP$62&gt;=Lookup_Lists!$D$154,"Good Match",IF(Matching_Engine!$AP$62&gt;=Lookup_Lists!$D$155,"Moderate Match","Low Match"))))</f>
      </c>
      <c r="AR62" s="47">
        <f>KOL_Database!$BE$31</f>
      </c>
      <c r="AS62" s="44">
        <f>IF(Matching_Engine!$AR$62&gt;=Lookup_Lists!$D$159,"High",IF(Matching_Engine!$AR$62&gt;=Lookup_Lists!$D$160,"Medium","Limited Data"))</f>
      </c>
      <c r="AT62" s="47">
        <f>ROUND((Matching_Engine!$N$62+Matching_Engine!$X$62+Matching_Engine!$AC$62)/3,0)</f>
      </c>
      <c r="AU62" s="47">
        <f>ROUND(((100-Matching_Engine!$AL$62)*Lookup_Lists!$D$162+IF(KOL_Database!$BD$31="",Lookup_Lists!$D$150,KOL_Database!$BD$31)*Lookup_Lists!$D$163+Matching_Engine!$AI$62*Lookup_Lists!$D$164+Matching_Engine!$AD$62*Lookup_Lists!$D$165)/(Lookup_Lists!$D$162+Lookup_Lists!$D$163+Lookup_Lists!$D$164+Lookup_Lists!$D$165),0)</f>
      </c>
      <c r="AV62" s="44">
        <f>IF(Matching_Engine!$AW$62="","PASS","EXCLUDED")</f>
      </c>
      <c r="AW62" s="44">
        <f>IF(ISERROR(SEARCH(KOL_Database!$D$31,Brand_Profile!$E$32)),"Platform not in Preferred Platform",IF(AND(Brand_Profile!$E$36&gt;0,KOL_Database!$J$31&lt;Brand_Profile!$E$36),"Followers below Preferred Follower Range",IF(AND(Brand_Profile!$E$37&gt;0,KOL_Database!$J$31&gt;Brand_Profile!$E$37),"Followers above Preferred Follower Range",IF(AND(Brand_Profile!$E$38&gt;0,IF(KOL_Database!$K$31="",0,KOL_Database!$K$31)&lt;Brand_Profile!$E$38),"Engagement Rate below Minimum Engagement Rate",IF(ISERROR(SEARCH(KOL_Database!$G$31,Brand_Profile!$E$35)),"Tier not in Preferred Tier",IF(AND(Brand_Profile!$E$43&gt;0,Matching_Engine!$AE$62&lt;Brand_Profile!$E$43),"Audience Quality below Minimum Audience Quality",IF(AND(Brand_Profile!$E$44&gt;0,Matching_Engine!$AK$62&lt;Brand_Profile!$E$44),"Brand Safety below Minimum Brand Safety",IF(AND(Brand_Profile!$E$47="Yes",KOL_Database!$AD$31&lt;&gt;Brand_Profile!$E$19),"Audience Country does not match Target Country",IF(AND(Brand_Profile!$E$46="Yes",KOL_Database!$E$31&lt;&gt;Brand_Profile!$E$33),"Category is not the Preferred Category",IF(AND(Brand_Profile!$E$48&gt;0,Matching_Engine!$AL$62&gt;Brand_Profile!$E$48),"Competitor Saturation above Max Competitor Saturation",IF(AND(Brand_Profile!$E$50="Yes",KOL_Database!$AW$31="Yes"),"Already Selected",IF(AND(Brand_Profile!$E$51="Yes",KOL_Database!$AX$31="Yes"),"Already in Cart",IF(AND(Brand_Profile!$E$52="Yes",KOL_Database!$AY$31="Yes"),"Existing Partner",IF(AND(Brand_Profile!$E$53="Yes",KOL_Database!$AZ$31="Yes"),"Excluded Creator",IF(AND(Brand_Profile!$E$49&gt;0,Matching_Engine!$AP$62&lt;Brand_Profile!$E$49),"Brand Match below Minimum Brand Match","")))))))))))))))</f>
      </c>
      <c r="AX62" s="44">
        <f>IF(Matching_Engine!$AV$62="EXCLUDED","Excluded",IF(Matching_Engine!$AP$62&gt;=Lookup_Lists!$D$156,"Highly Recommended",IF(Matching_Engine!$AP$62&gt;=Lookup_Lists!$D$157,"Recommended",IF(Matching_Engine!$AP$62&gt;=Lookup_Lists!$D$158,"Consider","Low Priority"))))</f>
      </c>
      <c r="AY62" s="47">
        <f>IF(Matching_Engine!$AV$62="PASS",Matching_Engine!$AP$62,"")</f>
      </c>
      <c r="AZ62" s="44">
        <f>Matching_Engine!$A$62&amp;"|"&amp;Matching_Engine!$C$62</f>
      </c>
      <c r="BA62" s="44">
        <f>IFERROR(INDEX(Lookup_Lists!$B$51:$B$92,MATCH(Brand_Profile!$E$12,Lookup_Lists!$A$51:$A$92,0)),"")</f>
      </c>
      <c r="BB62" s="44">
        <f>IFERROR(INDEX(Lookup_Lists!$B$51:$B$92,MATCH(KOL_Database!$F$31,Lookup_Lists!$A$51:$A$92,0)),"")</f>
      </c>
      <c r="BC62" s="47">
        <f>IFERROR(INDEX(Lookup_Lists!$B$185:$O$198,MATCH(Matching_Engine!$BA$62,Lookup_Lists!$A$185:$A$198,0),MATCH(KOL_Database!$E$31,Lookup_Lists!$B$184:$O$184,0)),Lookup_Lists!$D$151)</f>
      </c>
      <c r="BD62" s="47">
        <f>IFERROR(INDEX(Lookup_Lists!$B$185:$O$198,MATCH(Brand_Profile!$E$33,Lookup_Lists!$A$185:$A$198,0),MATCH(KOL_Database!$E$31,Lookup_Lists!$B$184:$O$184,0)),Lookup_Lists!$D$151)</f>
      </c>
      <c r="BE62" s="44">
        <f>IFERROR(INDEX(Lookup_Lists!$B$51:$B$92,MATCH(Brand_Profile!$E$34,Lookup_Lists!$A$51:$A$92,0)),"")</f>
      </c>
      <c r="BF62" s="44">
        <f>KOL_Database!$AI$31&amp;", "&amp;KOL_Database!$AG$31&amp;", "&amp;KOL_Database!$F$31&amp;", "&amp;KOL_Database!$E$31</f>
      </c>
      <c r="BG62" s="44">
        <f>KOL_Database!$AI$31&amp;", "&amp;KOL_Database!$AG$31</f>
      </c>
    </row>
    <row r="63" spans="1:59" x14ac:dyDescent="0.25">
      <c r="A63" s="43" t="s">
        <v>76</v>
      </c>
      <c r="B63" s="44">
        <f>Brand_Profile!$E$9</f>
      </c>
      <c r="C63" s="44">
        <f>KOL_Database!$A$32</f>
      </c>
      <c r="D63" s="44">
        <f>KOL_Database!$B$32</f>
      </c>
      <c r="E63" s="44">
        <f>KOL_Database!$C$32</f>
      </c>
      <c r="F63" s="44">
        <f>KOL_Database!$D$32</f>
      </c>
      <c r="G63" s="44">
        <f>KOL_Database!$E$32</f>
      </c>
      <c r="H63" s="44">
        <f>KOL_Database!$G$32</f>
      </c>
      <c r="I63" s="45">
        <f>KOL_Database!$J$32</f>
      </c>
      <c r="J63" s="46">
        <f>KOL_Database!$K$32</f>
      </c>
      <c r="K63" s="47">
        <f>IFERROR(INDEX(Lookup_Lists!$B$170:$O$181,MATCH(Brand_Profile!$E$10,Lookup_Lists!$A$170:$A$181,0),MATCH(KOL_Database!$E$32,Lookup_Lists!$B$169:$O$169,0)),Lookup_Lists!$D$151)</f>
      </c>
      <c r="L63" s="47">
        <f>IF(KOL_Database!$F$32="",Matching_Engine!$BC$63,IF(Brand_Profile!$E$12=KOL_Database!$F$32,100,IF(Matching_Engine!$BA$63=KOL_Database!$E$32,80,IF(Matching_Engine!$BC$63&gt;=80,60,IF(Matching_Engine!$BC$63&gt;=60,40,Lookup_Lists!$D$151)))))</f>
      </c>
      <c r="M63" s="47">
        <f>ROUND((IF(Brand_Profile!$E$62=0,Lookup_Lists!$D$150,ROUND((IF(Brand_Profile!$E$57="",0,IF(ISNUMBER(SEARCH(Brand_Profile!$E$57,Matching_Engine!$BF$63)),1,0))+IF(Brand_Profile!$E$58="",0,IF(ISNUMBER(SEARCH(Brand_Profile!$E$58,Matching_Engine!$BF$63)),1,0))+IF(Brand_Profile!$E$59="",0,IF(ISNUMBER(SEARCH(Brand_Profile!$E$59,Matching_Engine!$BF$63)),1,0))+IF(Brand_Profile!$E$60="",0,IF(ISNUMBER(SEARCH(Brand_Profile!$E$60,Matching_Engine!$BF$63)),1,0))+IF(Brand_Profile!$E$61="",0,IF(ISNUMBER(SEARCH(Brand_Profile!$E$61,Matching_Engine!$BF$63)),1,0)))/Brand_Profile!$E$62*100,0))+IF(Brand_Profile!$E$74=0,Lookup_Lists!$D$150,ROUND((IF(Brand_Profile!$E$69="",0,IF(ISNUMBER(SEARCH(Brand_Profile!$E$69,Matching_Engine!$BF$63)),1,0))+IF(Brand_Profile!$E$70="",0,IF(ISNUMBER(SEARCH(Brand_Profile!$E$70,Matching_Engine!$BF$63)),1,0))+IF(Brand_Profile!$E$71="",0,IF(ISNUMBER(SEARCH(Brand_Profile!$E$71,Matching_Engine!$BF$63)),1,0))+IF(Brand_Profile!$E$72="",0,IF(ISNUMBER(SEARCH(Brand_Profile!$E$72,Matching_Engine!$BF$63)),1,0))+IF(Brand_Profile!$E$73="",0,IF(ISNUMBER(SEARCH(Brand_Profile!$E$73,Matching_Engine!$BF$63)),1,0)))/Brand_Profile!$E$74*100,0)))/2,0)</f>
      </c>
      <c r="N63" s="47">
        <f>ROUND((Matching_Engine!$K$63*Lookup_Lists!$D$110+Matching_Engine!$L$63*Lookup_Lists!$D$111+Matching_Engine!$M$63*Lookup_Lists!$D$112)/(Lookup_Lists!$D$110+Lookup_Lists!$D$111+Lookup_Lists!$D$112),0)</f>
      </c>
      <c r="O63" s="47">
        <f>IF(Brand_Profile!$E$16="",Lookup_Lists!$D$150,MIN(100,ROUND((IFERROR(INDEX(KOL_Database!$W$32:KOL_Database!$AA$32,1,MATCH(Brand_Profile!$E$16,Lookup_Lists!$F$6:$F$10,0)),0)+0.5*IFERROR(INDEX(KOL_Database!$W$32:KOL_Database!$AA$32,1,MATCH(Brand_Profile!$E$17,Lookup_Lists!$F$6:$F$10,0)),0))/Lookup_Lists!$D$142*100,0)))</f>
      </c>
      <c r="P63" s="47">
        <f>IF(OR(Brand_Profile!$E$18="",Brand_Profile!$E$18="Any"),100,IF(Brand_Profile!$E$18="Female",MIN(100,ROUND(KOL_Database!$AB$32/Lookup_Lists!$D$143*100,0)),IF(Brand_Profile!$E$18="Male",MIN(100,ROUND(KOL_Database!$AC$32/Lookup_Lists!$D$143*100,0)),MAX(0,ROUND(100-ABS(KOL_Database!$AB$32-50)*2,0)))))</f>
      </c>
      <c r="Q63" s="47">
        <f>ROUND((IF(Brand_Profile!$E$19="",100,IF(KOL_Database!$AD$32=Brand_Profile!$E$19,100,Lookup_Lists!$D$151))*Lookup_Lists!$D$118+IF(OR(Brand_Profile!$E$20="",Brand_Profile!$E$20="Nasional"),100,IF(KOL_Database!$AE$32="",Lookup_Lists!$D$150,IF(KOL_Database!$AE$32=Brand_Profile!$E$20,100,IF(KOL_Database!$AD$32=Brand_Profile!$E$19,40,Lookup_Lists!$D$151))))*Lookup_Lists!$D$119+IF(OR(Brand_Profile!$E$21="",Brand_Profile!$E$21="Nasional"),100,IF(KOL_Database!$AF$32="",Lookup_Lists!$D$150,IF(KOL_Database!$AF$32=Brand_Profile!$E$21,100,IF(KOL_Database!$AE$32=Brand_Profile!$E$20,60,Lookup_Lists!$D$151))))*Lookup_Lists!$D$120)/(Lookup_Lists!$D$118+Lookup_Lists!$D$119+Lookup_Lists!$D$120),0)</f>
      </c>
      <c r="R63" s="47">
        <f>IF(Brand_Profile!$E$68=0,Lookup_Lists!$D$150,ROUND((IF(Brand_Profile!$E$63="",0,IF(ISNUMBER(SEARCH(Brand_Profile!$E$63,KOL_Database!$AG$32)),1,0))+IF(Brand_Profile!$E$64="",0,IF(ISNUMBER(SEARCH(Brand_Profile!$E$64,KOL_Database!$AG$32)),1,0))+IF(Brand_Profile!$E$65="",0,IF(ISNUMBER(SEARCH(Brand_Profile!$E$65,KOL_Database!$AG$32)),1,0))+IF(Brand_Profile!$E$66="",0,IF(ISNUMBER(SEARCH(Brand_Profile!$E$66,KOL_Database!$AG$32)),1,0))+IF(Brand_Profile!$E$67="",0,IF(ISNUMBER(SEARCH(Brand_Profile!$E$67,KOL_Database!$AG$32)),1,0)))/Brand_Profile!$E$68*100,0))</f>
      </c>
      <c r="S63" s="47">
        <f>ROUND((Matching_Engine!$O$63*Brand_Profile!$E$96+Matching_Engine!$P$63*Brand_Profile!$E$97+Matching_Engine!$Q$63*Brand_Profile!$E$98+Matching_Engine!$R$63*Brand_Profile!$E$99)/MAX(1,Brand_Profile!$E$96+Brand_Profile!$E$97+Brand_Profile!$E$98+Brand_Profile!$E$99),0)</f>
      </c>
      <c r="T63" s="47">
        <f>IF(Brand_Profile!$E$33="",Lookup_Lists!$D$150,Matching_Engine!$BD$63)</f>
      </c>
      <c r="U63" s="47">
        <f>IF(Brand_Profile!$E$34="",Lookup_Lists!$D$150,IF(Brand_Profile!$E$34=KOL_Database!$F$32,100,IF(Matching_Engine!$BE$63=KOL_Database!$E$32,75,IF(Matching_Engine!$BD$63&gt;=80,Lookup_Lists!$D$150,IF(Matching_Engine!$BD$63&gt;=60,35,Lookup_Lists!$D$151)))))</f>
      </c>
      <c r="V63" s="47">
        <f>IF(Brand_Profile!$E$86=0,Lookup_Lists!$D$150,ROUND((IF(Brand_Profile!$E$81="",0,IF(ISNUMBER(SEARCH(Brand_Profile!$E$81,Matching_Engine!$BG$63)),1,0))+IF(Brand_Profile!$E$82="",0,IF(ISNUMBER(SEARCH(Brand_Profile!$E$82,Matching_Engine!$BG$63)),1,0))+IF(Brand_Profile!$E$83="",0,IF(ISNUMBER(SEARCH(Brand_Profile!$E$83,Matching_Engine!$BG$63)),1,0))+IF(Brand_Profile!$E$84="",0,IF(ISNUMBER(SEARCH(Brand_Profile!$E$84,Matching_Engine!$BG$63)),1,0))+IF(Brand_Profile!$E$85="",0,IF(ISNUMBER(SEARCH(Brand_Profile!$E$85,Matching_Engine!$BG$63)),1,0)))/Brand_Profile!$E$86*100,0))</f>
      </c>
      <c r="W63" s="47">
        <f>IF(Brand_Profile!$E$39="",Lookup_Lists!$D$150,IFERROR(INDEX(Lookup_Lists!$B$237:$K$246,MATCH(Brand_Profile!$E$39,Lookup_Lists!$A$237:$A$246,0),MATCH(KOL_Database!$AJ$32,Lookup_Lists!$B$236:$K$236,0)),45))</f>
      </c>
      <c r="X63" s="47">
        <f>ROUND((Matching_Engine!$T$63*Lookup_Lists!$D$121+Matching_Engine!$U$63*Lookup_Lists!$D$122+Matching_Engine!$V$63*Lookup_Lists!$D$123+Matching_Engine!$W$63*Lookup_Lists!$D$124)/(Lookup_Lists!$D$121+Lookup_Lists!$D$122+Lookup_Lists!$D$123+Lookup_Lists!$D$124),0)</f>
      </c>
      <c r="Y63" s="47">
        <f>MIN(100,MAX(IFERROR(INDEX(Lookup_Lists!$B$202:$M$211,MATCH(Brand_Profile!$E$25,Lookup_Lists!$A$202:$A$211,0),MATCH(KOL_Database!$AK$32,Lookup_Lists!$B$201:$M$201,0)),40),IF(KOL_Database!$AK$32=Brand_Profile!$E$41,95,0)))</f>
      </c>
      <c r="Z63" s="47">
        <f>IFERROR(INDEX(Lookup_Lists!$B$215:$K$222,MATCH(Brand_Profile!$E$27,Lookup_Lists!$A$215:$A$222,0),MATCH(KOL_Database!$AJ$32,Lookup_Lists!$B$214:$K$214,0)),45)</f>
      </c>
      <c r="AA63" s="47">
        <f>ROUND((IF(Brand_Profile!$E$80=0,Lookup_Lists!$D$150,ROUND((IF(Brand_Profile!$E$75="",0,IF(ISNUMBER(SEARCH(Brand_Profile!$E$75,KOL_Database!$AL$32)),1,0))+IF(Brand_Profile!$E$76="",0,IF(ISNUMBER(SEARCH(Brand_Profile!$E$76,KOL_Database!$AL$32)),1,0))+IF(Brand_Profile!$E$77="",0,IF(ISNUMBER(SEARCH(Brand_Profile!$E$77,KOL_Database!$AL$32)),1,0))+IF(Brand_Profile!$E$78="",0,IF(ISNUMBER(SEARCH(Brand_Profile!$E$78,KOL_Database!$AL$32)),1,0))+IF(Brand_Profile!$E$79="",0,IF(ISNUMBER(SEARCH(Brand_Profile!$E$79,KOL_Database!$AL$32)),1,0)))/Brand_Profile!$E$80*100,0))+IF(Brand_Profile!$E$92=0,Lookup_Lists!$D$150,ROUND((IF(Brand_Profile!$E$87="",0,IF(ISNUMBER(SEARCH(Brand_Profile!$E$87,KOL_Database!$AL$32)),1,0))+IF(Brand_Profile!$E$88="",0,IF(ISNUMBER(SEARCH(Brand_Profile!$E$88,KOL_Database!$AL$32)),1,0))+IF(Brand_Profile!$E$89="",0,IF(ISNUMBER(SEARCH(Brand_Profile!$E$89,KOL_Database!$AL$32)),1,0))+IF(Brand_Profile!$E$90="",0,IF(ISNUMBER(SEARCH(Brand_Profile!$E$90,KOL_Database!$AL$32)),1,0))+IF(Brand_Profile!$E$91="",0,IF(ISNUMBER(SEARCH(Brand_Profile!$E$91,KOL_Database!$AL$32)),1,0)))/Brand_Profile!$E$92*100,0)))/2,0)</f>
      </c>
      <c r="AB63" s="47">
        <f>IFERROR(INDEX(Lookup_Lists!$B$226:$K$233,MATCH(Brand_Profile!$E$30,Lookup_Lists!$A$226:$A$233,0),MATCH(KOL_Database!$AJ$32,Lookup_Lists!$B$225:$K$225,0)),45)</f>
      </c>
      <c r="AC63" s="47">
        <f>ROUND((Matching_Engine!$Y$63*Lookup_Lists!$D$125+Matching_Engine!$Z$63*Lookup_Lists!$D$126+Matching_Engine!$AA$63*Lookup_Lists!$D$127+Matching_Engine!$AB$63*Lookup_Lists!$D$128)/(Lookup_Lists!$D$125+Lookup_Lists!$D$126+Lookup_Lists!$D$127+Lookup_Lists!$D$128),0)</f>
      </c>
      <c r="AD63" s="47">
        <f>IF(KOL_Database!$K$32="",0,MIN(100,ROUND(KOL_Database!$K$32/Lookup_Lists!$D$141*100,0)))</f>
      </c>
      <c r="AE63" s="47">
        <f>IF(KOL_Database!$R$32="",0,MIN(100,MAX(0,KOL_Database!$R$32)))</f>
      </c>
      <c r="AF63" s="47">
        <f>IF(KOL_Database!$P$32="",0,MIN(100,MAX(0,KOL_Database!$P$32)))</f>
      </c>
      <c r="AG63" s="47">
        <f>IF(KOL_Database!$Q$32="",0,MIN(100,MAX(0,KOL_Database!$Q$32)))</f>
      </c>
      <c r="AH63" s="47">
        <f>IF(OR(KOL_Database!$J$32="",KOL_Database!$J$32=0,KOL_Database!$L$32=""),0,MIN(100,ROUND(KOL_Database!$L$32/KOL_Database!$J$32/Lookup_Lists!$D$144*100,0)))</f>
      </c>
      <c r="AI63" s="47">
        <f>IF(KOL_Database!$N$32="",0,MIN(100,MAX(0,ROUND((KOL_Database!$N$32+2)/(Lookup_Lists!$D$145+2)*100,0))))</f>
      </c>
      <c r="AJ63" s="47">
        <f>ROUND((Matching_Engine!$AD$63*Lookup_Lists!$D$129+Matching_Engine!$AE$63*Lookup_Lists!$D$130+Matching_Engine!$AF$63*Lookup_Lists!$D$131+Matching_Engine!$AG$63*Lookup_Lists!$D$132+Matching_Engine!$AH$63*Lookup_Lists!$D$133+Matching_Engine!$AI$63*Lookup_Lists!$D$134)/(Lookup_Lists!$D$129+Lookup_Lists!$D$130+Lookup_Lists!$D$131+Lookup_Lists!$D$132+Lookup_Lists!$D$133+Lookup_Lists!$D$134),0)</f>
      </c>
      <c r="AK63" s="47">
        <f>IF(KOL_Database!$AT$32="",0,MIN(100,MAX(0,KOL_Database!$AT$32)))</f>
      </c>
      <c r="AL63" s="47">
        <f>IF(KOL_Database!$AU$32="",0,KOL_Database!$AU$32)</f>
      </c>
      <c r="AM63" s="44">
        <f>IF(KOL_Database!$AV$32="","None",KOL_Database!$AV$32)</f>
      </c>
      <c r="AN63" s="48">
        <f>IF(Matching_Engine!$AM$63="High",Lookup_Lists!$D$137,IF(Matching_Engine!$AM$63="Medium",Lookup_Lists!$D$138,IF(Matching_Engine!$AM$63="Low",Lookup_Lists!$D$139,Lookup_Lists!$D$140)))</f>
      </c>
      <c r="AO63" s="47">
        <f>ROUND(MIN(100,MAX(0,(Matching_Engine!$AK$63*Lookup_Lists!$D$135+(100-Matching_Engine!$AL$63)*Lookup_Lists!$D$136)/(Lookup_Lists!$D$135+Lookup_Lists!$D$136)*Matching_Engine!$AN$63)),0)</f>
      </c>
      <c r="AP63" s="49">
        <f>ROUND((Matching_Engine!$N$63*Lookup_Lists!$D$104+Matching_Engine!$S$63*Lookup_Lists!$D$105+Matching_Engine!$X$63*Lookup_Lists!$D$106+Matching_Engine!$AC$63*Lookup_Lists!$D$107+Matching_Engine!$AJ$63*Lookup_Lists!$D$108+Matching_Engine!$AO$63*Lookup_Lists!$D$109)/MAX(1,(Lookup_Lists!$D$104+Lookup_Lists!$D$105+Lookup_Lists!$D$106+Lookup_Lists!$D$107+Lookup_Lists!$D$108+Lookup_Lists!$D$109)),0)</f>
      </c>
      <c r="AQ63" s="44">
        <f>IF(Matching_Engine!$AP$63&gt;=Lookup_Lists!$D$152,"Excellent Match",IF(Matching_Engine!$AP$63&gt;=Lookup_Lists!$D$153,"Strong Match",IF(Matching_Engine!$AP$63&gt;=Lookup_Lists!$D$154,"Good Match",IF(Matching_Engine!$AP$63&gt;=Lookup_Lists!$D$155,"Moderate Match","Low Match"))))</f>
      </c>
      <c r="AR63" s="47">
        <f>KOL_Database!$BE$32</f>
      </c>
      <c r="AS63" s="44">
        <f>IF(Matching_Engine!$AR$63&gt;=Lookup_Lists!$D$159,"High",IF(Matching_Engine!$AR$63&gt;=Lookup_Lists!$D$160,"Medium","Limited Data"))</f>
      </c>
      <c r="AT63" s="47">
        <f>ROUND((Matching_Engine!$N$63+Matching_Engine!$X$63+Matching_Engine!$AC$63)/3,0)</f>
      </c>
      <c r="AU63" s="47">
        <f>ROUND(((100-Matching_Engine!$AL$63)*Lookup_Lists!$D$162+IF(KOL_Database!$BD$32="",Lookup_Lists!$D$150,KOL_Database!$BD$32)*Lookup_Lists!$D$163+Matching_Engine!$AI$63*Lookup_Lists!$D$164+Matching_Engine!$AD$63*Lookup_Lists!$D$165)/(Lookup_Lists!$D$162+Lookup_Lists!$D$163+Lookup_Lists!$D$164+Lookup_Lists!$D$165),0)</f>
      </c>
      <c r="AV63" s="44">
        <f>IF(Matching_Engine!$AW$63="","PASS","EXCLUDED")</f>
      </c>
      <c r="AW63" s="44">
        <f>IF(ISERROR(SEARCH(KOL_Database!$D$32,Brand_Profile!$E$32)),"Platform not in Preferred Platform",IF(AND(Brand_Profile!$E$36&gt;0,KOL_Database!$J$32&lt;Brand_Profile!$E$36),"Followers below Preferred Follower Range",IF(AND(Brand_Profile!$E$37&gt;0,KOL_Database!$J$32&gt;Brand_Profile!$E$37),"Followers above Preferred Follower Range",IF(AND(Brand_Profile!$E$38&gt;0,IF(KOL_Database!$K$32="",0,KOL_Database!$K$32)&lt;Brand_Profile!$E$38),"Engagement Rate below Minimum Engagement Rate",IF(ISERROR(SEARCH(KOL_Database!$G$32,Brand_Profile!$E$35)),"Tier not in Preferred Tier",IF(AND(Brand_Profile!$E$43&gt;0,Matching_Engine!$AE$63&lt;Brand_Profile!$E$43),"Audience Quality below Minimum Audience Quality",IF(AND(Brand_Profile!$E$44&gt;0,Matching_Engine!$AK$63&lt;Brand_Profile!$E$44),"Brand Safety below Minimum Brand Safety",IF(AND(Brand_Profile!$E$47="Yes",KOL_Database!$AD$32&lt;&gt;Brand_Profile!$E$19),"Audience Country does not match Target Country",IF(AND(Brand_Profile!$E$46="Yes",KOL_Database!$E$32&lt;&gt;Brand_Profile!$E$33),"Category is not the Preferred Category",IF(AND(Brand_Profile!$E$48&gt;0,Matching_Engine!$AL$63&gt;Brand_Profile!$E$48),"Competitor Saturation above Max Competitor Saturation",IF(AND(Brand_Profile!$E$50="Yes",KOL_Database!$AW$32="Yes"),"Already Selected",IF(AND(Brand_Profile!$E$51="Yes",KOL_Database!$AX$32="Yes"),"Already in Cart",IF(AND(Brand_Profile!$E$52="Yes",KOL_Database!$AY$32="Yes"),"Existing Partner",IF(AND(Brand_Profile!$E$53="Yes",KOL_Database!$AZ$32="Yes"),"Excluded Creator",IF(AND(Brand_Profile!$E$49&gt;0,Matching_Engine!$AP$63&lt;Brand_Profile!$E$49),"Brand Match below Minimum Brand Match","")))))))))))))))</f>
      </c>
      <c r="AX63" s="44">
        <f>IF(Matching_Engine!$AV$63="EXCLUDED","Excluded",IF(Matching_Engine!$AP$63&gt;=Lookup_Lists!$D$156,"Highly Recommended",IF(Matching_Engine!$AP$63&gt;=Lookup_Lists!$D$157,"Recommended",IF(Matching_Engine!$AP$63&gt;=Lookup_Lists!$D$158,"Consider","Low Priority"))))</f>
      </c>
      <c r="AY63" s="47">
        <f>IF(Matching_Engine!$AV$63="PASS",Matching_Engine!$AP$63,"")</f>
      </c>
      <c r="AZ63" s="44">
        <f>Matching_Engine!$A$63&amp;"|"&amp;Matching_Engine!$C$63</f>
      </c>
      <c r="BA63" s="44">
        <f>IFERROR(INDEX(Lookup_Lists!$B$51:$B$92,MATCH(Brand_Profile!$E$12,Lookup_Lists!$A$51:$A$92,0)),"")</f>
      </c>
      <c r="BB63" s="44">
        <f>IFERROR(INDEX(Lookup_Lists!$B$51:$B$92,MATCH(KOL_Database!$F$32,Lookup_Lists!$A$51:$A$92,0)),"")</f>
      </c>
      <c r="BC63" s="47">
        <f>IFERROR(INDEX(Lookup_Lists!$B$185:$O$198,MATCH(Matching_Engine!$BA$63,Lookup_Lists!$A$185:$A$198,0),MATCH(KOL_Database!$E$32,Lookup_Lists!$B$184:$O$184,0)),Lookup_Lists!$D$151)</f>
      </c>
      <c r="BD63" s="47">
        <f>IFERROR(INDEX(Lookup_Lists!$B$185:$O$198,MATCH(Brand_Profile!$E$33,Lookup_Lists!$A$185:$A$198,0),MATCH(KOL_Database!$E$32,Lookup_Lists!$B$184:$O$184,0)),Lookup_Lists!$D$151)</f>
      </c>
      <c r="BE63" s="44">
        <f>IFERROR(INDEX(Lookup_Lists!$B$51:$B$92,MATCH(Brand_Profile!$E$34,Lookup_Lists!$A$51:$A$92,0)),"")</f>
      </c>
      <c r="BF63" s="44">
        <f>KOL_Database!$AI$32&amp;", "&amp;KOL_Database!$AG$32&amp;", "&amp;KOL_Database!$F$32&amp;", "&amp;KOL_Database!$E$32</f>
      </c>
      <c r="BG63" s="44">
        <f>KOL_Database!$AI$32&amp;", "&amp;KOL_Database!$AG$32</f>
      </c>
    </row>
    <row r="64" spans="1:59" x14ac:dyDescent="0.25">
      <c r="A64" s="43" t="s">
        <v>76</v>
      </c>
      <c r="B64" s="44">
        <f>Brand_Profile!$E$9</f>
      </c>
      <c r="C64" s="44">
        <f>KOL_Database!$A$33</f>
      </c>
      <c r="D64" s="44">
        <f>KOL_Database!$B$33</f>
      </c>
      <c r="E64" s="44">
        <f>KOL_Database!$C$33</f>
      </c>
      <c r="F64" s="44">
        <f>KOL_Database!$D$33</f>
      </c>
      <c r="G64" s="44">
        <f>KOL_Database!$E$33</f>
      </c>
      <c r="H64" s="44">
        <f>KOL_Database!$G$33</f>
      </c>
      <c r="I64" s="45">
        <f>KOL_Database!$J$33</f>
      </c>
      <c r="J64" s="46">
        <f>KOL_Database!$K$33</f>
      </c>
      <c r="K64" s="47">
        <f>IFERROR(INDEX(Lookup_Lists!$B$170:$O$181,MATCH(Brand_Profile!$E$10,Lookup_Lists!$A$170:$A$181,0),MATCH(KOL_Database!$E$33,Lookup_Lists!$B$169:$O$169,0)),Lookup_Lists!$D$151)</f>
      </c>
      <c r="L64" s="47">
        <f>IF(KOL_Database!$F$33="",Matching_Engine!$BC$64,IF(Brand_Profile!$E$12=KOL_Database!$F$33,100,IF(Matching_Engine!$BA$64=KOL_Database!$E$33,80,IF(Matching_Engine!$BC$64&gt;=80,60,IF(Matching_Engine!$BC$64&gt;=60,40,Lookup_Lists!$D$151)))))</f>
      </c>
      <c r="M64" s="47">
        <f>ROUND((IF(Brand_Profile!$E$62=0,Lookup_Lists!$D$150,ROUND((IF(Brand_Profile!$E$57="",0,IF(ISNUMBER(SEARCH(Brand_Profile!$E$57,Matching_Engine!$BF$64)),1,0))+IF(Brand_Profile!$E$58="",0,IF(ISNUMBER(SEARCH(Brand_Profile!$E$58,Matching_Engine!$BF$64)),1,0))+IF(Brand_Profile!$E$59="",0,IF(ISNUMBER(SEARCH(Brand_Profile!$E$59,Matching_Engine!$BF$64)),1,0))+IF(Brand_Profile!$E$60="",0,IF(ISNUMBER(SEARCH(Brand_Profile!$E$60,Matching_Engine!$BF$64)),1,0))+IF(Brand_Profile!$E$61="",0,IF(ISNUMBER(SEARCH(Brand_Profile!$E$61,Matching_Engine!$BF$64)),1,0)))/Brand_Profile!$E$62*100,0))+IF(Brand_Profile!$E$74=0,Lookup_Lists!$D$150,ROUND((IF(Brand_Profile!$E$69="",0,IF(ISNUMBER(SEARCH(Brand_Profile!$E$69,Matching_Engine!$BF$64)),1,0))+IF(Brand_Profile!$E$70="",0,IF(ISNUMBER(SEARCH(Brand_Profile!$E$70,Matching_Engine!$BF$64)),1,0))+IF(Brand_Profile!$E$71="",0,IF(ISNUMBER(SEARCH(Brand_Profile!$E$71,Matching_Engine!$BF$64)),1,0))+IF(Brand_Profile!$E$72="",0,IF(ISNUMBER(SEARCH(Brand_Profile!$E$72,Matching_Engine!$BF$64)),1,0))+IF(Brand_Profile!$E$73="",0,IF(ISNUMBER(SEARCH(Brand_Profile!$E$73,Matching_Engine!$BF$64)),1,0)))/Brand_Profile!$E$74*100,0)))/2,0)</f>
      </c>
      <c r="N64" s="47">
        <f>ROUND((Matching_Engine!$K$64*Lookup_Lists!$D$110+Matching_Engine!$L$64*Lookup_Lists!$D$111+Matching_Engine!$M$64*Lookup_Lists!$D$112)/(Lookup_Lists!$D$110+Lookup_Lists!$D$111+Lookup_Lists!$D$112),0)</f>
      </c>
      <c r="O64" s="47">
        <f>IF(Brand_Profile!$E$16="",Lookup_Lists!$D$150,MIN(100,ROUND((IFERROR(INDEX(KOL_Database!$W$33:KOL_Database!$AA$33,1,MATCH(Brand_Profile!$E$16,Lookup_Lists!$F$6:$F$10,0)),0)+0.5*IFERROR(INDEX(KOL_Database!$W$33:KOL_Database!$AA$33,1,MATCH(Brand_Profile!$E$17,Lookup_Lists!$F$6:$F$10,0)),0))/Lookup_Lists!$D$142*100,0)))</f>
      </c>
      <c r="P64" s="47">
        <f>IF(OR(Brand_Profile!$E$18="",Brand_Profile!$E$18="Any"),100,IF(Brand_Profile!$E$18="Female",MIN(100,ROUND(KOL_Database!$AB$33/Lookup_Lists!$D$143*100,0)),IF(Brand_Profile!$E$18="Male",MIN(100,ROUND(KOL_Database!$AC$33/Lookup_Lists!$D$143*100,0)),MAX(0,ROUND(100-ABS(KOL_Database!$AB$33-50)*2,0)))))</f>
      </c>
      <c r="Q64" s="47">
        <f>ROUND((IF(Brand_Profile!$E$19="",100,IF(KOL_Database!$AD$33=Brand_Profile!$E$19,100,Lookup_Lists!$D$151))*Lookup_Lists!$D$118+IF(OR(Brand_Profile!$E$20="",Brand_Profile!$E$20="Nasional"),100,IF(KOL_Database!$AE$33="",Lookup_Lists!$D$150,IF(KOL_Database!$AE$33=Brand_Profile!$E$20,100,IF(KOL_Database!$AD$33=Brand_Profile!$E$19,40,Lookup_Lists!$D$151))))*Lookup_Lists!$D$119+IF(OR(Brand_Profile!$E$21="",Brand_Profile!$E$21="Nasional"),100,IF(KOL_Database!$AF$33="",Lookup_Lists!$D$150,IF(KOL_Database!$AF$33=Brand_Profile!$E$21,100,IF(KOL_Database!$AE$33=Brand_Profile!$E$20,60,Lookup_Lists!$D$151))))*Lookup_Lists!$D$120)/(Lookup_Lists!$D$118+Lookup_Lists!$D$119+Lookup_Lists!$D$120),0)</f>
      </c>
      <c r="R64" s="47">
        <f>IF(Brand_Profile!$E$68=0,Lookup_Lists!$D$150,ROUND((IF(Brand_Profile!$E$63="",0,IF(ISNUMBER(SEARCH(Brand_Profile!$E$63,KOL_Database!$AG$33)),1,0))+IF(Brand_Profile!$E$64="",0,IF(ISNUMBER(SEARCH(Brand_Profile!$E$64,KOL_Database!$AG$33)),1,0))+IF(Brand_Profile!$E$65="",0,IF(ISNUMBER(SEARCH(Brand_Profile!$E$65,KOL_Database!$AG$33)),1,0))+IF(Brand_Profile!$E$66="",0,IF(ISNUMBER(SEARCH(Brand_Profile!$E$66,KOL_Database!$AG$33)),1,0))+IF(Brand_Profile!$E$67="",0,IF(ISNUMBER(SEARCH(Brand_Profile!$E$67,KOL_Database!$AG$33)),1,0)))/Brand_Profile!$E$68*100,0))</f>
      </c>
      <c r="S64" s="47">
        <f>ROUND((Matching_Engine!$O$64*Brand_Profile!$E$96+Matching_Engine!$P$64*Brand_Profile!$E$97+Matching_Engine!$Q$64*Brand_Profile!$E$98+Matching_Engine!$R$64*Brand_Profile!$E$99)/MAX(1,Brand_Profile!$E$96+Brand_Profile!$E$97+Brand_Profile!$E$98+Brand_Profile!$E$99),0)</f>
      </c>
      <c r="T64" s="47">
        <f>IF(Brand_Profile!$E$33="",Lookup_Lists!$D$150,Matching_Engine!$BD$64)</f>
      </c>
      <c r="U64" s="47">
        <f>IF(Brand_Profile!$E$34="",Lookup_Lists!$D$150,IF(Brand_Profile!$E$34=KOL_Database!$F$33,100,IF(Matching_Engine!$BE$64=KOL_Database!$E$33,75,IF(Matching_Engine!$BD$64&gt;=80,Lookup_Lists!$D$150,IF(Matching_Engine!$BD$64&gt;=60,35,Lookup_Lists!$D$151)))))</f>
      </c>
      <c r="V64" s="47">
        <f>IF(Brand_Profile!$E$86=0,Lookup_Lists!$D$150,ROUND((IF(Brand_Profile!$E$81="",0,IF(ISNUMBER(SEARCH(Brand_Profile!$E$81,Matching_Engine!$BG$64)),1,0))+IF(Brand_Profile!$E$82="",0,IF(ISNUMBER(SEARCH(Brand_Profile!$E$82,Matching_Engine!$BG$64)),1,0))+IF(Brand_Profile!$E$83="",0,IF(ISNUMBER(SEARCH(Brand_Profile!$E$83,Matching_Engine!$BG$64)),1,0))+IF(Brand_Profile!$E$84="",0,IF(ISNUMBER(SEARCH(Brand_Profile!$E$84,Matching_Engine!$BG$64)),1,0))+IF(Brand_Profile!$E$85="",0,IF(ISNUMBER(SEARCH(Brand_Profile!$E$85,Matching_Engine!$BG$64)),1,0)))/Brand_Profile!$E$86*100,0))</f>
      </c>
      <c r="W64" s="47">
        <f>IF(Brand_Profile!$E$39="",Lookup_Lists!$D$150,IFERROR(INDEX(Lookup_Lists!$B$237:$K$246,MATCH(Brand_Profile!$E$39,Lookup_Lists!$A$237:$A$246,0),MATCH(KOL_Database!$AJ$33,Lookup_Lists!$B$236:$K$236,0)),45))</f>
      </c>
      <c r="X64" s="47">
        <f>ROUND((Matching_Engine!$T$64*Lookup_Lists!$D$121+Matching_Engine!$U$64*Lookup_Lists!$D$122+Matching_Engine!$V$64*Lookup_Lists!$D$123+Matching_Engine!$W$64*Lookup_Lists!$D$124)/(Lookup_Lists!$D$121+Lookup_Lists!$D$122+Lookup_Lists!$D$123+Lookup_Lists!$D$124),0)</f>
      </c>
      <c r="Y64" s="47">
        <f>MIN(100,MAX(IFERROR(INDEX(Lookup_Lists!$B$202:$M$211,MATCH(Brand_Profile!$E$25,Lookup_Lists!$A$202:$A$211,0),MATCH(KOL_Database!$AK$33,Lookup_Lists!$B$201:$M$201,0)),40),IF(KOL_Database!$AK$33=Brand_Profile!$E$41,95,0)))</f>
      </c>
      <c r="Z64" s="47">
        <f>IFERROR(INDEX(Lookup_Lists!$B$215:$K$222,MATCH(Brand_Profile!$E$27,Lookup_Lists!$A$215:$A$222,0),MATCH(KOL_Database!$AJ$33,Lookup_Lists!$B$214:$K$214,0)),45)</f>
      </c>
      <c r="AA64" s="47">
        <f>ROUND((IF(Brand_Profile!$E$80=0,Lookup_Lists!$D$150,ROUND((IF(Brand_Profile!$E$75="",0,IF(ISNUMBER(SEARCH(Brand_Profile!$E$75,KOL_Database!$AL$33)),1,0))+IF(Brand_Profile!$E$76="",0,IF(ISNUMBER(SEARCH(Brand_Profile!$E$76,KOL_Database!$AL$33)),1,0))+IF(Brand_Profile!$E$77="",0,IF(ISNUMBER(SEARCH(Brand_Profile!$E$77,KOL_Database!$AL$33)),1,0))+IF(Brand_Profile!$E$78="",0,IF(ISNUMBER(SEARCH(Brand_Profile!$E$78,KOL_Database!$AL$33)),1,0))+IF(Brand_Profile!$E$79="",0,IF(ISNUMBER(SEARCH(Brand_Profile!$E$79,KOL_Database!$AL$33)),1,0)))/Brand_Profile!$E$80*100,0))+IF(Brand_Profile!$E$92=0,Lookup_Lists!$D$150,ROUND((IF(Brand_Profile!$E$87="",0,IF(ISNUMBER(SEARCH(Brand_Profile!$E$87,KOL_Database!$AL$33)),1,0))+IF(Brand_Profile!$E$88="",0,IF(ISNUMBER(SEARCH(Brand_Profile!$E$88,KOL_Database!$AL$33)),1,0))+IF(Brand_Profile!$E$89="",0,IF(ISNUMBER(SEARCH(Brand_Profile!$E$89,KOL_Database!$AL$33)),1,0))+IF(Brand_Profile!$E$90="",0,IF(ISNUMBER(SEARCH(Brand_Profile!$E$90,KOL_Database!$AL$33)),1,0))+IF(Brand_Profile!$E$91="",0,IF(ISNUMBER(SEARCH(Brand_Profile!$E$91,KOL_Database!$AL$33)),1,0)))/Brand_Profile!$E$92*100,0)))/2,0)</f>
      </c>
      <c r="AB64" s="47">
        <f>IFERROR(INDEX(Lookup_Lists!$B$226:$K$233,MATCH(Brand_Profile!$E$30,Lookup_Lists!$A$226:$A$233,0),MATCH(KOL_Database!$AJ$33,Lookup_Lists!$B$225:$K$225,0)),45)</f>
      </c>
      <c r="AC64" s="47">
        <f>ROUND((Matching_Engine!$Y$64*Lookup_Lists!$D$125+Matching_Engine!$Z$64*Lookup_Lists!$D$126+Matching_Engine!$AA$64*Lookup_Lists!$D$127+Matching_Engine!$AB$64*Lookup_Lists!$D$128)/(Lookup_Lists!$D$125+Lookup_Lists!$D$126+Lookup_Lists!$D$127+Lookup_Lists!$D$128),0)</f>
      </c>
      <c r="AD64" s="47">
        <f>IF(KOL_Database!$K$33="",0,MIN(100,ROUND(KOL_Database!$K$33/Lookup_Lists!$D$141*100,0)))</f>
      </c>
      <c r="AE64" s="47">
        <f>IF(KOL_Database!$R$33="",0,MIN(100,MAX(0,KOL_Database!$R$33)))</f>
      </c>
      <c r="AF64" s="47">
        <f>IF(KOL_Database!$P$33="",0,MIN(100,MAX(0,KOL_Database!$P$33)))</f>
      </c>
      <c r="AG64" s="47">
        <f>IF(KOL_Database!$Q$33="",0,MIN(100,MAX(0,KOL_Database!$Q$33)))</f>
      </c>
      <c r="AH64" s="47">
        <f>IF(OR(KOL_Database!$J$33="",KOL_Database!$J$33=0,KOL_Database!$L$33=""),0,MIN(100,ROUND(KOL_Database!$L$33/KOL_Database!$J$33/Lookup_Lists!$D$144*100,0)))</f>
      </c>
      <c r="AI64" s="47">
        <f>IF(KOL_Database!$N$33="",0,MIN(100,MAX(0,ROUND((KOL_Database!$N$33+2)/(Lookup_Lists!$D$145+2)*100,0))))</f>
      </c>
      <c r="AJ64" s="47">
        <f>ROUND((Matching_Engine!$AD$64*Lookup_Lists!$D$129+Matching_Engine!$AE$64*Lookup_Lists!$D$130+Matching_Engine!$AF$64*Lookup_Lists!$D$131+Matching_Engine!$AG$64*Lookup_Lists!$D$132+Matching_Engine!$AH$64*Lookup_Lists!$D$133+Matching_Engine!$AI$64*Lookup_Lists!$D$134)/(Lookup_Lists!$D$129+Lookup_Lists!$D$130+Lookup_Lists!$D$131+Lookup_Lists!$D$132+Lookup_Lists!$D$133+Lookup_Lists!$D$134),0)</f>
      </c>
      <c r="AK64" s="47">
        <f>IF(KOL_Database!$AT$33="",0,MIN(100,MAX(0,KOL_Database!$AT$33)))</f>
      </c>
      <c r="AL64" s="47">
        <f>IF(KOL_Database!$AU$33="",0,KOL_Database!$AU$33)</f>
      </c>
      <c r="AM64" s="44">
        <f>IF(KOL_Database!$AV$33="","None",KOL_Database!$AV$33)</f>
      </c>
      <c r="AN64" s="48">
        <f>IF(Matching_Engine!$AM$64="High",Lookup_Lists!$D$137,IF(Matching_Engine!$AM$64="Medium",Lookup_Lists!$D$138,IF(Matching_Engine!$AM$64="Low",Lookup_Lists!$D$139,Lookup_Lists!$D$140)))</f>
      </c>
      <c r="AO64" s="47">
        <f>ROUND(MIN(100,MAX(0,(Matching_Engine!$AK$64*Lookup_Lists!$D$135+(100-Matching_Engine!$AL$64)*Lookup_Lists!$D$136)/(Lookup_Lists!$D$135+Lookup_Lists!$D$136)*Matching_Engine!$AN$64)),0)</f>
      </c>
      <c r="AP64" s="49">
        <f>ROUND((Matching_Engine!$N$64*Lookup_Lists!$D$104+Matching_Engine!$S$64*Lookup_Lists!$D$105+Matching_Engine!$X$64*Lookup_Lists!$D$106+Matching_Engine!$AC$64*Lookup_Lists!$D$107+Matching_Engine!$AJ$64*Lookup_Lists!$D$108+Matching_Engine!$AO$64*Lookup_Lists!$D$109)/MAX(1,(Lookup_Lists!$D$104+Lookup_Lists!$D$105+Lookup_Lists!$D$106+Lookup_Lists!$D$107+Lookup_Lists!$D$108+Lookup_Lists!$D$109)),0)</f>
      </c>
      <c r="AQ64" s="44">
        <f>IF(Matching_Engine!$AP$64&gt;=Lookup_Lists!$D$152,"Excellent Match",IF(Matching_Engine!$AP$64&gt;=Lookup_Lists!$D$153,"Strong Match",IF(Matching_Engine!$AP$64&gt;=Lookup_Lists!$D$154,"Good Match",IF(Matching_Engine!$AP$64&gt;=Lookup_Lists!$D$155,"Moderate Match","Low Match"))))</f>
      </c>
      <c r="AR64" s="47">
        <f>KOL_Database!$BE$33</f>
      </c>
      <c r="AS64" s="44">
        <f>IF(Matching_Engine!$AR$64&gt;=Lookup_Lists!$D$159,"High",IF(Matching_Engine!$AR$64&gt;=Lookup_Lists!$D$160,"Medium","Limited Data"))</f>
      </c>
      <c r="AT64" s="47">
        <f>ROUND((Matching_Engine!$N$64+Matching_Engine!$X$64+Matching_Engine!$AC$64)/3,0)</f>
      </c>
      <c r="AU64" s="47">
        <f>ROUND(((100-Matching_Engine!$AL$64)*Lookup_Lists!$D$162+IF(KOL_Database!$BD$33="",Lookup_Lists!$D$150,KOL_Database!$BD$33)*Lookup_Lists!$D$163+Matching_Engine!$AI$64*Lookup_Lists!$D$164+Matching_Engine!$AD$64*Lookup_Lists!$D$165)/(Lookup_Lists!$D$162+Lookup_Lists!$D$163+Lookup_Lists!$D$164+Lookup_Lists!$D$165),0)</f>
      </c>
      <c r="AV64" s="44">
        <f>IF(Matching_Engine!$AW$64="","PASS","EXCLUDED")</f>
      </c>
      <c r="AW64" s="44">
        <f>IF(ISERROR(SEARCH(KOL_Database!$D$33,Brand_Profile!$E$32)),"Platform not in Preferred Platform",IF(AND(Brand_Profile!$E$36&gt;0,KOL_Database!$J$33&lt;Brand_Profile!$E$36),"Followers below Preferred Follower Range",IF(AND(Brand_Profile!$E$37&gt;0,KOL_Database!$J$33&gt;Brand_Profile!$E$37),"Followers above Preferred Follower Range",IF(AND(Brand_Profile!$E$38&gt;0,IF(KOL_Database!$K$33="",0,KOL_Database!$K$33)&lt;Brand_Profile!$E$38),"Engagement Rate below Minimum Engagement Rate",IF(ISERROR(SEARCH(KOL_Database!$G$33,Brand_Profile!$E$35)),"Tier not in Preferred Tier",IF(AND(Brand_Profile!$E$43&gt;0,Matching_Engine!$AE$64&lt;Brand_Profile!$E$43),"Audience Quality below Minimum Audience Quality",IF(AND(Brand_Profile!$E$44&gt;0,Matching_Engine!$AK$64&lt;Brand_Profile!$E$44),"Brand Safety below Minimum Brand Safety",IF(AND(Brand_Profile!$E$47="Yes",KOL_Database!$AD$33&lt;&gt;Brand_Profile!$E$19),"Audience Country does not match Target Country",IF(AND(Brand_Profile!$E$46="Yes",KOL_Database!$E$33&lt;&gt;Brand_Profile!$E$33),"Category is not the Preferred Category",IF(AND(Brand_Profile!$E$48&gt;0,Matching_Engine!$AL$64&gt;Brand_Profile!$E$48),"Competitor Saturation above Max Competitor Saturation",IF(AND(Brand_Profile!$E$50="Yes",KOL_Database!$AW$33="Yes"),"Already Selected",IF(AND(Brand_Profile!$E$51="Yes",KOL_Database!$AX$33="Yes"),"Already in Cart",IF(AND(Brand_Profile!$E$52="Yes",KOL_Database!$AY$33="Yes"),"Existing Partner",IF(AND(Brand_Profile!$E$53="Yes",KOL_Database!$AZ$33="Yes"),"Excluded Creator",IF(AND(Brand_Profile!$E$49&gt;0,Matching_Engine!$AP$64&lt;Brand_Profile!$E$49),"Brand Match below Minimum Brand Match","")))))))))))))))</f>
      </c>
      <c r="AX64" s="44">
        <f>IF(Matching_Engine!$AV$64="EXCLUDED","Excluded",IF(Matching_Engine!$AP$64&gt;=Lookup_Lists!$D$156,"Highly Recommended",IF(Matching_Engine!$AP$64&gt;=Lookup_Lists!$D$157,"Recommended",IF(Matching_Engine!$AP$64&gt;=Lookup_Lists!$D$158,"Consider","Low Priority"))))</f>
      </c>
      <c r="AY64" s="47">
        <f>IF(Matching_Engine!$AV$64="PASS",Matching_Engine!$AP$64,"")</f>
      </c>
      <c r="AZ64" s="44">
        <f>Matching_Engine!$A$64&amp;"|"&amp;Matching_Engine!$C$64</f>
      </c>
      <c r="BA64" s="44">
        <f>IFERROR(INDEX(Lookup_Lists!$B$51:$B$92,MATCH(Brand_Profile!$E$12,Lookup_Lists!$A$51:$A$92,0)),"")</f>
      </c>
      <c r="BB64" s="44">
        <f>IFERROR(INDEX(Lookup_Lists!$B$51:$B$92,MATCH(KOL_Database!$F$33,Lookup_Lists!$A$51:$A$92,0)),"")</f>
      </c>
      <c r="BC64" s="47">
        <f>IFERROR(INDEX(Lookup_Lists!$B$185:$O$198,MATCH(Matching_Engine!$BA$64,Lookup_Lists!$A$185:$A$198,0),MATCH(KOL_Database!$E$33,Lookup_Lists!$B$184:$O$184,0)),Lookup_Lists!$D$151)</f>
      </c>
      <c r="BD64" s="47">
        <f>IFERROR(INDEX(Lookup_Lists!$B$185:$O$198,MATCH(Brand_Profile!$E$33,Lookup_Lists!$A$185:$A$198,0),MATCH(KOL_Database!$E$33,Lookup_Lists!$B$184:$O$184,0)),Lookup_Lists!$D$151)</f>
      </c>
      <c r="BE64" s="44">
        <f>IFERROR(INDEX(Lookup_Lists!$B$51:$B$92,MATCH(Brand_Profile!$E$34,Lookup_Lists!$A$51:$A$92,0)),"")</f>
      </c>
      <c r="BF64" s="44">
        <f>KOL_Database!$AI$33&amp;", "&amp;KOL_Database!$AG$33&amp;", "&amp;KOL_Database!$F$33&amp;", "&amp;KOL_Database!$E$33</f>
      </c>
      <c r="BG64" s="44">
        <f>KOL_Database!$AI$33&amp;", "&amp;KOL_Database!$AG$33</f>
      </c>
    </row>
    <row r="65" spans="1:59" x14ac:dyDescent="0.25">
      <c r="A65" s="43" t="s">
        <v>76</v>
      </c>
      <c r="B65" s="44">
        <f>Brand_Profile!$E$9</f>
      </c>
      <c r="C65" s="44">
        <f>KOL_Database!$A$34</f>
      </c>
      <c r="D65" s="44">
        <f>KOL_Database!$B$34</f>
      </c>
      <c r="E65" s="44">
        <f>KOL_Database!$C$34</f>
      </c>
      <c r="F65" s="44">
        <f>KOL_Database!$D$34</f>
      </c>
      <c r="G65" s="44">
        <f>KOL_Database!$E$34</f>
      </c>
      <c r="H65" s="44">
        <f>KOL_Database!$G$34</f>
      </c>
      <c r="I65" s="45">
        <f>KOL_Database!$J$34</f>
      </c>
      <c r="J65" s="46">
        <f>KOL_Database!$K$34</f>
      </c>
      <c r="K65" s="47">
        <f>IFERROR(INDEX(Lookup_Lists!$B$170:$O$181,MATCH(Brand_Profile!$E$10,Lookup_Lists!$A$170:$A$181,0),MATCH(KOL_Database!$E$34,Lookup_Lists!$B$169:$O$169,0)),Lookup_Lists!$D$151)</f>
      </c>
      <c r="L65" s="47">
        <f>IF(KOL_Database!$F$34="",Matching_Engine!$BC$65,IF(Brand_Profile!$E$12=KOL_Database!$F$34,100,IF(Matching_Engine!$BA$65=KOL_Database!$E$34,80,IF(Matching_Engine!$BC$65&gt;=80,60,IF(Matching_Engine!$BC$65&gt;=60,40,Lookup_Lists!$D$151)))))</f>
      </c>
      <c r="M65" s="47">
        <f>ROUND((IF(Brand_Profile!$E$62=0,Lookup_Lists!$D$150,ROUND((IF(Brand_Profile!$E$57="",0,IF(ISNUMBER(SEARCH(Brand_Profile!$E$57,Matching_Engine!$BF$65)),1,0))+IF(Brand_Profile!$E$58="",0,IF(ISNUMBER(SEARCH(Brand_Profile!$E$58,Matching_Engine!$BF$65)),1,0))+IF(Brand_Profile!$E$59="",0,IF(ISNUMBER(SEARCH(Brand_Profile!$E$59,Matching_Engine!$BF$65)),1,0))+IF(Brand_Profile!$E$60="",0,IF(ISNUMBER(SEARCH(Brand_Profile!$E$60,Matching_Engine!$BF$65)),1,0))+IF(Brand_Profile!$E$61="",0,IF(ISNUMBER(SEARCH(Brand_Profile!$E$61,Matching_Engine!$BF$65)),1,0)))/Brand_Profile!$E$62*100,0))+IF(Brand_Profile!$E$74=0,Lookup_Lists!$D$150,ROUND((IF(Brand_Profile!$E$69="",0,IF(ISNUMBER(SEARCH(Brand_Profile!$E$69,Matching_Engine!$BF$65)),1,0))+IF(Brand_Profile!$E$70="",0,IF(ISNUMBER(SEARCH(Brand_Profile!$E$70,Matching_Engine!$BF$65)),1,0))+IF(Brand_Profile!$E$71="",0,IF(ISNUMBER(SEARCH(Brand_Profile!$E$71,Matching_Engine!$BF$65)),1,0))+IF(Brand_Profile!$E$72="",0,IF(ISNUMBER(SEARCH(Brand_Profile!$E$72,Matching_Engine!$BF$65)),1,0))+IF(Brand_Profile!$E$73="",0,IF(ISNUMBER(SEARCH(Brand_Profile!$E$73,Matching_Engine!$BF$65)),1,0)))/Brand_Profile!$E$74*100,0)))/2,0)</f>
      </c>
      <c r="N65" s="47">
        <f>ROUND((Matching_Engine!$K$65*Lookup_Lists!$D$110+Matching_Engine!$L$65*Lookup_Lists!$D$111+Matching_Engine!$M$65*Lookup_Lists!$D$112)/(Lookup_Lists!$D$110+Lookup_Lists!$D$111+Lookup_Lists!$D$112),0)</f>
      </c>
      <c r="O65" s="47">
        <f>IF(Brand_Profile!$E$16="",Lookup_Lists!$D$150,MIN(100,ROUND((IFERROR(INDEX(KOL_Database!$W$34:KOL_Database!$AA$34,1,MATCH(Brand_Profile!$E$16,Lookup_Lists!$F$6:$F$10,0)),0)+0.5*IFERROR(INDEX(KOL_Database!$W$34:KOL_Database!$AA$34,1,MATCH(Brand_Profile!$E$17,Lookup_Lists!$F$6:$F$10,0)),0))/Lookup_Lists!$D$142*100,0)))</f>
      </c>
      <c r="P65" s="47">
        <f>IF(OR(Brand_Profile!$E$18="",Brand_Profile!$E$18="Any"),100,IF(Brand_Profile!$E$18="Female",MIN(100,ROUND(KOL_Database!$AB$34/Lookup_Lists!$D$143*100,0)),IF(Brand_Profile!$E$18="Male",MIN(100,ROUND(KOL_Database!$AC$34/Lookup_Lists!$D$143*100,0)),MAX(0,ROUND(100-ABS(KOL_Database!$AB$34-50)*2,0)))))</f>
      </c>
      <c r="Q65" s="47">
        <f>ROUND((IF(Brand_Profile!$E$19="",100,IF(KOL_Database!$AD$34=Brand_Profile!$E$19,100,Lookup_Lists!$D$151))*Lookup_Lists!$D$118+IF(OR(Brand_Profile!$E$20="",Brand_Profile!$E$20="Nasional"),100,IF(KOL_Database!$AE$34="",Lookup_Lists!$D$150,IF(KOL_Database!$AE$34=Brand_Profile!$E$20,100,IF(KOL_Database!$AD$34=Brand_Profile!$E$19,40,Lookup_Lists!$D$151))))*Lookup_Lists!$D$119+IF(OR(Brand_Profile!$E$21="",Brand_Profile!$E$21="Nasional"),100,IF(KOL_Database!$AF$34="",Lookup_Lists!$D$150,IF(KOL_Database!$AF$34=Brand_Profile!$E$21,100,IF(KOL_Database!$AE$34=Brand_Profile!$E$20,60,Lookup_Lists!$D$151))))*Lookup_Lists!$D$120)/(Lookup_Lists!$D$118+Lookup_Lists!$D$119+Lookup_Lists!$D$120),0)</f>
      </c>
      <c r="R65" s="47">
        <f>IF(Brand_Profile!$E$68=0,Lookup_Lists!$D$150,ROUND((IF(Brand_Profile!$E$63="",0,IF(ISNUMBER(SEARCH(Brand_Profile!$E$63,KOL_Database!$AG$34)),1,0))+IF(Brand_Profile!$E$64="",0,IF(ISNUMBER(SEARCH(Brand_Profile!$E$64,KOL_Database!$AG$34)),1,0))+IF(Brand_Profile!$E$65="",0,IF(ISNUMBER(SEARCH(Brand_Profile!$E$65,KOL_Database!$AG$34)),1,0))+IF(Brand_Profile!$E$66="",0,IF(ISNUMBER(SEARCH(Brand_Profile!$E$66,KOL_Database!$AG$34)),1,0))+IF(Brand_Profile!$E$67="",0,IF(ISNUMBER(SEARCH(Brand_Profile!$E$67,KOL_Database!$AG$34)),1,0)))/Brand_Profile!$E$68*100,0))</f>
      </c>
      <c r="S65" s="47">
        <f>ROUND((Matching_Engine!$O$65*Brand_Profile!$E$96+Matching_Engine!$P$65*Brand_Profile!$E$97+Matching_Engine!$Q$65*Brand_Profile!$E$98+Matching_Engine!$R$65*Brand_Profile!$E$99)/MAX(1,Brand_Profile!$E$96+Brand_Profile!$E$97+Brand_Profile!$E$98+Brand_Profile!$E$99),0)</f>
      </c>
      <c r="T65" s="47">
        <f>IF(Brand_Profile!$E$33="",Lookup_Lists!$D$150,Matching_Engine!$BD$65)</f>
      </c>
      <c r="U65" s="47">
        <f>IF(Brand_Profile!$E$34="",Lookup_Lists!$D$150,IF(Brand_Profile!$E$34=KOL_Database!$F$34,100,IF(Matching_Engine!$BE$65=KOL_Database!$E$34,75,IF(Matching_Engine!$BD$65&gt;=80,Lookup_Lists!$D$150,IF(Matching_Engine!$BD$65&gt;=60,35,Lookup_Lists!$D$151)))))</f>
      </c>
      <c r="V65" s="47">
        <f>IF(Brand_Profile!$E$86=0,Lookup_Lists!$D$150,ROUND((IF(Brand_Profile!$E$81="",0,IF(ISNUMBER(SEARCH(Brand_Profile!$E$81,Matching_Engine!$BG$65)),1,0))+IF(Brand_Profile!$E$82="",0,IF(ISNUMBER(SEARCH(Brand_Profile!$E$82,Matching_Engine!$BG$65)),1,0))+IF(Brand_Profile!$E$83="",0,IF(ISNUMBER(SEARCH(Brand_Profile!$E$83,Matching_Engine!$BG$65)),1,0))+IF(Brand_Profile!$E$84="",0,IF(ISNUMBER(SEARCH(Brand_Profile!$E$84,Matching_Engine!$BG$65)),1,0))+IF(Brand_Profile!$E$85="",0,IF(ISNUMBER(SEARCH(Brand_Profile!$E$85,Matching_Engine!$BG$65)),1,0)))/Brand_Profile!$E$86*100,0))</f>
      </c>
      <c r="W65" s="47">
        <f>IF(Brand_Profile!$E$39="",Lookup_Lists!$D$150,IFERROR(INDEX(Lookup_Lists!$B$237:$K$246,MATCH(Brand_Profile!$E$39,Lookup_Lists!$A$237:$A$246,0),MATCH(KOL_Database!$AJ$34,Lookup_Lists!$B$236:$K$236,0)),45))</f>
      </c>
      <c r="X65" s="47">
        <f>ROUND((Matching_Engine!$T$65*Lookup_Lists!$D$121+Matching_Engine!$U$65*Lookup_Lists!$D$122+Matching_Engine!$V$65*Lookup_Lists!$D$123+Matching_Engine!$W$65*Lookup_Lists!$D$124)/(Lookup_Lists!$D$121+Lookup_Lists!$D$122+Lookup_Lists!$D$123+Lookup_Lists!$D$124),0)</f>
      </c>
      <c r="Y65" s="47">
        <f>MIN(100,MAX(IFERROR(INDEX(Lookup_Lists!$B$202:$M$211,MATCH(Brand_Profile!$E$25,Lookup_Lists!$A$202:$A$211,0),MATCH(KOL_Database!$AK$34,Lookup_Lists!$B$201:$M$201,0)),40),IF(KOL_Database!$AK$34=Brand_Profile!$E$41,95,0)))</f>
      </c>
      <c r="Z65" s="47">
        <f>IFERROR(INDEX(Lookup_Lists!$B$215:$K$222,MATCH(Brand_Profile!$E$27,Lookup_Lists!$A$215:$A$222,0),MATCH(KOL_Database!$AJ$34,Lookup_Lists!$B$214:$K$214,0)),45)</f>
      </c>
      <c r="AA65" s="47">
        <f>ROUND((IF(Brand_Profile!$E$80=0,Lookup_Lists!$D$150,ROUND((IF(Brand_Profile!$E$75="",0,IF(ISNUMBER(SEARCH(Brand_Profile!$E$75,KOL_Database!$AL$34)),1,0))+IF(Brand_Profile!$E$76="",0,IF(ISNUMBER(SEARCH(Brand_Profile!$E$76,KOL_Database!$AL$34)),1,0))+IF(Brand_Profile!$E$77="",0,IF(ISNUMBER(SEARCH(Brand_Profile!$E$77,KOL_Database!$AL$34)),1,0))+IF(Brand_Profile!$E$78="",0,IF(ISNUMBER(SEARCH(Brand_Profile!$E$78,KOL_Database!$AL$34)),1,0))+IF(Brand_Profile!$E$79="",0,IF(ISNUMBER(SEARCH(Brand_Profile!$E$79,KOL_Database!$AL$34)),1,0)))/Brand_Profile!$E$80*100,0))+IF(Brand_Profile!$E$92=0,Lookup_Lists!$D$150,ROUND((IF(Brand_Profile!$E$87="",0,IF(ISNUMBER(SEARCH(Brand_Profile!$E$87,KOL_Database!$AL$34)),1,0))+IF(Brand_Profile!$E$88="",0,IF(ISNUMBER(SEARCH(Brand_Profile!$E$88,KOL_Database!$AL$34)),1,0))+IF(Brand_Profile!$E$89="",0,IF(ISNUMBER(SEARCH(Brand_Profile!$E$89,KOL_Database!$AL$34)),1,0))+IF(Brand_Profile!$E$90="",0,IF(ISNUMBER(SEARCH(Brand_Profile!$E$90,KOL_Database!$AL$34)),1,0))+IF(Brand_Profile!$E$91="",0,IF(ISNUMBER(SEARCH(Brand_Profile!$E$91,KOL_Database!$AL$34)),1,0)))/Brand_Profile!$E$92*100,0)))/2,0)</f>
      </c>
      <c r="AB65" s="47">
        <f>IFERROR(INDEX(Lookup_Lists!$B$226:$K$233,MATCH(Brand_Profile!$E$30,Lookup_Lists!$A$226:$A$233,0),MATCH(KOL_Database!$AJ$34,Lookup_Lists!$B$225:$K$225,0)),45)</f>
      </c>
      <c r="AC65" s="47">
        <f>ROUND((Matching_Engine!$Y$65*Lookup_Lists!$D$125+Matching_Engine!$Z$65*Lookup_Lists!$D$126+Matching_Engine!$AA$65*Lookup_Lists!$D$127+Matching_Engine!$AB$65*Lookup_Lists!$D$128)/(Lookup_Lists!$D$125+Lookup_Lists!$D$126+Lookup_Lists!$D$127+Lookup_Lists!$D$128),0)</f>
      </c>
      <c r="AD65" s="47">
        <f>IF(KOL_Database!$K$34="",0,MIN(100,ROUND(KOL_Database!$K$34/Lookup_Lists!$D$141*100,0)))</f>
      </c>
      <c r="AE65" s="47">
        <f>IF(KOL_Database!$R$34="",0,MIN(100,MAX(0,KOL_Database!$R$34)))</f>
      </c>
      <c r="AF65" s="47">
        <f>IF(KOL_Database!$P$34="",0,MIN(100,MAX(0,KOL_Database!$P$34)))</f>
      </c>
      <c r="AG65" s="47">
        <f>IF(KOL_Database!$Q$34="",0,MIN(100,MAX(0,KOL_Database!$Q$34)))</f>
      </c>
      <c r="AH65" s="47">
        <f>IF(OR(KOL_Database!$J$34="",KOL_Database!$J$34=0,KOL_Database!$L$34=""),0,MIN(100,ROUND(KOL_Database!$L$34/KOL_Database!$J$34/Lookup_Lists!$D$144*100,0)))</f>
      </c>
      <c r="AI65" s="47">
        <f>IF(KOL_Database!$N$34="",0,MIN(100,MAX(0,ROUND((KOL_Database!$N$34+2)/(Lookup_Lists!$D$145+2)*100,0))))</f>
      </c>
      <c r="AJ65" s="47">
        <f>ROUND((Matching_Engine!$AD$65*Lookup_Lists!$D$129+Matching_Engine!$AE$65*Lookup_Lists!$D$130+Matching_Engine!$AF$65*Lookup_Lists!$D$131+Matching_Engine!$AG$65*Lookup_Lists!$D$132+Matching_Engine!$AH$65*Lookup_Lists!$D$133+Matching_Engine!$AI$65*Lookup_Lists!$D$134)/(Lookup_Lists!$D$129+Lookup_Lists!$D$130+Lookup_Lists!$D$131+Lookup_Lists!$D$132+Lookup_Lists!$D$133+Lookup_Lists!$D$134),0)</f>
      </c>
      <c r="AK65" s="47">
        <f>IF(KOL_Database!$AT$34="",0,MIN(100,MAX(0,KOL_Database!$AT$34)))</f>
      </c>
      <c r="AL65" s="47">
        <f>IF(KOL_Database!$AU$34="",0,KOL_Database!$AU$34)</f>
      </c>
      <c r="AM65" s="44">
        <f>IF(KOL_Database!$AV$34="","None",KOL_Database!$AV$34)</f>
      </c>
      <c r="AN65" s="48">
        <f>IF(Matching_Engine!$AM$65="High",Lookup_Lists!$D$137,IF(Matching_Engine!$AM$65="Medium",Lookup_Lists!$D$138,IF(Matching_Engine!$AM$65="Low",Lookup_Lists!$D$139,Lookup_Lists!$D$140)))</f>
      </c>
      <c r="AO65" s="47">
        <f>ROUND(MIN(100,MAX(0,(Matching_Engine!$AK$65*Lookup_Lists!$D$135+(100-Matching_Engine!$AL$65)*Lookup_Lists!$D$136)/(Lookup_Lists!$D$135+Lookup_Lists!$D$136)*Matching_Engine!$AN$65)),0)</f>
      </c>
      <c r="AP65" s="49">
        <f>ROUND((Matching_Engine!$N$65*Lookup_Lists!$D$104+Matching_Engine!$S$65*Lookup_Lists!$D$105+Matching_Engine!$X$65*Lookup_Lists!$D$106+Matching_Engine!$AC$65*Lookup_Lists!$D$107+Matching_Engine!$AJ$65*Lookup_Lists!$D$108+Matching_Engine!$AO$65*Lookup_Lists!$D$109)/MAX(1,(Lookup_Lists!$D$104+Lookup_Lists!$D$105+Lookup_Lists!$D$106+Lookup_Lists!$D$107+Lookup_Lists!$D$108+Lookup_Lists!$D$109)),0)</f>
      </c>
      <c r="AQ65" s="44">
        <f>IF(Matching_Engine!$AP$65&gt;=Lookup_Lists!$D$152,"Excellent Match",IF(Matching_Engine!$AP$65&gt;=Lookup_Lists!$D$153,"Strong Match",IF(Matching_Engine!$AP$65&gt;=Lookup_Lists!$D$154,"Good Match",IF(Matching_Engine!$AP$65&gt;=Lookup_Lists!$D$155,"Moderate Match","Low Match"))))</f>
      </c>
      <c r="AR65" s="47">
        <f>KOL_Database!$BE$34</f>
      </c>
      <c r="AS65" s="44">
        <f>IF(Matching_Engine!$AR$65&gt;=Lookup_Lists!$D$159,"High",IF(Matching_Engine!$AR$65&gt;=Lookup_Lists!$D$160,"Medium","Limited Data"))</f>
      </c>
      <c r="AT65" s="47">
        <f>ROUND((Matching_Engine!$N$65+Matching_Engine!$X$65+Matching_Engine!$AC$65)/3,0)</f>
      </c>
      <c r="AU65" s="47">
        <f>ROUND(((100-Matching_Engine!$AL$65)*Lookup_Lists!$D$162+IF(KOL_Database!$BD$34="",Lookup_Lists!$D$150,KOL_Database!$BD$34)*Lookup_Lists!$D$163+Matching_Engine!$AI$65*Lookup_Lists!$D$164+Matching_Engine!$AD$65*Lookup_Lists!$D$165)/(Lookup_Lists!$D$162+Lookup_Lists!$D$163+Lookup_Lists!$D$164+Lookup_Lists!$D$165),0)</f>
      </c>
      <c r="AV65" s="44">
        <f>IF(Matching_Engine!$AW$65="","PASS","EXCLUDED")</f>
      </c>
      <c r="AW65" s="44">
        <f>IF(ISERROR(SEARCH(KOL_Database!$D$34,Brand_Profile!$E$32)),"Platform not in Preferred Platform",IF(AND(Brand_Profile!$E$36&gt;0,KOL_Database!$J$34&lt;Brand_Profile!$E$36),"Followers below Preferred Follower Range",IF(AND(Brand_Profile!$E$37&gt;0,KOL_Database!$J$34&gt;Brand_Profile!$E$37),"Followers above Preferred Follower Range",IF(AND(Brand_Profile!$E$38&gt;0,IF(KOL_Database!$K$34="",0,KOL_Database!$K$34)&lt;Brand_Profile!$E$38),"Engagement Rate below Minimum Engagement Rate",IF(ISERROR(SEARCH(KOL_Database!$G$34,Brand_Profile!$E$35)),"Tier not in Preferred Tier",IF(AND(Brand_Profile!$E$43&gt;0,Matching_Engine!$AE$65&lt;Brand_Profile!$E$43),"Audience Quality below Minimum Audience Quality",IF(AND(Brand_Profile!$E$44&gt;0,Matching_Engine!$AK$65&lt;Brand_Profile!$E$44),"Brand Safety below Minimum Brand Safety",IF(AND(Brand_Profile!$E$47="Yes",KOL_Database!$AD$34&lt;&gt;Brand_Profile!$E$19),"Audience Country does not match Target Country",IF(AND(Brand_Profile!$E$46="Yes",KOL_Database!$E$34&lt;&gt;Brand_Profile!$E$33),"Category is not the Preferred Category",IF(AND(Brand_Profile!$E$48&gt;0,Matching_Engine!$AL$65&gt;Brand_Profile!$E$48),"Competitor Saturation above Max Competitor Saturation",IF(AND(Brand_Profile!$E$50="Yes",KOL_Database!$AW$34="Yes"),"Already Selected",IF(AND(Brand_Profile!$E$51="Yes",KOL_Database!$AX$34="Yes"),"Already in Cart",IF(AND(Brand_Profile!$E$52="Yes",KOL_Database!$AY$34="Yes"),"Existing Partner",IF(AND(Brand_Profile!$E$53="Yes",KOL_Database!$AZ$34="Yes"),"Excluded Creator",IF(AND(Brand_Profile!$E$49&gt;0,Matching_Engine!$AP$65&lt;Brand_Profile!$E$49),"Brand Match below Minimum Brand Match","")))))))))))))))</f>
      </c>
      <c r="AX65" s="44">
        <f>IF(Matching_Engine!$AV$65="EXCLUDED","Excluded",IF(Matching_Engine!$AP$65&gt;=Lookup_Lists!$D$156,"Highly Recommended",IF(Matching_Engine!$AP$65&gt;=Lookup_Lists!$D$157,"Recommended",IF(Matching_Engine!$AP$65&gt;=Lookup_Lists!$D$158,"Consider","Low Priority"))))</f>
      </c>
      <c r="AY65" s="47">
        <f>IF(Matching_Engine!$AV$65="PASS",Matching_Engine!$AP$65,"")</f>
      </c>
      <c r="AZ65" s="44">
        <f>Matching_Engine!$A$65&amp;"|"&amp;Matching_Engine!$C$65</f>
      </c>
      <c r="BA65" s="44">
        <f>IFERROR(INDEX(Lookup_Lists!$B$51:$B$92,MATCH(Brand_Profile!$E$12,Lookup_Lists!$A$51:$A$92,0)),"")</f>
      </c>
      <c r="BB65" s="44">
        <f>IFERROR(INDEX(Lookup_Lists!$B$51:$B$92,MATCH(KOL_Database!$F$34,Lookup_Lists!$A$51:$A$92,0)),"")</f>
      </c>
      <c r="BC65" s="47">
        <f>IFERROR(INDEX(Lookup_Lists!$B$185:$O$198,MATCH(Matching_Engine!$BA$65,Lookup_Lists!$A$185:$A$198,0),MATCH(KOL_Database!$E$34,Lookup_Lists!$B$184:$O$184,0)),Lookup_Lists!$D$151)</f>
      </c>
      <c r="BD65" s="47">
        <f>IFERROR(INDEX(Lookup_Lists!$B$185:$O$198,MATCH(Brand_Profile!$E$33,Lookup_Lists!$A$185:$A$198,0),MATCH(KOL_Database!$E$34,Lookup_Lists!$B$184:$O$184,0)),Lookup_Lists!$D$151)</f>
      </c>
      <c r="BE65" s="44">
        <f>IFERROR(INDEX(Lookup_Lists!$B$51:$B$92,MATCH(Brand_Profile!$E$34,Lookup_Lists!$A$51:$A$92,0)),"")</f>
      </c>
      <c r="BF65" s="44">
        <f>KOL_Database!$AI$34&amp;", "&amp;KOL_Database!$AG$34&amp;", "&amp;KOL_Database!$F$34&amp;", "&amp;KOL_Database!$E$34</f>
      </c>
      <c r="BG65" s="44">
        <f>KOL_Database!$AI$34&amp;", "&amp;KOL_Database!$AG$34</f>
      </c>
    </row>
    <row r="66" spans="1:59" x14ac:dyDescent="0.25">
      <c r="A66" s="43" t="s">
        <v>77</v>
      </c>
      <c r="B66" s="44">
        <f>Brand_Profile!$F$9</f>
      </c>
      <c r="C66" s="44">
        <f>KOL_Database!$A$5</f>
      </c>
      <c r="D66" s="44">
        <f>KOL_Database!$B$5</f>
      </c>
      <c r="E66" s="44">
        <f>KOL_Database!$C$5</f>
      </c>
      <c r="F66" s="44">
        <f>KOL_Database!$D$5</f>
      </c>
      <c r="G66" s="44">
        <f>KOL_Database!$E$5</f>
      </c>
      <c r="H66" s="44">
        <f>KOL_Database!$G$5</f>
      </c>
      <c r="I66" s="45">
        <f>KOL_Database!$J$5</f>
      </c>
      <c r="J66" s="46">
        <f>KOL_Database!$K$5</f>
      </c>
      <c r="K66" s="47">
        <f>IFERROR(INDEX(Lookup_Lists!$B$170:$O$181,MATCH(Brand_Profile!$F$10,Lookup_Lists!$A$170:$A$181,0),MATCH(KOL_Database!$E$5,Lookup_Lists!$B$169:$O$169,0)),Lookup_Lists!$D$151)</f>
      </c>
      <c r="L66" s="47">
        <f>IF(KOL_Database!$F$5="",Matching_Engine!$BC$66,IF(Brand_Profile!$F$12=KOL_Database!$F$5,100,IF(Matching_Engine!$BA$66=KOL_Database!$E$5,80,IF(Matching_Engine!$BC$66&gt;=80,60,IF(Matching_Engine!$BC$66&gt;=60,40,Lookup_Lists!$D$151)))))</f>
      </c>
      <c r="M66" s="47">
        <f>ROUND((IF(Brand_Profile!$F$62=0,Lookup_Lists!$D$150,ROUND((IF(Brand_Profile!$F$57="",0,IF(ISNUMBER(SEARCH(Brand_Profile!$F$57,Matching_Engine!$BF$66)),1,0))+IF(Brand_Profile!$F$58="",0,IF(ISNUMBER(SEARCH(Brand_Profile!$F$58,Matching_Engine!$BF$66)),1,0))+IF(Brand_Profile!$F$59="",0,IF(ISNUMBER(SEARCH(Brand_Profile!$F$59,Matching_Engine!$BF$66)),1,0))+IF(Brand_Profile!$F$60="",0,IF(ISNUMBER(SEARCH(Brand_Profile!$F$60,Matching_Engine!$BF$66)),1,0))+IF(Brand_Profile!$F$61="",0,IF(ISNUMBER(SEARCH(Brand_Profile!$F$61,Matching_Engine!$BF$66)),1,0)))/Brand_Profile!$F$62*100,0))+IF(Brand_Profile!$F$74=0,Lookup_Lists!$D$150,ROUND((IF(Brand_Profile!$F$69="",0,IF(ISNUMBER(SEARCH(Brand_Profile!$F$69,Matching_Engine!$BF$66)),1,0))+IF(Brand_Profile!$F$70="",0,IF(ISNUMBER(SEARCH(Brand_Profile!$F$70,Matching_Engine!$BF$66)),1,0))+IF(Brand_Profile!$F$71="",0,IF(ISNUMBER(SEARCH(Brand_Profile!$F$71,Matching_Engine!$BF$66)),1,0))+IF(Brand_Profile!$F$72="",0,IF(ISNUMBER(SEARCH(Brand_Profile!$F$72,Matching_Engine!$BF$66)),1,0))+IF(Brand_Profile!$F$73="",0,IF(ISNUMBER(SEARCH(Brand_Profile!$F$73,Matching_Engine!$BF$66)),1,0)))/Brand_Profile!$F$74*100,0)))/2,0)</f>
      </c>
      <c r="N66" s="47">
        <f>ROUND((Matching_Engine!$K$66*Lookup_Lists!$D$110+Matching_Engine!$L$66*Lookup_Lists!$D$111+Matching_Engine!$M$66*Lookup_Lists!$D$112)/(Lookup_Lists!$D$110+Lookup_Lists!$D$111+Lookup_Lists!$D$112),0)</f>
      </c>
      <c r="O66" s="47">
        <f>IF(Brand_Profile!$F$16="",Lookup_Lists!$D$150,MIN(100,ROUND((IFERROR(INDEX(KOL_Database!$W$5:KOL_Database!$AA$5,1,MATCH(Brand_Profile!$F$16,Lookup_Lists!$F$6:$F$10,0)),0)+0.5*IFERROR(INDEX(KOL_Database!$W$5:KOL_Database!$AA$5,1,MATCH(Brand_Profile!$F$17,Lookup_Lists!$F$6:$F$10,0)),0))/Lookup_Lists!$D$142*100,0)))</f>
      </c>
      <c r="P66" s="47">
        <f>IF(OR(Brand_Profile!$F$18="",Brand_Profile!$F$18="Any"),100,IF(Brand_Profile!$F$18="Female",MIN(100,ROUND(KOL_Database!$AB$5/Lookup_Lists!$D$143*100,0)),IF(Brand_Profile!$F$18="Male",MIN(100,ROUND(KOL_Database!$AC$5/Lookup_Lists!$D$143*100,0)),MAX(0,ROUND(100-ABS(KOL_Database!$AB$5-50)*2,0)))))</f>
      </c>
      <c r="Q66" s="47">
        <f>ROUND((IF(Brand_Profile!$F$19="",100,IF(KOL_Database!$AD$5=Brand_Profile!$F$19,100,Lookup_Lists!$D$151))*Lookup_Lists!$D$118+IF(OR(Brand_Profile!$F$20="",Brand_Profile!$F$20="Nasional"),100,IF(KOL_Database!$AE$5="",Lookup_Lists!$D$150,IF(KOL_Database!$AE$5=Brand_Profile!$F$20,100,IF(KOL_Database!$AD$5=Brand_Profile!$F$19,40,Lookup_Lists!$D$151))))*Lookup_Lists!$D$119+IF(OR(Brand_Profile!$F$21="",Brand_Profile!$F$21="Nasional"),100,IF(KOL_Database!$AF$5="",Lookup_Lists!$D$150,IF(KOL_Database!$AF$5=Brand_Profile!$F$21,100,IF(KOL_Database!$AE$5=Brand_Profile!$F$20,60,Lookup_Lists!$D$151))))*Lookup_Lists!$D$120)/(Lookup_Lists!$D$118+Lookup_Lists!$D$119+Lookup_Lists!$D$120),0)</f>
      </c>
      <c r="R66" s="47">
        <f>IF(Brand_Profile!$F$68=0,Lookup_Lists!$D$150,ROUND((IF(Brand_Profile!$F$63="",0,IF(ISNUMBER(SEARCH(Brand_Profile!$F$63,KOL_Database!$AG$5)),1,0))+IF(Brand_Profile!$F$64="",0,IF(ISNUMBER(SEARCH(Brand_Profile!$F$64,KOL_Database!$AG$5)),1,0))+IF(Brand_Profile!$F$65="",0,IF(ISNUMBER(SEARCH(Brand_Profile!$F$65,KOL_Database!$AG$5)),1,0))+IF(Brand_Profile!$F$66="",0,IF(ISNUMBER(SEARCH(Brand_Profile!$F$66,KOL_Database!$AG$5)),1,0))+IF(Brand_Profile!$F$67="",0,IF(ISNUMBER(SEARCH(Brand_Profile!$F$67,KOL_Database!$AG$5)),1,0)))/Brand_Profile!$F$68*100,0))</f>
      </c>
      <c r="S66" s="47">
        <f>ROUND((Matching_Engine!$O$66*Brand_Profile!$F$96+Matching_Engine!$P$66*Brand_Profile!$F$97+Matching_Engine!$Q$66*Brand_Profile!$F$98+Matching_Engine!$R$66*Brand_Profile!$F$99)/MAX(1,Brand_Profile!$F$96+Brand_Profile!$F$97+Brand_Profile!$F$98+Brand_Profile!$F$99),0)</f>
      </c>
      <c r="T66" s="47">
        <f>IF(Brand_Profile!$F$33="",Lookup_Lists!$D$150,Matching_Engine!$BD$66)</f>
      </c>
      <c r="U66" s="47">
        <f>IF(Brand_Profile!$F$34="",Lookup_Lists!$D$150,IF(Brand_Profile!$F$34=KOL_Database!$F$5,100,IF(Matching_Engine!$BE$66=KOL_Database!$E$5,75,IF(Matching_Engine!$BD$66&gt;=80,Lookup_Lists!$D$150,IF(Matching_Engine!$BD$66&gt;=60,35,Lookup_Lists!$D$151)))))</f>
      </c>
      <c r="V66" s="47">
        <f>IF(Brand_Profile!$F$86=0,Lookup_Lists!$D$150,ROUND((IF(Brand_Profile!$F$81="",0,IF(ISNUMBER(SEARCH(Brand_Profile!$F$81,Matching_Engine!$BG$66)),1,0))+IF(Brand_Profile!$F$82="",0,IF(ISNUMBER(SEARCH(Brand_Profile!$F$82,Matching_Engine!$BG$66)),1,0))+IF(Brand_Profile!$F$83="",0,IF(ISNUMBER(SEARCH(Brand_Profile!$F$83,Matching_Engine!$BG$66)),1,0))+IF(Brand_Profile!$F$84="",0,IF(ISNUMBER(SEARCH(Brand_Profile!$F$84,Matching_Engine!$BG$66)),1,0))+IF(Brand_Profile!$F$85="",0,IF(ISNUMBER(SEARCH(Brand_Profile!$F$85,Matching_Engine!$BG$66)),1,0)))/Brand_Profile!$F$86*100,0))</f>
      </c>
      <c r="W66" s="47">
        <f>IF(Brand_Profile!$F$39="",Lookup_Lists!$D$150,IFERROR(INDEX(Lookup_Lists!$B$237:$K$246,MATCH(Brand_Profile!$F$39,Lookup_Lists!$A$237:$A$246,0),MATCH(KOL_Database!$AJ$5,Lookup_Lists!$B$236:$K$236,0)),45))</f>
      </c>
      <c r="X66" s="47">
        <f>ROUND((Matching_Engine!$T$66*Lookup_Lists!$D$121+Matching_Engine!$U$66*Lookup_Lists!$D$122+Matching_Engine!$V$66*Lookup_Lists!$D$123+Matching_Engine!$W$66*Lookup_Lists!$D$124)/(Lookup_Lists!$D$121+Lookup_Lists!$D$122+Lookup_Lists!$D$123+Lookup_Lists!$D$124),0)</f>
      </c>
      <c r="Y66" s="47">
        <f>MIN(100,MAX(IFERROR(INDEX(Lookup_Lists!$B$202:$M$211,MATCH(Brand_Profile!$F$25,Lookup_Lists!$A$202:$A$211,0),MATCH(KOL_Database!$AK$5,Lookup_Lists!$B$201:$M$201,0)),40),IF(KOL_Database!$AK$5=Brand_Profile!$F$41,95,0)))</f>
      </c>
      <c r="Z66" s="47">
        <f>IFERROR(INDEX(Lookup_Lists!$B$215:$K$222,MATCH(Brand_Profile!$F$27,Lookup_Lists!$A$215:$A$222,0),MATCH(KOL_Database!$AJ$5,Lookup_Lists!$B$214:$K$214,0)),45)</f>
      </c>
      <c r="AA66" s="47">
        <f>ROUND((IF(Brand_Profile!$F$80=0,Lookup_Lists!$D$150,ROUND((IF(Brand_Profile!$F$75="",0,IF(ISNUMBER(SEARCH(Brand_Profile!$F$75,KOL_Database!$AL$5)),1,0))+IF(Brand_Profile!$F$76="",0,IF(ISNUMBER(SEARCH(Brand_Profile!$F$76,KOL_Database!$AL$5)),1,0))+IF(Brand_Profile!$F$77="",0,IF(ISNUMBER(SEARCH(Brand_Profile!$F$77,KOL_Database!$AL$5)),1,0))+IF(Brand_Profile!$F$78="",0,IF(ISNUMBER(SEARCH(Brand_Profile!$F$78,KOL_Database!$AL$5)),1,0))+IF(Brand_Profile!$F$79="",0,IF(ISNUMBER(SEARCH(Brand_Profile!$F$79,KOL_Database!$AL$5)),1,0)))/Brand_Profile!$F$80*100,0))+IF(Brand_Profile!$F$92=0,Lookup_Lists!$D$150,ROUND((IF(Brand_Profile!$F$87="",0,IF(ISNUMBER(SEARCH(Brand_Profile!$F$87,KOL_Database!$AL$5)),1,0))+IF(Brand_Profile!$F$88="",0,IF(ISNUMBER(SEARCH(Brand_Profile!$F$88,KOL_Database!$AL$5)),1,0))+IF(Brand_Profile!$F$89="",0,IF(ISNUMBER(SEARCH(Brand_Profile!$F$89,KOL_Database!$AL$5)),1,0))+IF(Brand_Profile!$F$90="",0,IF(ISNUMBER(SEARCH(Brand_Profile!$F$90,KOL_Database!$AL$5)),1,0))+IF(Brand_Profile!$F$91="",0,IF(ISNUMBER(SEARCH(Brand_Profile!$F$91,KOL_Database!$AL$5)),1,0)))/Brand_Profile!$F$92*100,0)))/2,0)</f>
      </c>
      <c r="AB66" s="47">
        <f>IFERROR(INDEX(Lookup_Lists!$B$226:$K$233,MATCH(Brand_Profile!$F$30,Lookup_Lists!$A$226:$A$233,0),MATCH(KOL_Database!$AJ$5,Lookup_Lists!$B$225:$K$225,0)),45)</f>
      </c>
      <c r="AC66" s="47">
        <f>ROUND((Matching_Engine!$Y$66*Lookup_Lists!$D$125+Matching_Engine!$Z$66*Lookup_Lists!$D$126+Matching_Engine!$AA$66*Lookup_Lists!$D$127+Matching_Engine!$AB$66*Lookup_Lists!$D$128)/(Lookup_Lists!$D$125+Lookup_Lists!$D$126+Lookup_Lists!$D$127+Lookup_Lists!$D$128),0)</f>
      </c>
      <c r="AD66" s="47">
        <f>IF(KOL_Database!$K$5="",0,MIN(100,ROUND(KOL_Database!$K$5/Lookup_Lists!$D$141*100,0)))</f>
      </c>
      <c r="AE66" s="47">
        <f>IF(KOL_Database!$R$5="",0,MIN(100,MAX(0,KOL_Database!$R$5)))</f>
      </c>
      <c r="AF66" s="47">
        <f>IF(KOL_Database!$P$5="",0,MIN(100,MAX(0,KOL_Database!$P$5)))</f>
      </c>
      <c r="AG66" s="47">
        <f>IF(KOL_Database!$Q$5="",0,MIN(100,MAX(0,KOL_Database!$Q$5)))</f>
      </c>
      <c r="AH66" s="47">
        <f>IF(OR(KOL_Database!$J$5="",KOL_Database!$J$5=0,KOL_Database!$L$5=""),0,MIN(100,ROUND(KOL_Database!$L$5/KOL_Database!$J$5/Lookup_Lists!$D$144*100,0)))</f>
      </c>
      <c r="AI66" s="47">
        <f>IF(KOL_Database!$N$5="",0,MIN(100,MAX(0,ROUND((KOL_Database!$N$5+2)/(Lookup_Lists!$D$145+2)*100,0))))</f>
      </c>
      <c r="AJ66" s="47">
        <f>ROUND((Matching_Engine!$AD$66*Lookup_Lists!$D$129+Matching_Engine!$AE$66*Lookup_Lists!$D$130+Matching_Engine!$AF$66*Lookup_Lists!$D$131+Matching_Engine!$AG$66*Lookup_Lists!$D$132+Matching_Engine!$AH$66*Lookup_Lists!$D$133+Matching_Engine!$AI$66*Lookup_Lists!$D$134)/(Lookup_Lists!$D$129+Lookup_Lists!$D$130+Lookup_Lists!$D$131+Lookup_Lists!$D$132+Lookup_Lists!$D$133+Lookup_Lists!$D$134),0)</f>
      </c>
      <c r="AK66" s="47">
        <f>IF(KOL_Database!$AT$5="",0,MIN(100,MAX(0,KOL_Database!$AT$5)))</f>
      </c>
      <c r="AL66" s="47">
        <f>IF(KOL_Database!$AU$5="",0,KOL_Database!$AU$5)</f>
      </c>
      <c r="AM66" s="44">
        <f>IF(KOL_Database!$AV$5="","None",KOL_Database!$AV$5)</f>
      </c>
      <c r="AN66" s="48">
        <f>IF(Matching_Engine!$AM$66="High",Lookup_Lists!$D$137,IF(Matching_Engine!$AM$66="Medium",Lookup_Lists!$D$138,IF(Matching_Engine!$AM$66="Low",Lookup_Lists!$D$139,Lookup_Lists!$D$140)))</f>
      </c>
      <c r="AO66" s="47">
        <f>ROUND(MIN(100,MAX(0,(Matching_Engine!$AK$66*Lookup_Lists!$D$135+(100-Matching_Engine!$AL$66)*Lookup_Lists!$D$136)/(Lookup_Lists!$D$135+Lookup_Lists!$D$136)*Matching_Engine!$AN$66)),0)</f>
      </c>
      <c r="AP66" s="49">
        <f>ROUND((Matching_Engine!$N$66*Lookup_Lists!$D$104+Matching_Engine!$S$66*Lookup_Lists!$D$105+Matching_Engine!$X$66*Lookup_Lists!$D$106+Matching_Engine!$AC$66*Lookup_Lists!$D$107+Matching_Engine!$AJ$66*Lookup_Lists!$D$108+Matching_Engine!$AO$66*Lookup_Lists!$D$109)/MAX(1,(Lookup_Lists!$D$104+Lookup_Lists!$D$105+Lookup_Lists!$D$106+Lookup_Lists!$D$107+Lookup_Lists!$D$108+Lookup_Lists!$D$109)),0)</f>
      </c>
      <c r="AQ66" s="44">
        <f>IF(Matching_Engine!$AP$66&gt;=Lookup_Lists!$D$152,"Excellent Match",IF(Matching_Engine!$AP$66&gt;=Lookup_Lists!$D$153,"Strong Match",IF(Matching_Engine!$AP$66&gt;=Lookup_Lists!$D$154,"Good Match",IF(Matching_Engine!$AP$66&gt;=Lookup_Lists!$D$155,"Moderate Match","Low Match"))))</f>
      </c>
      <c r="AR66" s="47">
        <f>KOL_Database!$BE$5</f>
      </c>
      <c r="AS66" s="44">
        <f>IF(Matching_Engine!$AR$66&gt;=Lookup_Lists!$D$159,"High",IF(Matching_Engine!$AR$66&gt;=Lookup_Lists!$D$160,"Medium","Limited Data"))</f>
      </c>
      <c r="AT66" s="47">
        <f>ROUND((Matching_Engine!$N$66+Matching_Engine!$X$66+Matching_Engine!$AC$66)/3,0)</f>
      </c>
      <c r="AU66" s="47">
        <f>ROUND(((100-Matching_Engine!$AL$66)*Lookup_Lists!$D$162+IF(KOL_Database!$BD$5="",Lookup_Lists!$D$150,KOL_Database!$BD$5)*Lookup_Lists!$D$163+Matching_Engine!$AI$66*Lookup_Lists!$D$164+Matching_Engine!$AD$66*Lookup_Lists!$D$165)/(Lookup_Lists!$D$162+Lookup_Lists!$D$163+Lookup_Lists!$D$164+Lookup_Lists!$D$165),0)</f>
      </c>
      <c r="AV66" s="44">
        <f>IF(Matching_Engine!$AW$66="","PASS","EXCLUDED")</f>
      </c>
      <c r="AW66" s="44">
        <f>IF(ISERROR(SEARCH(KOL_Database!$D$5,Brand_Profile!$F$32)),"Platform not in Preferred Platform",IF(AND(Brand_Profile!$F$36&gt;0,KOL_Database!$J$5&lt;Brand_Profile!$F$36),"Followers below Preferred Follower Range",IF(AND(Brand_Profile!$F$37&gt;0,KOL_Database!$J$5&gt;Brand_Profile!$F$37),"Followers above Preferred Follower Range",IF(AND(Brand_Profile!$F$38&gt;0,IF(KOL_Database!$K$5="",0,KOL_Database!$K$5)&lt;Brand_Profile!$F$38),"Engagement Rate below Minimum Engagement Rate",IF(ISERROR(SEARCH(KOL_Database!$G$5,Brand_Profile!$F$35)),"Tier not in Preferred Tier",IF(AND(Brand_Profile!$F$43&gt;0,Matching_Engine!$AE$66&lt;Brand_Profile!$F$43),"Audience Quality below Minimum Audience Quality",IF(AND(Brand_Profile!$F$44&gt;0,Matching_Engine!$AK$66&lt;Brand_Profile!$F$44),"Brand Safety below Minimum Brand Safety",IF(AND(Brand_Profile!$F$47="Yes",KOL_Database!$AD$5&lt;&gt;Brand_Profile!$F$19),"Audience Country does not match Target Country",IF(AND(Brand_Profile!$F$46="Yes",KOL_Database!$E$5&lt;&gt;Brand_Profile!$F$33),"Category is not the Preferred Category",IF(AND(Brand_Profile!$F$48&gt;0,Matching_Engine!$AL$66&gt;Brand_Profile!$F$48),"Competitor Saturation above Max Competitor Saturation",IF(AND(Brand_Profile!$F$50="Yes",KOL_Database!$AW$5="Yes"),"Already Selected",IF(AND(Brand_Profile!$F$51="Yes",KOL_Database!$AX$5="Yes"),"Already in Cart",IF(AND(Brand_Profile!$F$52="Yes",KOL_Database!$AY$5="Yes"),"Existing Partner",IF(AND(Brand_Profile!$F$53="Yes",KOL_Database!$AZ$5="Yes"),"Excluded Creator",IF(AND(Brand_Profile!$F$49&gt;0,Matching_Engine!$AP$66&lt;Brand_Profile!$F$49),"Brand Match below Minimum Brand Match","")))))))))))))))</f>
      </c>
      <c r="AX66" s="44">
        <f>IF(Matching_Engine!$AV$66="EXCLUDED","Excluded",IF(Matching_Engine!$AP$66&gt;=Lookup_Lists!$D$156,"Highly Recommended",IF(Matching_Engine!$AP$66&gt;=Lookup_Lists!$D$157,"Recommended",IF(Matching_Engine!$AP$66&gt;=Lookup_Lists!$D$158,"Consider","Low Priority"))))</f>
      </c>
      <c r="AY66" s="47">
        <f>IF(Matching_Engine!$AV$66="PASS",Matching_Engine!$AP$66,"")</f>
      </c>
      <c r="AZ66" s="44">
        <f>Matching_Engine!$A$66&amp;"|"&amp;Matching_Engine!$C$66</f>
      </c>
      <c r="BA66" s="44">
        <f>IFERROR(INDEX(Lookup_Lists!$B$51:$B$92,MATCH(Brand_Profile!$F$12,Lookup_Lists!$A$51:$A$92,0)),"")</f>
      </c>
      <c r="BB66" s="44">
        <f>IFERROR(INDEX(Lookup_Lists!$B$51:$B$92,MATCH(KOL_Database!$F$5,Lookup_Lists!$A$51:$A$92,0)),"")</f>
      </c>
      <c r="BC66" s="47">
        <f>IFERROR(INDEX(Lookup_Lists!$B$185:$O$198,MATCH(Matching_Engine!$BA$66,Lookup_Lists!$A$185:$A$198,0),MATCH(KOL_Database!$E$5,Lookup_Lists!$B$184:$O$184,0)),Lookup_Lists!$D$151)</f>
      </c>
      <c r="BD66" s="47">
        <f>IFERROR(INDEX(Lookup_Lists!$B$185:$O$198,MATCH(Brand_Profile!$F$33,Lookup_Lists!$A$185:$A$198,0),MATCH(KOL_Database!$E$5,Lookup_Lists!$B$184:$O$184,0)),Lookup_Lists!$D$151)</f>
      </c>
      <c r="BE66" s="44">
        <f>IFERROR(INDEX(Lookup_Lists!$B$51:$B$92,MATCH(Brand_Profile!$F$34,Lookup_Lists!$A$51:$A$92,0)),"")</f>
      </c>
      <c r="BF66" s="44">
        <f>KOL_Database!$AI$5&amp;", "&amp;KOL_Database!$AG$5&amp;", "&amp;KOL_Database!$F$5&amp;", "&amp;KOL_Database!$E$5</f>
      </c>
      <c r="BG66" s="44">
        <f>KOL_Database!$AI$5&amp;", "&amp;KOL_Database!$AG$5</f>
      </c>
    </row>
    <row r="67" spans="1:59" x14ac:dyDescent="0.25">
      <c r="A67" s="43" t="s">
        <v>77</v>
      </c>
      <c r="B67" s="44">
        <f>Brand_Profile!$F$9</f>
      </c>
      <c r="C67" s="44">
        <f>KOL_Database!$A$6</f>
      </c>
      <c r="D67" s="44">
        <f>KOL_Database!$B$6</f>
      </c>
      <c r="E67" s="44">
        <f>KOL_Database!$C$6</f>
      </c>
      <c r="F67" s="44">
        <f>KOL_Database!$D$6</f>
      </c>
      <c r="G67" s="44">
        <f>KOL_Database!$E$6</f>
      </c>
      <c r="H67" s="44">
        <f>KOL_Database!$G$6</f>
      </c>
      <c r="I67" s="45">
        <f>KOL_Database!$J$6</f>
      </c>
      <c r="J67" s="46">
        <f>KOL_Database!$K$6</f>
      </c>
      <c r="K67" s="47">
        <f>IFERROR(INDEX(Lookup_Lists!$B$170:$O$181,MATCH(Brand_Profile!$F$10,Lookup_Lists!$A$170:$A$181,0),MATCH(KOL_Database!$E$6,Lookup_Lists!$B$169:$O$169,0)),Lookup_Lists!$D$151)</f>
      </c>
      <c r="L67" s="47">
        <f>IF(KOL_Database!$F$6="",Matching_Engine!$BC$67,IF(Brand_Profile!$F$12=KOL_Database!$F$6,100,IF(Matching_Engine!$BA$67=KOL_Database!$E$6,80,IF(Matching_Engine!$BC$67&gt;=80,60,IF(Matching_Engine!$BC$67&gt;=60,40,Lookup_Lists!$D$151)))))</f>
      </c>
      <c r="M67" s="47">
        <f>ROUND((IF(Brand_Profile!$F$62=0,Lookup_Lists!$D$150,ROUND((IF(Brand_Profile!$F$57="",0,IF(ISNUMBER(SEARCH(Brand_Profile!$F$57,Matching_Engine!$BF$67)),1,0))+IF(Brand_Profile!$F$58="",0,IF(ISNUMBER(SEARCH(Brand_Profile!$F$58,Matching_Engine!$BF$67)),1,0))+IF(Brand_Profile!$F$59="",0,IF(ISNUMBER(SEARCH(Brand_Profile!$F$59,Matching_Engine!$BF$67)),1,0))+IF(Brand_Profile!$F$60="",0,IF(ISNUMBER(SEARCH(Brand_Profile!$F$60,Matching_Engine!$BF$67)),1,0))+IF(Brand_Profile!$F$61="",0,IF(ISNUMBER(SEARCH(Brand_Profile!$F$61,Matching_Engine!$BF$67)),1,0)))/Brand_Profile!$F$62*100,0))+IF(Brand_Profile!$F$74=0,Lookup_Lists!$D$150,ROUND((IF(Brand_Profile!$F$69="",0,IF(ISNUMBER(SEARCH(Brand_Profile!$F$69,Matching_Engine!$BF$67)),1,0))+IF(Brand_Profile!$F$70="",0,IF(ISNUMBER(SEARCH(Brand_Profile!$F$70,Matching_Engine!$BF$67)),1,0))+IF(Brand_Profile!$F$71="",0,IF(ISNUMBER(SEARCH(Brand_Profile!$F$71,Matching_Engine!$BF$67)),1,0))+IF(Brand_Profile!$F$72="",0,IF(ISNUMBER(SEARCH(Brand_Profile!$F$72,Matching_Engine!$BF$67)),1,0))+IF(Brand_Profile!$F$73="",0,IF(ISNUMBER(SEARCH(Brand_Profile!$F$73,Matching_Engine!$BF$67)),1,0)))/Brand_Profile!$F$74*100,0)))/2,0)</f>
      </c>
      <c r="N67" s="47">
        <f>ROUND((Matching_Engine!$K$67*Lookup_Lists!$D$110+Matching_Engine!$L$67*Lookup_Lists!$D$111+Matching_Engine!$M$67*Lookup_Lists!$D$112)/(Lookup_Lists!$D$110+Lookup_Lists!$D$111+Lookup_Lists!$D$112),0)</f>
      </c>
      <c r="O67" s="47">
        <f>IF(Brand_Profile!$F$16="",Lookup_Lists!$D$150,MIN(100,ROUND((IFERROR(INDEX(KOL_Database!$W$6:KOL_Database!$AA$6,1,MATCH(Brand_Profile!$F$16,Lookup_Lists!$F$6:$F$10,0)),0)+0.5*IFERROR(INDEX(KOL_Database!$W$6:KOL_Database!$AA$6,1,MATCH(Brand_Profile!$F$17,Lookup_Lists!$F$6:$F$10,0)),0))/Lookup_Lists!$D$142*100,0)))</f>
      </c>
      <c r="P67" s="47">
        <f>IF(OR(Brand_Profile!$F$18="",Brand_Profile!$F$18="Any"),100,IF(Brand_Profile!$F$18="Female",MIN(100,ROUND(KOL_Database!$AB$6/Lookup_Lists!$D$143*100,0)),IF(Brand_Profile!$F$18="Male",MIN(100,ROUND(KOL_Database!$AC$6/Lookup_Lists!$D$143*100,0)),MAX(0,ROUND(100-ABS(KOL_Database!$AB$6-50)*2,0)))))</f>
      </c>
      <c r="Q67" s="47">
        <f>ROUND((IF(Brand_Profile!$F$19="",100,IF(KOL_Database!$AD$6=Brand_Profile!$F$19,100,Lookup_Lists!$D$151))*Lookup_Lists!$D$118+IF(OR(Brand_Profile!$F$20="",Brand_Profile!$F$20="Nasional"),100,IF(KOL_Database!$AE$6="",Lookup_Lists!$D$150,IF(KOL_Database!$AE$6=Brand_Profile!$F$20,100,IF(KOL_Database!$AD$6=Brand_Profile!$F$19,40,Lookup_Lists!$D$151))))*Lookup_Lists!$D$119+IF(OR(Brand_Profile!$F$21="",Brand_Profile!$F$21="Nasional"),100,IF(KOL_Database!$AF$6="",Lookup_Lists!$D$150,IF(KOL_Database!$AF$6=Brand_Profile!$F$21,100,IF(KOL_Database!$AE$6=Brand_Profile!$F$20,60,Lookup_Lists!$D$151))))*Lookup_Lists!$D$120)/(Lookup_Lists!$D$118+Lookup_Lists!$D$119+Lookup_Lists!$D$120),0)</f>
      </c>
      <c r="R67" s="47">
        <f>IF(Brand_Profile!$F$68=0,Lookup_Lists!$D$150,ROUND((IF(Brand_Profile!$F$63="",0,IF(ISNUMBER(SEARCH(Brand_Profile!$F$63,KOL_Database!$AG$6)),1,0))+IF(Brand_Profile!$F$64="",0,IF(ISNUMBER(SEARCH(Brand_Profile!$F$64,KOL_Database!$AG$6)),1,0))+IF(Brand_Profile!$F$65="",0,IF(ISNUMBER(SEARCH(Brand_Profile!$F$65,KOL_Database!$AG$6)),1,0))+IF(Brand_Profile!$F$66="",0,IF(ISNUMBER(SEARCH(Brand_Profile!$F$66,KOL_Database!$AG$6)),1,0))+IF(Brand_Profile!$F$67="",0,IF(ISNUMBER(SEARCH(Brand_Profile!$F$67,KOL_Database!$AG$6)),1,0)))/Brand_Profile!$F$68*100,0))</f>
      </c>
      <c r="S67" s="47">
        <f>ROUND((Matching_Engine!$O$67*Brand_Profile!$F$96+Matching_Engine!$P$67*Brand_Profile!$F$97+Matching_Engine!$Q$67*Brand_Profile!$F$98+Matching_Engine!$R$67*Brand_Profile!$F$99)/MAX(1,Brand_Profile!$F$96+Brand_Profile!$F$97+Brand_Profile!$F$98+Brand_Profile!$F$99),0)</f>
      </c>
      <c r="T67" s="47">
        <f>IF(Brand_Profile!$F$33="",Lookup_Lists!$D$150,Matching_Engine!$BD$67)</f>
      </c>
      <c r="U67" s="47">
        <f>IF(Brand_Profile!$F$34="",Lookup_Lists!$D$150,IF(Brand_Profile!$F$34=KOL_Database!$F$6,100,IF(Matching_Engine!$BE$67=KOL_Database!$E$6,75,IF(Matching_Engine!$BD$67&gt;=80,Lookup_Lists!$D$150,IF(Matching_Engine!$BD$67&gt;=60,35,Lookup_Lists!$D$151)))))</f>
      </c>
      <c r="V67" s="47">
        <f>IF(Brand_Profile!$F$86=0,Lookup_Lists!$D$150,ROUND((IF(Brand_Profile!$F$81="",0,IF(ISNUMBER(SEARCH(Brand_Profile!$F$81,Matching_Engine!$BG$67)),1,0))+IF(Brand_Profile!$F$82="",0,IF(ISNUMBER(SEARCH(Brand_Profile!$F$82,Matching_Engine!$BG$67)),1,0))+IF(Brand_Profile!$F$83="",0,IF(ISNUMBER(SEARCH(Brand_Profile!$F$83,Matching_Engine!$BG$67)),1,0))+IF(Brand_Profile!$F$84="",0,IF(ISNUMBER(SEARCH(Brand_Profile!$F$84,Matching_Engine!$BG$67)),1,0))+IF(Brand_Profile!$F$85="",0,IF(ISNUMBER(SEARCH(Brand_Profile!$F$85,Matching_Engine!$BG$67)),1,0)))/Brand_Profile!$F$86*100,0))</f>
      </c>
      <c r="W67" s="47">
        <f>IF(Brand_Profile!$F$39="",Lookup_Lists!$D$150,IFERROR(INDEX(Lookup_Lists!$B$237:$K$246,MATCH(Brand_Profile!$F$39,Lookup_Lists!$A$237:$A$246,0),MATCH(KOL_Database!$AJ$6,Lookup_Lists!$B$236:$K$236,0)),45))</f>
      </c>
      <c r="X67" s="47">
        <f>ROUND((Matching_Engine!$T$67*Lookup_Lists!$D$121+Matching_Engine!$U$67*Lookup_Lists!$D$122+Matching_Engine!$V$67*Lookup_Lists!$D$123+Matching_Engine!$W$67*Lookup_Lists!$D$124)/(Lookup_Lists!$D$121+Lookup_Lists!$D$122+Lookup_Lists!$D$123+Lookup_Lists!$D$124),0)</f>
      </c>
      <c r="Y67" s="47">
        <f>MIN(100,MAX(IFERROR(INDEX(Lookup_Lists!$B$202:$M$211,MATCH(Brand_Profile!$F$25,Lookup_Lists!$A$202:$A$211,0),MATCH(KOL_Database!$AK$6,Lookup_Lists!$B$201:$M$201,0)),40),IF(KOL_Database!$AK$6=Brand_Profile!$F$41,95,0)))</f>
      </c>
      <c r="Z67" s="47">
        <f>IFERROR(INDEX(Lookup_Lists!$B$215:$K$222,MATCH(Brand_Profile!$F$27,Lookup_Lists!$A$215:$A$222,0),MATCH(KOL_Database!$AJ$6,Lookup_Lists!$B$214:$K$214,0)),45)</f>
      </c>
      <c r="AA67" s="47">
        <f>ROUND((IF(Brand_Profile!$F$80=0,Lookup_Lists!$D$150,ROUND((IF(Brand_Profile!$F$75="",0,IF(ISNUMBER(SEARCH(Brand_Profile!$F$75,KOL_Database!$AL$6)),1,0))+IF(Brand_Profile!$F$76="",0,IF(ISNUMBER(SEARCH(Brand_Profile!$F$76,KOL_Database!$AL$6)),1,0))+IF(Brand_Profile!$F$77="",0,IF(ISNUMBER(SEARCH(Brand_Profile!$F$77,KOL_Database!$AL$6)),1,0))+IF(Brand_Profile!$F$78="",0,IF(ISNUMBER(SEARCH(Brand_Profile!$F$78,KOL_Database!$AL$6)),1,0))+IF(Brand_Profile!$F$79="",0,IF(ISNUMBER(SEARCH(Brand_Profile!$F$79,KOL_Database!$AL$6)),1,0)))/Brand_Profile!$F$80*100,0))+IF(Brand_Profile!$F$92=0,Lookup_Lists!$D$150,ROUND((IF(Brand_Profile!$F$87="",0,IF(ISNUMBER(SEARCH(Brand_Profile!$F$87,KOL_Database!$AL$6)),1,0))+IF(Brand_Profile!$F$88="",0,IF(ISNUMBER(SEARCH(Brand_Profile!$F$88,KOL_Database!$AL$6)),1,0))+IF(Brand_Profile!$F$89="",0,IF(ISNUMBER(SEARCH(Brand_Profile!$F$89,KOL_Database!$AL$6)),1,0))+IF(Brand_Profile!$F$90="",0,IF(ISNUMBER(SEARCH(Brand_Profile!$F$90,KOL_Database!$AL$6)),1,0))+IF(Brand_Profile!$F$91="",0,IF(ISNUMBER(SEARCH(Brand_Profile!$F$91,KOL_Database!$AL$6)),1,0)))/Brand_Profile!$F$92*100,0)))/2,0)</f>
      </c>
      <c r="AB67" s="47">
        <f>IFERROR(INDEX(Lookup_Lists!$B$226:$K$233,MATCH(Brand_Profile!$F$30,Lookup_Lists!$A$226:$A$233,0),MATCH(KOL_Database!$AJ$6,Lookup_Lists!$B$225:$K$225,0)),45)</f>
      </c>
      <c r="AC67" s="47">
        <f>ROUND((Matching_Engine!$Y$67*Lookup_Lists!$D$125+Matching_Engine!$Z$67*Lookup_Lists!$D$126+Matching_Engine!$AA$67*Lookup_Lists!$D$127+Matching_Engine!$AB$67*Lookup_Lists!$D$128)/(Lookup_Lists!$D$125+Lookup_Lists!$D$126+Lookup_Lists!$D$127+Lookup_Lists!$D$128),0)</f>
      </c>
      <c r="AD67" s="47">
        <f>IF(KOL_Database!$K$6="",0,MIN(100,ROUND(KOL_Database!$K$6/Lookup_Lists!$D$141*100,0)))</f>
      </c>
      <c r="AE67" s="47">
        <f>IF(KOL_Database!$R$6="",0,MIN(100,MAX(0,KOL_Database!$R$6)))</f>
      </c>
      <c r="AF67" s="47">
        <f>IF(KOL_Database!$P$6="",0,MIN(100,MAX(0,KOL_Database!$P$6)))</f>
      </c>
      <c r="AG67" s="47">
        <f>IF(KOL_Database!$Q$6="",0,MIN(100,MAX(0,KOL_Database!$Q$6)))</f>
      </c>
      <c r="AH67" s="47">
        <f>IF(OR(KOL_Database!$J$6="",KOL_Database!$J$6=0,KOL_Database!$L$6=""),0,MIN(100,ROUND(KOL_Database!$L$6/KOL_Database!$J$6/Lookup_Lists!$D$144*100,0)))</f>
      </c>
      <c r="AI67" s="47">
        <f>IF(KOL_Database!$N$6="",0,MIN(100,MAX(0,ROUND((KOL_Database!$N$6+2)/(Lookup_Lists!$D$145+2)*100,0))))</f>
      </c>
      <c r="AJ67" s="47">
        <f>ROUND((Matching_Engine!$AD$67*Lookup_Lists!$D$129+Matching_Engine!$AE$67*Lookup_Lists!$D$130+Matching_Engine!$AF$67*Lookup_Lists!$D$131+Matching_Engine!$AG$67*Lookup_Lists!$D$132+Matching_Engine!$AH$67*Lookup_Lists!$D$133+Matching_Engine!$AI$67*Lookup_Lists!$D$134)/(Lookup_Lists!$D$129+Lookup_Lists!$D$130+Lookup_Lists!$D$131+Lookup_Lists!$D$132+Lookup_Lists!$D$133+Lookup_Lists!$D$134),0)</f>
      </c>
      <c r="AK67" s="47">
        <f>IF(KOL_Database!$AT$6="",0,MIN(100,MAX(0,KOL_Database!$AT$6)))</f>
      </c>
      <c r="AL67" s="47">
        <f>IF(KOL_Database!$AU$6="",0,KOL_Database!$AU$6)</f>
      </c>
      <c r="AM67" s="44">
        <f>IF(KOL_Database!$AV$6="","None",KOL_Database!$AV$6)</f>
      </c>
      <c r="AN67" s="48">
        <f>IF(Matching_Engine!$AM$67="High",Lookup_Lists!$D$137,IF(Matching_Engine!$AM$67="Medium",Lookup_Lists!$D$138,IF(Matching_Engine!$AM$67="Low",Lookup_Lists!$D$139,Lookup_Lists!$D$140)))</f>
      </c>
      <c r="AO67" s="47">
        <f>ROUND(MIN(100,MAX(0,(Matching_Engine!$AK$67*Lookup_Lists!$D$135+(100-Matching_Engine!$AL$67)*Lookup_Lists!$D$136)/(Lookup_Lists!$D$135+Lookup_Lists!$D$136)*Matching_Engine!$AN$67)),0)</f>
      </c>
      <c r="AP67" s="49">
        <f>ROUND((Matching_Engine!$N$67*Lookup_Lists!$D$104+Matching_Engine!$S$67*Lookup_Lists!$D$105+Matching_Engine!$X$67*Lookup_Lists!$D$106+Matching_Engine!$AC$67*Lookup_Lists!$D$107+Matching_Engine!$AJ$67*Lookup_Lists!$D$108+Matching_Engine!$AO$67*Lookup_Lists!$D$109)/MAX(1,(Lookup_Lists!$D$104+Lookup_Lists!$D$105+Lookup_Lists!$D$106+Lookup_Lists!$D$107+Lookup_Lists!$D$108+Lookup_Lists!$D$109)),0)</f>
      </c>
      <c r="AQ67" s="44">
        <f>IF(Matching_Engine!$AP$67&gt;=Lookup_Lists!$D$152,"Excellent Match",IF(Matching_Engine!$AP$67&gt;=Lookup_Lists!$D$153,"Strong Match",IF(Matching_Engine!$AP$67&gt;=Lookup_Lists!$D$154,"Good Match",IF(Matching_Engine!$AP$67&gt;=Lookup_Lists!$D$155,"Moderate Match","Low Match"))))</f>
      </c>
      <c r="AR67" s="47">
        <f>KOL_Database!$BE$6</f>
      </c>
      <c r="AS67" s="44">
        <f>IF(Matching_Engine!$AR$67&gt;=Lookup_Lists!$D$159,"High",IF(Matching_Engine!$AR$67&gt;=Lookup_Lists!$D$160,"Medium","Limited Data"))</f>
      </c>
      <c r="AT67" s="47">
        <f>ROUND((Matching_Engine!$N$67+Matching_Engine!$X$67+Matching_Engine!$AC$67)/3,0)</f>
      </c>
      <c r="AU67" s="47">
        <f>ROUND(((100-Matching_Engine!$AL$67)*Lookup_Lists!$D$162+IF(KOL_Database!$BD$6="",Lookup_Lists!$D$150,KOL_Database!$BD$6)*Lookup_Lists!$D$163+Matching_Engine!$AI$67*Lookup_Lists!$D$164+Matching_Engine!$AD$67*Lookup_Lists!$D$165)/(Lookup_Lists!$D$162+Lookup_Lists!$D$163+Lookup_Lists!$D$164+Lookup_Lists!$D$165),0)</f>
      </c>
      <c r="AV67" s="44">
        <f>IF(Matching_Engine!$AW$67="","PASS","EXCLUDED")</f>
      </c>
      <c r="AW67" s="44">
        <f>IF(ISERROR(SEARCH(KOL_Database!$D$6,Brand_Profile!$F$32)),"Platform not in Preferred Platform",IF(AND(Brand_Profile!$F$36&gt;0,KOL_Database!$J$6&lt;Brand_Profile!$F$36),"Followers below Preferred Follower Range",IF(AND(Brand_Profile!$F$37&gt;0,KOL_Database!$J$6&gt;Brand_Profile!$F$37),"Followers above Preferred Follower Range",IF(AND(Brand_Profile!$F$38&gt;0,IF(KOL_Database!$K$6="",0,KOL_Database!$K$6)&lt;Brand_Profile!$F$38),"Engagement Rate below Minimum Engagement Rate",IF(ISERROR(SEARCH(KOL_Database!$G$6,Brand_Profile!$F$35)),"Tier not in Preferred Tier",IF(AND(Brand_Profile!$F$43&gt;0,Matching_Engine!$AE$67&lt;Brand_Profile!$F$43),"Audience Quality below Minimum Audience Quality",IF(AND(Brand_Profile!$F$44&gt;0,Matching_Engine!$AK$67&lt;Brand_Profile!$F$44),"Brand Safety below Minimum Brand Safety",IF(AND(Brand_Profile!$F$47="Yes",KOL_Database!$AD$6&lt;&gt;Brand_Profile!$F$19),"Audience Country does not match Target Country",IF(AND(Brand_Profile!$F$46="Yes",KOL_Database!$E$6&lt;&gt;Brand_Profile!$F$33),"Category is not the Preferred Category",IF(AND(Brand_Profile!$F$48&gt;0,Matching_Engine!$AL$67&gt;Brand_Profile!$F$48),"Competitor Saturation above Max Competitor Saturation",IF(AND(Brand_Profile!$F$50="Yes",KOL_Database!$AW$6="Yes"),"Already Selected",IF(AND(Brand_Profile!$F$51="Yes",KOL_Database!$AX$6="Yes"),"Already in Cart",IF(AND(Brand_Profile!$F$52="Yes",KOL_Database!$AY$6="Yes"),"Existing Partner",IF(AND(Brand_Profile!$F$53="Yes",KOL_Database!$AZ$6="Yes"),"Excluded Creator",IF(AND(Brand_Profile!$F$49&gt;0,Matching_Engine!$AP$67&lt;Brand_Profile!$F$49),"Brand Match below Minimum Brand Match","")))))))))))))))</f>
      </c>
      <c r="AX67" s="44">
        <f>IF(Matching_Engine!$AV$67="EXCLUDED","Excluded",IF(Matching_Engine!$AP$67&gt;=Lookup_Lists!$D$156,"Highly Recommended",IF(Matching_Engine!$AP$67&gt;=Lookup_Lists!$D$157,"Recommended",IF(Matching_Engine!$AP$67&gt;=Lookup_Lists!$D$158,"Consider","Low Priority"))))</f>
      </c>
      <c r="AY67" s="47">
        <f>IF(Matching_Engine!$AV$67="PASS",Matching_Engine!$AP$67,"")</f>
      </c>
      <c r="AZ67" s="44">
        <f>Matching_Engine!$A$67&amp;"|"&amp;Matching_Engine!$C$67</f>
      </c>
      <c r="BA67" s="44">
        <f>IFERROR(INDEX(Lookup_Lists!$B$51:$B$92,MATCH(Brand_Profile!$F$12,Lookup_Lists!$A$51:$A$92,0)),"")</f>
      </c>
      <c r="BB67" s="44">
        <f>IFERROR(INDEX(Lookup_Lists!$B$51:$B$92,MATCH(KOL_Database!$F$6,Lookup_Lists!$A$51:$A$92,0)),"")</f>
      </c>
      <c r="BC67" s="47">
        <f>IFERROR(INDEX(Lookup_Lists!$B$185:$O$198,MATCH(Matching_Engine!$BA$67,Lookup_Lists!$A$185:$A$198,0),MATCH(KOL_Database!$E$6,Lookup_Lists!$B$184:$O$184,0)),Lookup_Lists!$D$151)</f>
      </c>
      <c r="BD67" s="47">
        <f>IFERROR(INDEX(Lookup_Lists!$B$185:$O$198,MATCH(Brand_Profile!$F$33,Lookup_Lists!$A$185:$A$198,0),MATCH(KOL_Database!$E$6,Lookup_Lists!$B$184:$O$184,0)),Lookup_Lists!$D$151)</f>
      </c>
      <c r="BE67" s="44">
        <f>IFERROR(INDEX(Lookup_Lists!$B$51:$B$92,MATCH(Brand_Profile!$F$34,Lookup_Lists!$A$51:$A$92,0)),"")</f>
      </c>
      <c r="BF67" s="44">
        <f>KOL_Database!$AI$6&amp;", "&amp;KOL_Database!$AG$6&amp;", "&amp;KOL_Database!$F$6&amp;", "&amp;KOL_Database!$E$6</f>
      </c>
      <c r="BG67" s="44">
        <f>KOL_Database!$AI$6&amp;", "&amp;KOL_Database!$AG$6</f>
      </c>
    </row>
    <row r="68" spans="1:59" x14ac:dyDescent="0.25">
      <c r="A68" s="43" t="s">
        <v>77</v>
      </c>
      <c r="B68" s="44">
        <f>Brand_Profile!$F$9</f>
      </c>
      <c r="C68" s="44">
        <f>KOL_Database!$A$7</f>
      </c>
      <c r="D68" s="44">
        <f>KOL_Database!$B$7</f>
      </c>
      <c r="E68" s="44">
        <f>KOL_Database!$C$7</f>
      </c>
      <c r="F68" s="44">
        <f>KOL_Database!$D$7</f>
      </c>
      <c r="G68" s="44">
        <f>KOL_Database!$E$7</f>
      </c>
      <c r="H68" s="44">
        <f>KOL_Database!$G$7</f>
      </c>
      <c r="I68" s="45">
        <f>KOL_Database!$J$7</f>
      </c>
      <c r="J68" s="46">
        <f>KOL_Database!$K$7</f>
      </c>
      <c r="K68" s="47">
        <f>IFERROR(INDEX(Lookup_Lists!$B$170:$O$181,MATCH(Brand_Profile!$F$10,Lookup_Lists!$A$170:$A$181,0),MATCH(KOL_Database!$E$7,Lookup_Lists!$B$169:$O$169,0)),Lookup_Lists!$D$151)</f>
      </c>
      <c r="L68" s="47">
        <f>IF(KOL_Database!$F$7="",Matching_Engine!$BC$68,IF(Brand_Profile!$F$12=KOL_Database!$F$7,100,IF(Matching_Engine!$BA$68=KOL_Database!$E$7,80,IF(Matching_Engine!$BC$68&gt;=80,60,IF(Matching_Engine!$BC$68&gt;=60,40,Lookup_Lists!$D$151)))))</f>
      </c>
      <c r="M68" s="47">
        <f>ROUND((IF(Brand_Profile!$F$62=0,Lookup_Lists!$D$150,ROUND((IF(Brand_Profile!$F$57="",0,IF(ISNUMBER(SEARCH(Brand_Profile!$F$57,Matching_Engine!$BF$68)),1,0))+IF(Brand_Profile!$F$58="",0,IF(ISNUMBER(SEARCH(Brand_Profile!$F$58,Matching_Engine!$BF$68)),1,0))+IF(Brand_Profile!$F$59="",0,IF(ISNUMBER(SEARCH(Brand_Profile!$F$59,Matching_Engine!$BF$68)),1,0))+IF(Brand_Profile!$F$60="",0,IF(ISNUMBER(SEARCH(Brand_Profile!$F$60,Matching_Engine!$BF$68)),1,0))+IF(Brand_Profile!$F$61="",0,IF(ISNUMBER(SEARCH(Brand_Profile!$F$61,Matching_Engine!$BF$68)),1,0)))/Brand_Profile!$F$62*100,0))+IF(Brand_Profile!$F$74=0,Lookup_Lists!$D$150,ROUND((IF(Brand_Profile!$F$69="",0,IF(ISNUMBER(SEARCH(Brand_Profile!$F$69,Matching_Engine!$BF$68)),1,0))+IF(Brand_Profile!$F$70="",0,IF(ISNUMBER(SEARCH(Brand_Profile!$F$70,Matching_Engine!$BF$68)),1,0))+IF(Brand_Profile!$F$71="",0,IF(ISNUMBER(SEARCH(Brand_Profile!$F$71,Matching_Engine!$BF$68)),1,0))+IF(Brand_Profile!$F$72="",0,IF(ISNUMBER(SEARCH(Brand_Profile!$F$72,Matching_Engine!$BF$68)),1,0))+IF(Brand_Profile!$F$73="",0,IF(ISNUMBER(SEARCH(Brand_Profile!$F$73,Matching_Engine!$BF$68)),1,0)))/Brand_Profile!$F$74*100,0)))/2,0)</f>
      </c>
      <c r="N68" s="47">
        <f>ROUND((Matching_Engine!$K$68*Lookup_Lists!$D$110+Matching_Engine!$L$68*Lookup_Lists!$D$111+Matching_Engine!$M$68*Lookup_Lists!$D$112)/(Lookup_Lists!$D$110+Lookup_Lists!$D$111+Lookup_Lists!$D$112),0)</f>
      </c>
      <c r="O68" s="47">
        <f>IF(Brand_Profile!$F$16="",Lookup_Lists!$D$150,MIN(100,ROUND((IFERROR(INDEX(KOL_Database!$W$7:KOL_Database!$AA$7,1,MATCH(Brand_Profile!$F$16,Lookup_Lists!$F$6:$F$10,0)),0)+0.5*IFERROR(INDEX(KOL_Database!$W$7:KOL_Database!$AA$7,1,MATCH(Brand_Profile!$F$17,Lookup_Lists!$F$6:$F$10,0)),0))/Lookup_Lists!$D$142*100,0)))</f>
      </c>
      <c r="P68" s="47">
        <f>IF(OR(Brand_Profile!$F$18="",Brand_Profile!$F$18="Any"),100,IF(Brand_Profile!$F$18="Female",MIN(100,ROUND(KOL_Database!$AB$7/Lookup_Lists!$D$143*100,0)),IF(Brand_Profile!$F$18="Male",MIN(100,ROUND(KOL_Database!$AC$7/Lookup_Lists!$D$143*100,0)),MAX(0,ROUND(100-ABS(KOL_Database!$AB$7-50)*2,0)))))</f>
      </c>
      <c r="Q68" s="47">
        <f>ROUND((IF(Brand_Profile!$F$19="",100,IF(KOL_Database!$AD$7=Brand_Profile!$F$19,100,Lookup_Lists!$D$151))*Lookup_Lists!$D$118+IF(OR(Brand_Profile!$F$20="",Brand_Profile!$F$20="Nasional"),100,IF(KOL_Database!$AE$7="",Lookup_Lists!$D$150,IF(KOL_Database!$AE$7=Brand_Profile!$F$20,100,IF(KOL_Database!$AD$7=Brand_Profile!$F$19,40,Lookup_Lists!$D$151))))*Lookup_Lists!$D$119+IF(OR(Brand_Profile!$F$21="",Brand_Profile!$F$21="Nasional"),100,IF(KOL_Database!$AF$7="",Lookup_Lists!$D$150,IF(KOL_Database!$AF$7=Brand_Profile!$F$21,100,IF(KOL_Database!$AE$7=Brand_Profile!$F$20,60,Lookup_Lists!$D$151))))*Lookup_Lists!$D$120)/(Lookup_Lists!$D$118+Lookup_Lists!$D$119+Lookup_Lists!$D$120),0)</f>
      </c>
      <c r="R68" s="47">
        <f>IF(Brand_Profile!$F$68=0,Lookup_Lists!$D$150,ROUND((IF(Brand_Profile!$F$63="",0,IF(ISNUMBER(SEARCH(Brand_Profile!$F$63,KOL_Database!$AG$7)),1,0))+IF(Brand_Profile!$F$64="",0,IF(ISNUMBER(SEARCH(Brand_Profile!$F$64,KOL_Database!$AG$7)),1,0))+IF(Brand_Profile!$F$65="",0,IF(ISNUMBER(SEARCH(Brand_Profile!$F$65,KOL_Database!$AG$7)),1,0))+IF(Brand_Profile!$F$66="",0,IF(ISNUMBER(SEARCH(Brand_Profile!$F$66,KOL_Database!$AG$7)),1,0))+IF(Brand_Profile!$F$67="",0,IF(ISNUMBER(SEARCH(Brand_Profile!$F$67,KOL_Database!$AG$7)),1,0)))/Brand_Profile!$F$68*100,0))</f>
      </c>
      <c r="S68" s="47">
        <f>ROUND((Matching_Engine!$O$68*Brand_Profile!$F$96+Matching_Engine!$P$68*Brand_Profile!$F$97+Matching_Engine!$Q$68*Brand_Profile!$F$98+Matching_Engine!$R$68*Brand_Profile!$F$99)/MAX(1,Brand_Profile!$F$96+Brand_Profile!$F$97+Brand_Profile!$F$98+Brand_Profile!$F$99),0)</f>
      </c>
      <c r="T68" s="47">
        <f>IF(Brand_Profile!$F$33="",Lookup_Lists!$D$150,Matching_Engine!$BD$68)</f>
      </c>
      <c r="U68" s="47">
        <f>IF(Brand_Profile!$F$34="",Lookup_Lists!$D$150,IF(Brand_Profile!$F$34=KOL_Database!$F$7,100,IF(Matching_Engine!$BE$68=KOL_Database!$E$7,75,IF(Matching_Engine!$BD$68&gt;=80,Lookup_Lists!$D$150,IF(Matching_Engine!$BD$68&gt;=60,35,Lookup_Lists!$D$151)))))</f>
      </c>
      <c r="V68" s="47">
        <f>IF(Brand_Profile!$F$86=0,Lookup_Lists!$D$150,ROUND((IF(Brand_Profile!$F$81="",0,IF(ISNUMBER(SEARCH(Brand_Profile!$F$81,Matching_Engine!$BG$68)),1,0))+IF(Brand_Profile!$F$82="",0,IF(ISNUMBER(SEARCH(Brand_Profile!$F$82,Matching_Engine!$BG$68)),1,0))+IF(Brand_Profile!$F$83="",0,IF(ISNUMBER(SEARCH(Brand_Profile!$F$83,Matching_Engine!$BG$68)),1,0))+IF(Brand_Profile!$F$84="",0,IF(ISNUMBER(SEARCH(Brand_Profile!$F$84,Matching_Engine!$BG$68)),1,0))+IF(Brand_Profile!$F$85="",0,IF(ISNUMBER(SEARCH(Brand_Profile!$F$85,Matching_Engine!$BG$68)),1,0)))/Brand_Profile!$F$86*100,0))</f>
      </c>
      <c r="W68" s="47">
        <f>IF(Brand_Profile!$F$39="",Lookup_Lists!$D$150,IFERROR(INDEX(Lookup_Lists!$B$237:$K$246,MATCH(Brand_Profile!$F$39,Lookup_Lists!$A$237:$A$246,0),MATCH(KOL_Database!$AJ$7,Lookup_Lists!$B$236:$K$236,0)),45))</f>
      </c>
      <c r="X68" s="47">
        <f>ROUND((Matching_Engine!$T$68*Lookup_Lists!$D$121+Matching_Engine!$U$68*Lookup_Lists!$D$122+Matching_Engine!$V$68*Lookup_Lists!$D$123+Matching_Engine!$W$68*Lookup_Lists!$D$124)/(Lookup_Lists!$D$121+Lookup_Lists!$D$122+Lookup_Lists!$D$123+Lookup_Lists!$D$124),0)</f>
      </c>
      <c r="Y68" s="47">
        <f>MIN(100,MAX(IFERROR(INDEX(Lookup_Lists!$B$202:$M$211,MATCH(Brand_Profile!$F$25,Lookup_Lists!$A$202:$A$211,0),MATCH(KOL_Database!$AK$7,Lookup_Lists!$B$201:$M$201,0)),40),IF(KOL_Database!$AK$7=Brand_Profile!$F$41,95,0)))</f>
      </c>
      <c r="Z68" s="47">
        <f>IFERROR(INDEX(Lookup_Lists!$B$215:$K$222,MATCH(Brand_Profile!$F$27,Lookup_Lists!$A$215:$A$222,0),MATCH(KOL_Database!$AJ$7,Lookup_Lists!$B$214:$K$214,0)),45)</f>
      </c>
      <c r="AA68" s="47">
        <f>ROUND((IF(Brand_Profile!$F$80=0,Lookup_Lists!$D$150,ROUND((IF(Brand_Profile!$F$75="",0,IF(ISNUMBER(SEARCH(Brand_Profile!$F$75,KOL_Database!$AL$7)),1,0))+IF(Brand_Profile!$F$76="",0,IF(ISNUMBER(SEARCH(Brand_Profile!$F$76,KOL_Database!$AL$7)),1,0))+IF(Brand_Profile!$F$77="",0,IF(ISNUMBER(SEARCH(Brand_Profile!$F$77,KOL_Database!$AL$7)),1,0))+IF(Brand_Profile!$F$78="",0,IF(ISNUMBER(SEARCH(Brand_Profile!$F$78,KOL_Database!$AL$7)),1,0))+IF(Brand_Profile!$F$79="",0,IF(ISNUMBER(SEARCH(Brand_Profile!$F$79,KOL_Database!$AL$7)),1,0)))/Brand_Profile!$F$80*100,0))+IF(Brand_Profile!$F$92=0,Lookup_Lists!$D$150,ROUND((IF(Brand_Profile!$F$87="",0,IF(ISNUMBER(SEARCH(Brand_Profile!$F$87,KOL_Database!$AL$7)),1,0))+IF(Brand_Profile!$F$88="",0,IF(ISNUMBER(SEARCH(Brand_Profile!$F$88,KOL_Database!$AL$7)),1,0))+IF(Brand_Profile!$F$89="",0,IF(ISNUMBER(SEARCH(Brand_Profile!$F$89,KOL_Database!$AL$7)),1,0))+IF(Brand_Profile!$F$90="",0,IF(ISNUMBER(SEARCH(Brand_Profile!$F$90,KOL_Database!$AL$7)),1,0))+IF(Brand_Profile!$F$91="",0,IF(ISNUMBER(SEARCH(Brand_Profile!$F$91,KOL_Database!$AL$7)),1,0)))/Brand_Profile!$F$92*100,0)))/2,0)</f>
      </c>
      <c r="AB68" s="47">
        <f>IFERROR(INDEX(Lookup_Lists!$B$226:$K$233,MATCH(Brand_Profile!$F$30,Lookup_Lists!$A$226:$A$233,0),MATCH(KOL_Database!$AJ$7,Lookup_Lists!$B$225:$K$225,0)),45)</f>
      </c>
      <c r="AC68" s="47">
        <f>ROUND((Matching_Engine!$Y$68*Lookup_Lists!$D$125+Matching_Engine!$Z$68*Lookup_Lists!$D$126+Matching_Engine!$AA$68*Lookup_Lists!$D$127+Matching_Engine!$AB$68*Lookup_Lists!$D$128)/(Lookup_Lists!$D$125+Lookup_Lists!$D$126+Lookup_Lists!$D$127+Lookup_Lists!$D$128),0)</f>
      </c>
      <c r="AD68" s="47">
        <f>IF(KOL_Database!$K$7="",0,MIN(100,ROUND(KOL_Database!$K$7/Lookup_Lists!$D$141*100,0)))</f>
      </c>
      <c r="AE68" s="47">
        <f>IF(KOL_Database!$R$7="",0,MIN(100,MAX(0,KOL_Database!$R$7)))</f>
      </c>
      <c r="AF68" s="47">
        <f>IF(KOL_Database!$P$7="",0,MIN(100,MAX(0,KOL_Database!$P$7)))</f>
      </c>
      <c r="AG68" s="47">
        <f>IF(KOL_Database!$Q$7="",0,MIN(100,MAX(0,KOL_Database!$Q$7)))</f>
      </c>
      <c r="AH68" s="47">
        <f>IF(OR(KOL_Database!$J$7="",KOL_Database!$J$7=0,KOL_Database!$L$7=""),0,MIN(100,ROUND(KOL_Database!$L$7/KOL_Database!$J$7/Lookup_Lists!$D$144*100,0)))</f>
      </c>
      <c r="AI68" s="47">
        <f>IF(KOL_Database!$N$7="",0,MIN(100,MAX(0,ROUND((KOL_Database!$N$7+2)/(Lookup_Lists!$D$145+2)*100,0))))</f>
      </c>
      <c r="AJ68" s="47">
        <f>ROUND((Matching_Engine!$AD$68*Lookup_Lists!$D$129+Matching_Engine!$AE$68*Lookup_Lists!$D$130+Matching_Engine!$AF$68*Lookup_Lists!$D$131+Matching_Engine!$AG$68*Lookup_Lists!$D$132+Matching_Engine!$AH$68*Lookup_Lists!$D$133+Matching_Engine!$AI$68*Lookup_Lists!$D$134)/(Lookup_Lists!$D$129+Lookup_Lists!$D$130+Lookup_Lists!$D$131+Lookup_Lists!$D$132+Lookup_Lists!$D$133+Lookup_Lists!$D$134),0)</f>
      </c>
      <c r="AK68" s="47">
        <f>IF(KOL_Database!$AT$7="",0,MIN(100,MAX(0,KOL_Database!$AT$7)))</f>
      </c>
      <c r="AL68" s="47">
        <f>IF(KOL_Database!$AU$7="",0,KOL_Database!$AU$7)</f>
      </c>
      <c r="AM68" s="44">
        <f>IF(KOL_Database!$AV$7="","None",KOL_Database!$AV$7)</f>
      </c>
      <c r="AN68" s="48">
        <f>IF(Matching_Engine!$AM$68="High",Lookup_Lists!$D$137,IF(Matching_Engine!$AM$68="Medium",Lookup_Lists!$D$138,IF(Matching_Engine!$AM$68="Low",Lookup_Lists!$D$139,Lookup_Lists!$D$140)))</f>
      </c>
      <c r="AO68" s="47">
        <f>ROUND(MIN(100,MAX(0,(Matching_Engine!$AK$68*Lookup_Lists!$D$135+(100-Matching_Engine!$AL$68)*Lookup_Lists!$D$136)/(Lookup_Lists!$D$135+Lookup_Lists!$D$136)*Matching_Engine!$AN$68)),0)</f>
      </c>
      <c r="AP68" s="49">
        <f>ROUND((Matching_Engine!$N$68*Lookup_Lists!$D$104+Matching_Engine!$S$68*Lookup_Lists!$D$105+Matching_Engine!$X$68*Lookup_Lists!$D$106+Matching_Engine!$AC$68*Lookup_Lists!$D$107+Matching_Engine!$AJ$68*Lookup_Lists!$D$108+Matching_Engine!$AO$68*Lookup_Lists!$D$109)/MAX(1,(Lookup_Lists!$D$104+Lookup_Lists!$D$105+Lookup_Lists!$D$106+Lookup_Lists!$D$107+Lookup_Lists!$D$108+Lookup_Lists!$D$109)),0)</f>
      </c>
      <c r="AQ68" s="44">
        <f>IF(Matching_Engine!$AP$68&gt;=Lookup_Lists!$D$152,"Excellent Match",IF(Matching_Engine!$AP$68&gt;=Lookup_Lists!$D$153,"Strong Match",IF(Matching_Engine!$AP$68&gt;=Lookup_Lists!$D$154,"Good Match",IF(Matching_Engine!$AP$68&gt;=Lookup_Lists!$D$155,"Moderate Match","Low Match"))))</f>
      </c>
      <c r="AR68" s="47">
        <f>KOL_Database!$BE$7</f>
      </c>
      <c r="AS68" s="44">
        <f>IF(Matching_Engine!$AR$68&gt;=Lookup_Lists!$D$159,"High",IF(Matching_Engine!$AR$68&gt;=Lookup_Lists!$D$160,"Medium","Limited Data"))</f>
      </c>
      <c r="AT68" s="47">
        <f>ROUND((Matching_Engine!$N$68+Matching_Engine!$X$68+Matching_Engine!$AC$68)/3,0)</f>
      </c>
      <c r="AU68" s="47">
        <f>ROUND(((100-Matching_Engine!$AL$68)*Lookup_Lists!$D$162+IF(KOL_Database!$BD$7="",Lookup_Lists!$D$150,KOL_Database!$BD$7)*Lookup_Lists!$D$163+Matching_Engine!$AI$68*Lookup_Lists!$D$164+Matching_Engine!$AD$68*Lookup_Lists!$D$165)/(Lookup_Lists!$D$162+Lookup_Lists!$D$163+Lookup_Lists!$D$164+Lookup_Lists!$D$165),0)</f>
      </c>
      <c r="AV68" s="44">
        <f>IF(Matching_Engine!$AW$68="","PASS","EXCLUDED")</f>
      </c>
      <c r="AW68" s="44">
        <f>IF(ISERROR(SEARCH(KOL_Database!$D$7,Brand_Profile!$F$32)),"Platform not in Preferred Platform",IF(AND(Brand_Profile!$F$36&gt;0,KOL_Database!$J$7&lt;Brand_Profile!$F$36),"Followers below Preferred Follower Range",IF(AND(Brand_Profile!$F$37&gt;0,KOL_Database!$J$7&gt;Brand_Profile!$F$37),"Followers above Preferred Follower Range",IF(AND(Brand_Profile!$F$38&gt;0,IF(KOL_Database!$K$7="",0,KOL_Database!$K$7)&lt;Brand_Profile!$F$38),"Engagement Rate below Minimum Engagement Rate",IF(ISERROR(SEARCH(KOL_Database!$G$7,Brand_Profile!$F$35)),"Tier not in Preferred Tier",IF(AND(Brand_Profile!$F$43&gt;0,Matching_Engine!$AE$68&lt;Brand_Profile!$F$43),"Audience Quality below Minimum Audience Quality",IF(AND(Brand_Profile!$F$44&gt;0,Matching_Engine!$AK$68&lt;Brand_Profile!$F$44),"Brand Safety below Minimum Brand Safety",IF(AND(Brand_Profile!$F$47="Yes",KOL_Database!$AD$7&lt;&gt;Brand_Profile!$F$19),"Audience Country does not match Target Country",IF(AND(Brand_Profile!$F$46="Yes",KOL_Database!$E$7&lt;&gt;Brand_Profile!$F$33),"Category is not the Preferred Category",IF(AND(Brand_Profile!$F$48&gt;0,Matching_Engine!$AL$68&gt;Brand_Profile!$F$48),"Competitor Saturation above Max Competitor Saturation",IF(AND(Brand_Profile!$F$50="Yes",KOL_Database!$AW$7="Yes"),"Already Selected",IF(AND(Brand_Profile!$F$51="Yes",KOL_Database!$AX$7="Yes"),"Already in Cart",IF(AND(Brand_Profile!$F$52="Yes",KOL_Database!$AY$7="Yes"),"Existing Partner",IF(AND(Brand_Profile!$F$53="Yes",KOL_Database!$AZ$7="Yes"),"Excluded Creator",IF(AND(Brand_Profile!$F$49&gt;0,Matching_Engine!$AP$68&lt;Brand_Profile!$F$49),"Brand Match below Minimum Brand Match","")))))))))))))))</f>
      </c>
      <c r="AX68" s="44">
        <f>IF(Matching_Engine!$AV$68="EXCLUDED","Excluded",IF(Matching_Engine!$AP$68&gt;=Lookup_Lists!$D$156,"Highly Recommended",IF(Matching_Engine!$AP$68&gt;=Lookup_Lists!$D$157,"Recommended",IF(Matching_Engine!$AP$68&gt;=Lookup_Lists!$D$158,"Consider","Low Priority"))))</f>
      </c>
      <c r="AY68" s="47">
        <f>IF(Matching_Engine!$AV$68="PASS",Matching_Engine!$AP$68,"")</f>
      </c>
      <c r="AZ68" s="44">
        <f>Matching_Engine!$A$68&amp;"|"&amp;Matching_Engine!$C$68</f>
      </c>
      <c r="BA68" s="44">
        <f>IFERROR(INDEX(Lookup_Lists!$B$51:$B$92,MATCH(Brand_Profile!$F$12,Lookup_Lists!$A$51:$A$92,0)),"")</f>
      </c>
      <c r="BB68" s="44">
        <f>IFERROR(INDEX(Lookup_Lists!$B$51:$B$92,MATCH(KOL_Database!$F$7,Lookup_Lists!$A$51:$A$92,0)),"")</f>
      </c>
      <c r="BC68" s="47">
        <f>IFERROR(INDEX(Lookup_Lists!$B$185:$O$198,MATCH(Matching_Engine!$BA$68,Lookup_Lists!$A$185:$A$198,0),MATCH(KOL_Database!$E$7,Lookup_Lists!$B$184:$O$184,0)),Lookup_Lists!$D$151)</f>
      </c>
      <c r="BD68" s="47">
        <f>IFERROR(INDEX(Lookup_Lists!$B$185:$O$198,MATCH(Brand_Profile!$F$33,Lookup_Lists!$A$185:$A$198,0),MATCH(KOL_Database!$E$7,Lookup_Lists!$B$184:$O$184,0)),Lookup_Lists!$D$151)</f>
      </c>
      <c r="BE68" s="44">
        <f>IFERROR(INDEX(Lookup_Lists!$B$51:$B$92,MATCH(Brand_Profile!$F$34,Lookup_Lists!$A$51:$A$92,0)),"")</f>
      </c>
      <c r="BF68" s="44">
        <f>KOL_Database!$AI$7&amp;", "&amp;KOL_Database!$AG$7&amp;", "&amp;KOL_Database!$F$7&amp;", "&amp;KOL_Database!$E$7</f>
      </c>
      <c r="BG68" s="44">
        <f>KOL_Database!$AI$7&amp;", "&amp;KOL_Database!$AG$7</f>
      </c>
    </row>
    <row r="69" spans="1:59" x14ac:dyDescent="0.25">
      <c r="A69" s="43" t="s">
        <v>77</v>
      </c>
      <c r="B69" s="44">
        <f>Brand_Profile!$F$9</f>
      </c>
      <c r="C69" s="44">
        <f>KOL_Database!$A$8</f>
      </c>
      <c r="D69" s="44">
        <f>KOL_Database!$B$8</f>
      </c>
      <c r="E69" s="44">
        <f>KOL_Database!$C$8</f>
      </c>
      <c r="F69" s="44">
        <f>KOL_Database!$D$8</f>
      </c>
      <c r="G69" s="44">
        <f>KOL_Database!$E$8</f>
      </c>
      <c r="H69" s="44">
        <f>KOL_Database!$G$8</f>
      </c>
      <c r="I69" s="45">
        <f>KOL_Database!$J$8</f>
      </c>
      <c r="J69" s="46">
        <f>KOL_Database!$K$8</f>
      </c>
      <c r="K69" s="47">
        <f>IFERROR(INDEX(Lookup_Lists!$B$170:$O$181,MATCH(Brand_Profile!$F$10,Lookup_Lists!$A$170:$A$181,0),MATCH(KOL_Database!$E$8,Lookup_Lists!$B$169:$O$169,0)),Lookup_Lists!$D$151)</f>
      </c>
      <c r="L69" s="47">
        <f>IF(KOL_Database!$F$8="",Matching_Engine!$BC$69,IF(Brand_Profile!$F$12=KOL_Database!$F$8,100,IF(Matching_Engine!$BA$69=KOL_Database!$E$8,80,IF(Matching_Engine!$BC$69&gt;=80,60,IF(Matching_Engine!$BC$69&gt;=60,40,Lookup_Lists!$D$151)))))</f>
      </c>
      <c r="M69" s="47">
        <f>ROUND((IF(Brand_Profile!$F$62=0,Lookup_Lists!$D$150,ROUND((IF(Brand_Profile!$F$57="",0,IF(ISNUMBER(SEARCH(Brand_Profile!$F$57,Matching_Engine!$BF$69)),1,0))+IF(Brand_Profile!$F$58="",0,IF(ISNUMBER(SEARCH(Brand_Profile!$F$58,Matching_Engine!$BF$69)),1,0))+IF(Brand_Profile!$F$59="",0,IF(ISNUMBER(SEARCH(Brand_Profile!$F$59,Matching_Engine!$BF$69)),1,0))+IF(Brand_Profile!$F$60="",0,IF(ISNUMBER(SEARCH(Brand_Profile!$F$60,Matching_Engine!$BF$69)),1,0))+IF(Brand_Profile!$F$61="",0,IF(ISNUMBER(SEARCH(Brand_Profile!$F$61,Matching_Engine!$BF$69)),1,0)))/Brand_Profile!$F$62*100,0))+IF(Brand_Profile!$F$74=0,Lookup_Lists!$D$150,ROUND((IF(Brand_Profile!$F$69="",0,IF(ISNUMBER(SEARCH(Brand_Profile!$F$69,Matching_Engine!$BF$69)),1,0))+IF(Brand_Profile!$F$70="",0,IF(ISNUMBER(SEARCH(Brand_Profile!$F$70,Matching_Engine!$BF$69)),1,0))+IF(Brand_Profile!$F$71="",0,IF(ISNUMBER(SEARCH(Brand_Profile!$F$71,Matching_Engine!$BF$69)),1,0))+IF(Brand_Profile!$F$72="",0,IF(ISNUMBER(SEARCH(Brand_Profile!$F$72,Matching_Engine!$BF$69)),1,0))+IF(Brand_Profile!$F$73="",0,IF(ISNUMBER(SEARCH(Brand_Profile!$F$73,Matching_Engine!$BF$69)),1,0)))/Brand_Profile!$F$74*100,0)))/2,0)</f>
      </c>
      <c r="N69" s="47">
        <f>ROUND((Matching_Engine!$K$69*Lookup_Lists!$D$110+Matching_Engine!$L$69*Lookup_Lists!$D$111+Matching_Engine!$M$69*Lookup_Lists!$D$112)/(Lookup_Lists!$D$110+Lookup_Lists!$D$111+Lookup_Lists!$D$112),0)</f>
      </c>
      <c r="O69" s="47">
        <f>IF(Brand_Profile!$F$16="",Lookup_Lists!$D$150,MIN(100,ROUND((IFERROR(INDEX(KOL_Database!$W$8:KOL_Database!$AA$8,1,MATCH(Brand_Profile!$F$16,Lookup_Lists!$F$6:$F$10,0)),0)+0.5*IFERROR(INDEX(KOL_Database!$W$8:KOL_Database!$AA$8,1,MATCH(Brand_Profile!$F$17,Lookup_Lists!$F$6:$F$10,0)),0))/Lookup_Lists!$D$142*100,0)))</f>
      </c>
      <c r="P69" s="47">
        <f>IF(OR(Brand_Profile!$F$18="",Brand_Profile!$F$18="Any"),100,IF(Brand_Profile!$F$18="Female",MIN(100,ROUND(KOL_Database!$AB$8/Lookup_Lists!$D$143*100,0)),IF(Brand_Profile!$F$18="Male",MIN(100,ROUND(KOL_Database!$AC$8/Lookup_Lists!$D$143*100,0)),MAX(0,ROUND(100-ABS(KOL_Database!$AB$8-50)*2,0)))))</f>
      </c>
      <c r="Q69" s="47">
        <f>ROUND((IF(Brand_Profile!$F$19="",100,IF(KOL_Database!$AD$8=Brand_Profile!$F$19,100,Lookup_Lists!$D$151))*Lookup_Lists!$D$118+IF(OR(Brand_Profile!$F$20="",Brand_Profile!$F$20="Nasional"),100,IF(KOL_Database!$AE$8="",Lookup_Lists!$D$150,IF(KOL_Database!$AE$8=Brand_Profile!$F$20,100,IF(KOL_Database!$AD$8=Brand_Profile!$F$19,40,Lookup_Lists!$D$151))))*Lookup_Lists!$D$119+IF(OR(Brand_Profile!$F$21="",Brand_Profile!$F$21="Nasional"),100,IF(KOL_Database!$AF$8="",Lookup_Lists!$D$150,IF(KOL_Database!$AF$8=Brand_Profile!$F$21,100,IF(KOL_Database!$AE$8=Brand_Profile!$F$20,60,Lookup_Lists!$D$151))))*Lookup_Lists!$D$120)/(Lookup_Lists!$D$118+Lookup_Lists!$D$119+Lookup_Lists!$D$120),0)</f>
      </c>
      <c r="R69" s="47">
        <f>IF(Brand_Profile!$F$68=0,Lookup_Lists!$D$150,ROUND((IF(Brand_Profile!$F$63="",0,IF(ISNUMBER(SEARCH(Brand_Profile!$F$63,KOL_Database!$AG$8)),1,0))+IF(Brand_Profile!$F$64="",0,IF(ISNUMBER(SEARCH(Brand_Profile!$F$64,KOL_Database!$AG$8)),1,0))+IF(Brand_Profile!$F$65="",0,IF(ISNUMBER(SEARCH(Brand_Profile!$F$65,KOL_Database!$AG$8)),1,0))+IF(Brand_Profile!$F$66="",0,IF(ISNUMBER(SEARCH(Brand_Profile!$F$66,KOL_Database!$AG$8)),1,0))+IF(Brand_Profile!$F$67="",0,IF(ISNUMBER(SEARCH(Brand_Profile!$F$67,KOL_Database!$AG$8)),1,0)))/Brand_Profile!$F$68*100,0))</f>
      </c>
      <c r="S69" s="47">
        <f>ROUND((Matching_Engine!$O$69*Brand_Profile!$F$96+Matching_Engine!$P$69*Brand_Profile!$F$97+Matching_Engine!$Q$69*Brand_Profile!$F$98+Matching_Engine!$R$69*Brand_Profile!$F$99)/MAX(1,Brand_Profile!$F$96+Brand_Profile!$F$97+Brand_Profile!$F$98+Brand_Profile!$F$99),0)</f>
      </c>
      <c r="T69" s="47">
        <f>IF(Brand_Profile!$F$33="",Lookup_Lists!$D$150,Matching_Engine!$BD$69)</f>
      </c>
      <c r="U69" s="47">
        <f>IF(Brand_Profile!$F$34="",Lookup_Lists!$D$150,IF(Brand_Profile!$F$34=KOL_Database!$F$8,100,IF(Matching_Engine!$BE$69=KOL_Database!$E$8,75,IF(Matching_Engine!$BD$69&gt;=80,Lookup_Lists!$D$150,IF(Matching_Engine!$BD$69&gt;=60,35,Lookup_Lists!$D$151)))))</f>
      </c>
      <c r="V69" s="47">
        <f>IF(Brand_Profile!$F$86=0,Lookup_Lists!$D$150,ROUND((IF(Brand_Profile!$F$81="",0,IF(ISNUMBER(SEARCH(Brand_Profile!$F$81,Matching_Engine!$BG$69)),1,0))+IF(Brand_Profile!$F$82="",0,IF(ISNUMBER(SEARCH(Brand_Profile!$F$82,Matching_Engine!$BG$69)),1,0))+IF(Brand_Profile!$F$83="",0,IF(ISNUMBER(SEARCH(Brand_Profile!$F$83,Matching_Engine!$BG$69)),1,0))+IF(Brand_Profile!$F$84="",0,IF(ISNUMBER(SEARCH(Brand_Profile!$F$84,Matching_Engine!$BG$69)),1,0))+IF(Brand_Profile!$F$85="",0,IF(ISNUMBER(SEARCH(Brand_Profile!$F$85,Matching_Engine!$BG$69)),1,0)))/Brand_Profile!$F$86*100,0))</f>
      </c>
      <c r="W69" s="47">
        <f>IF(Brand_Profile!$F$39="",Lookup_Lists!$D$150,IFERROR(INDEX(Lookup_Lists!$B$237:$K$246,MATCH(Brand_Profile!$F$39,Lookup_Lists!$A$237:$A$246,0),MATCH(KOL_Database!$AJ$8,Lookup_Lists!$B$236:$K$236,0)),45))</f>
      </c>
      <c r="X69" s="47">
        <f>ROUND((Matching_Engine!$T$69*Lookup_Lists!$D$121+Matching_Engine!$U$69*Lookup_Lists!$D$122+Matching_Engine!$V$69*Lookup_Lists!$D$123+Matching_Engine!$W$69*Lookup_Lists!$D$124)/(Lookup_Lists!$D$121+Lookup_Lists!$D$122+Lookup_Lists!$D$123+Lookup_Lists!$D$124),0)</f>
      </c>
      <c r="Y69" s="47">
        <f>MIN(100,MAX(IFERROR(INDEX(Lookup_Lists!$B$202:$M$211,MATCH(Brand_Profile!$F$25,Lookup_Lists!$A$202:$A$211,0),MATCH(KOL_Database!$AK$8,Lookup_Lists!$B$201:$M$201,0)),40),IF(KOL_Database!$AK$8=Brand_Profile!$F$41,95,0)))</f>
      </c>
      <c r="Z69" s="47">
        <f>IFERROR(INDEX(Lookup_Lists!$B$215:$K$222,MATCH(Brand_Profile!$F$27,Lookup_Lists!$A$215:$A$222,0),MATCH(KOL_Database!$AJ$8,Lookup_Lists!$B$214:$K$214,0)),45)</f>
      </c>
      <c r="AA69" s="47">
        <f>ROUND((IF(Brand_Profile!$F$80=0,Lookup_Lists!$D$150,ROUND((IF(Brand_Profile!$F$75="",0,IF(ISNUMBER(SEARCH(Brand_Profile!$F$75,KOL_Database!$AL$8)),1,0))+IF(Brand_Profile!$F$76="",0,IF(ISNUMBER(SEARCH(Brand_Profile!$F$76,KOL_Database!$AL$8)),1,0))+IF(Brand_Profile!$F$77="",0,IF(ISNUMBER(SEARCH(Brand_Profile!$F$77,KOL_Database!$AL$8)),1,0))+IF(Brand_Profile!$F$78="",0,IF(ISNUMBER(SEARCH(Brand_Profile!$F$78,KOL_Database!$AL$8)),1,0))+IF(Brand_Profile!$F$79="",0,IF(ISNUMBER(SEARCH(Brand_Profile!$F$79,KOL_Database!$AL$8)),1,0)))/Brand_Profile!$F$80*100,0))+IF(Brand_Profile!$F$92=0,Lookup_Lists!$D$150,ROUND((IF(Brand_Profile!$F$87="",0,IF(ISNUMBER(SEARCH(Brand_Profile!$F$87,KOL_Database!$AL$8)),1,0))+IF(Brand_Profile!$F$88="",0,IF(ISNUMBER(SEARCH(Brand_Profile!$F$88,KOL_Database!$AL$8)),1,0))+IF(Brand_Profile!$F$89="",0,IF(ISNUMBER(SEARCH(Brand_Profile!$F$89,KOL_Database!$AL$8)),1,0))+IF(Brand_Profile!$F$90="",0,IF(ISNUMBER(SEARCH(Brand_Profile!$F$90,KOL_Database!$AL$8)),1,0))+IF(Brand_Profile!$F$91="",0,IF(ISNUMBER(SEARCH(Brand_Profile!$F$91,KOL_Database!$AL$8)),1,0)))/Brand_Profile!$F$92*100,0)))/2,0)</f>
      </c>
      <c r="AB69" s="47">
        <f>IFERROR(INDEX(Lookup_Lists!$B$226:$K$233,MATCH(Brand_Profile!$F$30,Lookup_Lists!$A$226:$A$233,0),MATCH(KOL_Database!$AJ$8,Lookup_Lists!$B$225:$K$225,0)),45)</f>
      </c>
      <c r="AC69" s="47">
        <f>ROUND((Matching_Engine!$Y$69*Lookup_Lists!$D$125+Matching_Engine!$Z$69*Lookup_Lists!$D$126+Matching_Engine!$AA$69*Lookup_Lists!$D$127+Matching_Engine!$AB$69*Lookup_Lists!$D$128)/(Lookup_Lists!$D$125+Lookup_Lists!$D$126+Lookup_Lists!$D$127+Lookup_Lists!$D$128),0)</f>
      </c>
      <c r="AD69" s="47">
        <f>IF(KOL_Database!$K$8="",0,MIN(100,ROUND(KOL_Database!$K$8/Lookup_Lists!$D$141*100,0)))</f>
      </c>
      <c r="AE69" s="47">
        <f>IF(KOL_Database!$R$8="",0,MIN(100,MAX(0,KOL_Database!$R$8)))</f>
      </c>
      <c r="AF69" s="47">
        <f>IF(KOL_Database!$P$8="",0,MIN(100,MAX(0,KOL_Database!$P$8)))</f>
      </c>
      <c r="AG69" s="47">
        <f>IF(KOL_Database!$Q$8="",0,MIN(100,MAX(0,KOL_Database!$Q$8)))</f>
      </c>
      <c r="AH69" s="47">
        <f>IF(OR(KOL_Database!$J$8="",KOL_Database!$J$8=0,KOL_Database!$L$8=""),0,MIN(100,ROUND(KOL_Database!$L$8/KOL_Database!$J$8/Lookup_Lists!$D$144*100,0)))</f>
      </c>
      <c r="AI69" s="47">
        <f>IF(KOL_Database!$N$8="",0,MIN(100,MAX(0,ROUND((KOL_Database!$N$8+2)/(Lookup_Lists!$D$145+2)*100,0))))</f>
      </c>
      <c r="AJ69" s="47">
        <f>ROUND((Matching_Engine!$AD$69*Lookup_Lists!$D$129+Matching_Engine!$AE$69*Lookup_Lists!$D$130+Matching_Engine!$AF$69*Lookup_Lists!$D$131+Matching_Engine!$AG$69*Lookup_Lists!$D$132+Matching_Engine!$AH$69*Lookup_Lists!$D$133+Matching_Engine!$AI$69*Lookup_Lists!$D$134)/(Lookup_Lists!$D$129+Lookup_Lists!$D$130+Lookup_Lists!$D$131+Lookup_Lists!$D$132+Lookup_Lists!$D$133+Lookup_Lists!$D$134),0)</f>
      </c>
      <c r="AK69" s="47">
        <f>IF(KOL_Database!$AT$8="",0,MIN(100,MAX(0,KOL_Database!$AT$8)))</f>
      </c>
      <c r="AL69" s="47">
        <f>IF(KOL_Database!$AU$8="",0,KOL_Database!$AU$8)</f>
      </c>
      <c r="AM69" s="44">
        <f>IF(KOL_Database!$AV$8="","None",KOL_Database!$AV$8)</f>
      </c>
      <c r="AN69" s="48">
        <f>IF(Matching_Engine!$AM$69="High",Lookup_Lists!$D$137,IF(Matching_Engine!$AM$69="Medium",Lookup_Lists!$D$138,IF(Matching_Engine!$AM$69="Low",Lookup_Lists!$D$139,Lookup_Lists!$D$140)))</f>
      </c>
      <c r="AO69" s="47">
        <f>ROUND(MIN(100,MAX(0,(Matching_Engine!$AK$69*Lookup_Lists!$D$135+(100-Matching_Engine!$AL$69)*Lookup_Lists!$D$136)/(Lookup_Lists!$D$135+Lookup_Lists!$D$136)*Matching_Engine!$AN$69)),0)</f>
      </c>
      <c r="AP69" s="49">
        <f>ROUND((Matching_Engine!$N$69*Lookup_Lists!$D$104+Matching_Engine!$S$69*Lookup_Lists!$D$105+Matching_Engine!$X$69*Lookup_Lists!$D$106+Matching_Engine!$AC$69*Lookup_Lists!$D$107+Matching_Engine!$AJ$69*Lookup_Lists!$D$108+Matching_Engine!$AO$69*Lookup_Lists!$D$109)/MAX(1,(Lookup_Lists!$D$104+Lookup_Lists!$D$105+Lookup_Lists!$D$106+Lookup_Lists!$D$107+Lookup_Lists!$D$108+Lookup_Lists!$D$109)),0)</f>
      </c>
      <c r="AQ69" s="44">
        <f>IF(Matching_Engine!$AP$69&gt;=Lookup_Lists!$D$152,"Excellent Match",IF(Matching_Engine!$AP$69&gt;=Lookup_Lists!$D$153,"Strong Match",IF(Matching_Engine!$AP$69&gt;=Lookup_Lists!$D$154,"Good Match",IF(Matching_Engine!$AP$69&gt;=Lookup_Lists!$D$155,"Moderate Match","Low Match"))))</f>
      </c>
      <c r="AR69" s="47">
        <f>KOL_Database!$BE$8</f>
      </c>
      <c r="AS69" s="44">
        <f>IF(Matching_Engine!$AR$69&gt;=Lookup_Lists!$D$159,"High",IF(Matching_Engine!$AR$69&gt;=Lookup_Lists!$D$160,"Medium","Limited Data"))</f>
      </c>
      <c r="AT69" s="47">
        <f>ROUND((Matching_Engine!$N$69+Matching_Engine!$X$69+Matching_Engine!$AC$69)/3,0)</f>
      </c>
      <c r="AU69" s="47">
        <f>ROUND(((100-Matching_Engine!$AL$69)*Lookup_Lists!$D$162+IF(KOL_Database!$BD$8="",Lookup_Lists!$D$150,KOL_Database!$BD$8)*Lookup_Lists!$D$163+Matching_Engine!$AI$69*Lookup_Lists!$D$164+Matching_Engine!$AD$69*Lookup_Lists!$D$165)/(Lookup_Lists!$D$162+Lookup_Lists!$D$163+Lookup_Lists!$D$164+Lookup_Lists!$D$165),0)</f>
      </c>
      <c r="AV69" s="44">
        <f>IF(Matching_Engine!$AW$69="","PASS","EXCLUDED")</f>
      </c>
      <c r="AW69" s="44">
        <f>IF(ISERROR(SEARCH(KOL_Database!$D$8,Brand_Profile!$F$32)),"Platform not in Preferred Platform",IF(AND(Brand_Profile!$F$36&gt;0,KOL_Database!$J$8&lt;Brand_Profile!$F$36),"Followers below Preferred Follower Range",IF(AND(Brand_Profile!$F$37&gt;0,KOL_Database!$J$8&gt;Brand_Profile!$F$37),"Followers above Preferred Follower Range",IF(AND(Brand_Profile!$F$38&gt;0,IF(KOL_Database!$K$8="",0,KOL_Database!$K$8)&lt;Brand_Profile!$F$38),"Engagement Rate below Minimum Engagement Rate",IF(ISERROR(SEARCH(KOL_Database!$G$8,Brand_Profile!$F$35)),"Tier not in Preferred Tier",IF(AND(Brand_Profile!$F$43&gt;0,Matching_Engine!$AE$69&lt;Brand_Profile!$F$43),"Audience Quality below Minimum Audience Quality",IF(AND(Brand_Profile!$F$44&gt;0,Matching_Engine!$AK$69&lt;Brand_Profile!$F$44),"Brand Safety below Minimum Brand Safety",IF(AND(Brand_Profile!$F$47="Yes",KOL_Database!$AD$8&lt;&gt;Brand_Profile!$F$19),"Audience Country does not match Target Country",IF(AND(Brand_Profile!$F$46="Yes",KOL_Database!$E$8&lt;&gt;Brand_Profile!$F$33),"Category is not the Preferred Category",IF(AND(Brand_Profile!$F$48&gt;0,Matching_Engine!$AL$69&gt;Brand_Profile!$F$48),"Competitor Saturation above Max Competitor Saturation",IF(AND(Brand_Profile!$F$50="Yes",KOL_Database!$AW$8="Yes"),"Already Selected",IF(AND(Brand_Profile!$F$51="Yes",KOL_Database!$AX$8="Yes"),"Already in Cart",IF(AND(Brand_Profile!$F$52="Yes",KOL_Database!$AY$8="Yes"),"Existing Partner",IF(AND(Brand_Profile!$F$53="Yes",KOL_Database!$AZ$8="Yes"),"Excluded Creator",IF(AND(Brand_Profile!$F$49&gt;0,Matching_Engine!$AP$69&lt;Brand_Profile!$F$49),"Brand Match below Minimum Brand Match","")))))))))))))))</f>
      </c>
      <c r="AX69" s="44">
        <f>IF(Matching_Engine!$AV$69="EXCLUDED","Excluded",IF(Matching_Engine!$AP$69&gt;=Lookup_Lists!$D$156,"Highly Recommended",IF(Matching_Engine!$AP$69&gt;=Lookup_Lists!$D$157,"Recommended",IF(Matching_Engine!$AP$69&gt;=Lookup_Lists!$D$158,"Consider","Low Priority"))))</f>
      </c>
      <c r="AY69" s="47">
        <f>IF(Matching_Engine!$AV$69="PASS",Matching_Engine!$AP$69,"")</f>
      </c>
      <c r="AZ69" s="44">
        <f>Matching_Engine!$A$69&amp;"|"&amp;Matching_Engine!$C$69</f>
      </c>
      <c r="BA69" s="44">
        <f>IFERROR(INDEX(Lookup_Lists!$B$51:$B$92,MATCH(Brand_Profile!$F$12,Lookup_Lists!$A$51:$A$92,0)),"")</f>
      </c>
      <c r="BB69" s="44">
        <f>IFERROR(INDEX(Lookup_Lists!$B$51:$B$92,MATCH(KOL_Database!$F$8,Lookup_Lists!$A$51:$A$92,0)),"")</f>
      </c>
      <c r="BC69" s="47">
        <f>IFERROR(INDEX(Lookup_Lists!$B$185:$O$198,MATCH(Matching_Engine!$BA$69,Lookup_Lists!$A$185:$A$198,0),MATCH(KOL_Database!$E$8,Lookup_Lists!$B$184:$O$184,0)),Lookup_Lists!$D$151)</f>
      </c>
      <c r="BD69" s="47">
        <f>IFERROR(INDEX(Lookup_Lists!$B$185:$O$198,MATCH(Brand_Profile!$F$33,Lookup_Lists!$A$185:$A$198,0),MATCH(KOL_Database!$E$8,Lookup_Lists!$B$184:$O$184,0)),Lookup_Lists!$D$151)</f>
      </c>
      <c r="BE69" s="44">
        <f>IFERROR(INDEX(Lookup_Lists!$B$51:$B$92,MATCH(Brand_Profile!$F$34,Lookup_Lists!$A$51:$A$92,0)),"")</f>
      </c>
      <c r="BF69" s="44">
        <f>KOL_Database!$AI$8&amp;", "&amp;KOL_Database!$AG$8&amp;", "&amp;KOL_Database!$F$8&amp;", "&amp;KOL_Database!$E$8</f>
      </c>
      <c r="BG69" s="44">
        <f>KOL_Database!$AI$8&amp;", "&amp;KOL_Database!$AG$8</f>
      </c>
    </row>
    <row r="70" spans="1:59" x14ac:dyDescent="0.25">
      <c r="A70" s="43" t="s">
        <v>77</v>
      </c>
      <c r="B70" s="44">
        <f>Brand_Profile!$F$9</f>
      </c>
      <c r="C70" s="44">
        <f>KOL_Database!$A$9</f>
      </c>
      <c r="D70" s="44">
        <f>KOL_Database!$B$9</f>
      </c>
      <c r="E70" s="44">
        <f>KOL_Database!$C$9</f>
      </c>
      <c r="F70" s="44">
        <f>KOL_Database!$D$9</f>
      </c>
      <c r="G70" s="44">
        <f>KOL_Database!$E$9</f>
      </c>
      <c r="H70" s="44">
        <f>KOL_Database!$G$9</f>
      </c>
      <c r="I70" s="45">
        <f>KOL_Database!$J$9</f>
      </c>
      <c r="J70" s="46">
        <f>KOL_Database!$K$9</f>
      </c>
      <c r="K70" s="47">
        <f>IFERROR(INDEX(Lookup_Lists!$B$170:$O$181,MATCH(Brand_Profile!$F$10,Lookup_Lists!$A$170:$A$181,0),MATCH(KOL_Database!$E$9,Lookup_Lists!$B$169:$O$169,0)),Lookup_Lists!$D$151)</f>
      </c>
      <c r="L70" s="47">
        <f>IF(KOL_Database!$F$9="",Matching_Engine!$BC$70,IF(Brand_Profile!$F$12=KOL_Database!$F$9,100,IF(Matching_Engine!$BA$70=KOL_Database!$E$9,80,IF(Matching_Engine!$BC$70&gt;=80,60,IF(Matching_Engine!$BC$70&gt;=60,40,Lookup_Lists!$D$151)))))</f>
      </c>
      <c r="M70" s="47">
        <f>ROUND((IF(Brand_Profile!$F$62=0,Lookup_Lists!$D$150,ROUND((IF(Brand_Profile!$F$57="",0,IF(ISNUMBER(SEARCH(Brand_Profile!$F$57,Matching_Engine!$BF$70)),1,0))+IF(Brand_Profile!$F$58="",0,IF(ISNUMBER(SEARCH(Brand_Profile!$F$58,Matching_Engine!$BF$70)),1,0))+IF(Brand_Profile!$F$59="",0,IF(ISNUMBER(SEARCH(Brand_Profile!$F$59,Matching_Engine!$BF$70)),1,0))+IF(Brand_Profile!$F$60="",0,IF(ISNUMBER(SEARCH(Brand_Profile!$F$60,Matching_Engine!$BF$70)),1,0))+IF(Brand_Profile!$F$61="",0,IF(ISNUMBER(SEARCH(Brand_Profile!$F$61,Matching_Engine!$BF$70)),1,0)))/Brand_Profile!$F$62*100,0))+IF(Brand_Profile!$F$74=0,Lookup_Lists!$D$150,ROUND((IF(Brand_Profile!$F$69="",0,IF(ISNUMBER(SEARCH(Brand_Profile!$F$69,Matching_Engine!$BF$70)),1,0))+IF(Brand_Profile!$F$70="",0,IF(ISNUMBER(SEARCH(Brand_Profile!$F$70,Matching_Engine!$BF$70)),1,0))+IF(Brand_Profile!$F$71="",0,IF(ISNUMBER(SEARCH(Brand_Profile!$F$71,Matching_Engine!$BF$70)),1,0))+IF(Brand_Profile!$F$72="",0,IF(ISNUMBER(SEARCH(Brand_Profile!$F$72,Matching_Engine!$BF$70)),1,0))+IF(Brand_Profile!$F$73="",0,IF(ISNUMBER(SEARCH(Brand_Profile!$F$73,Matching_Engine!$BF$70)),1,0)))/Brand_Profile!$F$74*100,0)))/2,0)</f>
      </c>
      <c r="N70" s="47">
        <f>ROUND((Matching_Engine!$K$70*Lookup_Lists!$D$110+Matching_Engine!$L$70*Lookup_Lists!$D$111+Matching_Engine!$M$70*Lookup_Lists!$D$112)/(Lookup_Lists!$D$110+Lookup_Lists!$D$111+Lookup_Lists!$D$112),0)</f>
      </c>
      <c r="O70" s="47">
        <f>IF(Brand_Profile!$F$16="",Lookup_Lists!$D$150,MIN(100,ROUND((IFERROR(INDEX(KOL_Database!$W$9:KOL_Database!$AA$9,1,MATCH(Brand_Profile!$F$16,Lookup_Lists!$F$6:$F$10,0)),0)+0.5*IFERROR(INDEX(KOL_Database!$W$9:KOL_Database!$AA$9,1,MATCH(Brand_Profile!$F$17,Lookup_Lists!$F$6:$F$10,0)),0))/Lookup_Lists!$D$142*100,0)))</f>
      </c>
      <c r="P70" s="47">
        <f>IF(OR(Brand_Profile!$F$18="",Brand_Profile!$F$18="Any"),100,IF(Brand_Profile!$F$18="Female",MIN(100,ROUND(KOL_Database!$AB$9/Lookup_Lists!$D$143*100,0)),IF(Brand_Profile!$F$18="Male",MIN(100,ROUND(KOL_Database!$AC$9/Lookup_Lists!$D$143*100,0)),MAX(0,ROUND(100-ABS(KOL_Database!$AB$9-50)*2,0)))))</f>
      </c>
      <c r="Q70" s="47">
        <f>ROUND((IF(Brand_Profile!$F$19="",100,IF(KOL_Database!$AD$9=Brand_Profile!$F$19,100,Lookup_Lists!$D$151))*Lookup_Lists!$D$118+IF(OR(Brand_Profile!$F$20="",Brand_Profile!$F$20="Nasional"),100,IF(KOL_Database!$AE$9="",Lookup_Lists!$D$150,IF(KOL_Database!$AE$9=Brand_Profile!$F$20,100,IF(KOL_Database!$AD$9=Brand_Profile!$F$19,40,Lookup_Lists!$D$151))))*Lookup_Lists!$D$119+IF(OR(Brand_Profile!$F$21="",Brand_Profile!$F$21="Nasional"),100,IF(KOL_Database!$AF$9="",Lookup_Lists!$D$150,IF(KOL_Database!$AF$9=Brand_Profile!$F$21,100,IF(KOL_Database!$AE$9=Brand_Profile!$F$20,60,Lookup_Lists!$D$151))))*Lookup_Lists!$D$120)/(Lookup_Lists!$D$118+Lookup_Lists!$D$119+Lookup_Lists!$D$120),0)</f>
      </c>
      <c r="R70" s="47">
        <f>IF(Brand_Profile!$F$68=0,Lookup_Lists!$D$150,ROUND((IF(Brand_Profile!$F$63="",0,IF(ISNUMBER(SEARCH(Brand_Profile!$F$63,KOL_Database!$AG$9)),1,0))+IF(Brand_Profile!$F$64="",0,IF(ISNUMBER(SEARCH(Brand_Profile!$F$64,KOL_Database!$AG$9)),1,0))+IF(Brand_Profile!$F$65="",0,IF(ISNUMBER(SEARCH(Brand_Profile!$F$65,KOL_Database!$AG$9)),1,0))+IF(Brand_Profile!$F$66="",0,IF(ISNUMBER(SEARCH(Brand_Profile!$F$66,KOL_Database!$AG$9)),1,0))+IF(Brand_Profile!$F$67="",0,IF(ISNUMBER(SEARCH(Brand_Profile!$F$67,KOL_Database!$AG$9)),1,0)))/Brand_Profile!$F$68*100,0))</f>
      </c>
      <c r="S70" s="47">
        <f>ROUND((Matching_Engine!$O$70*Brand_Profile!$F$96+Matching_Engine!$P$70*Brand_Profile!$F$97+Matching_Engine!$Q$70*Brand_Profile!$F$98+Matching_Engine!$R$70*Brand_Profile!$F$99)/MAX(1,Brand_Profile!$F$96+Brand_Profile!$F$97+Brand_Profile!$F$98+Brand_Profile!$F$99),0)</f>
      </c>
      <c r="T70" s="47">
        <f>IF(Brand_Profile!$F$33="",Lookup_Lists!$D$150,Matching_Engine!$BD$70)</f>
      </c>
      <c r="U70" s="47">
        <f>IF(Brand_Profile!$F$34="",Lookup_Lists!$D$150,IF(Brand_Profile!$F$34=KOL_Database!$F$9,100,IF(Matching_Engine!$BE$70=KOL_Database!$E$9,75,IF(Matching_Engine!$BD$70&gt;=80,Lookup_Lists!$D$150,IF(Matching_Engine!$BD$70&gt;=60,35,Lookup_Lists!$D$151)))))</f>
      </c>
      <c r="V70" s="47">
        <f>IF(Brand_Profile!$F$86=0,Lookup_Lists!$D$150,ROUND((IF(Brand_Profile!$F$81="",0,IF(ISNUMBER(SEARCH(Brand_Profile!$F$81,Matching_Engine!$BG$70)),1,0))+IF(Brand_Profile!$F$82="",0,IF(ISNUMBER(SEARCH(Brand_Profile!$F$82,Matching_Engine!$BG$70)),1,0))+IF(Brand_Profile!$F$83="",0,IF(ISNUMBER(SEARCH(Brand_Profile!$F$83,Matching_Engine!$BG$70)),1,0))+IF(Brand_Profile!$F$84="",0,IF(ISNUMBER(SEARCH(Brand_Profile!$F$84,Matching_Engine!$BG$70)),1,0))+IF(Brand_Profile!$F$85="",0,IF(ISNUMBER(SEARCH(Brand_Profile!$F$85,Matching_Engine!$BG$70)),1,0)))/Brand_Profile!$F$86*100,0))</f>
      </c>
      <c r="W70" s="47">
        <f>IF(Brand_Profile!$F$39="",Lookup_Lists!$D$150,IFERROR(INDEX(Lookup_Lists!$B$237:$K$246,MATCH(Brand_Profile!$F$39,Lookup_Lists!$A$237:$A$246,0),MATCH(KOL_Database!$AJ$9,Lookup_Lists!$B$236:$K$236,0)),45))</f>
      </c>
      <c r="X70" s="47">
        <f>ROUND((Matching_Engine!$T$70*Lookup_Lists!$D$121+Matching_Engine!$U$70*Lookup_Lists!$D$122+Matching_Engine!$V$70*Lookup_Lists!$D$123+Matching_Engine!$W$70*Lookup_Lists!$D$124)/(Lookup_Lists!$D$121+Lookup_Lists!$D$122+Lookup_Lists!$D$123+Lookup_Lists!$D$124),0)</f>
      </c>
      <c r="Y70" s="47">
        <f>MIN(100,MAX(IFERROR(INDEX(Lookup_Lists!$B$202:$M$211,MATCH(Brand_Profile!$F$25,Lookup_Lists!$A$202:$A$211,0),MATCH(KOL_Database!$AK$9,Lookup_Lists!$B$201:$M$201,0)),40),IF(KOL_Database!$AK$9=Brand_Profile!$F$41,95,0)))</f>
      </c>
      <c r="Z70" s="47">
        <f>IFERROR(INDEX(Lookup_Lists!$B$215:$K$222,MATCH(Brand_Profile!$F$27,Lookup_Lists!$A$215:$A$222,0),MATCH(KOL_Database!$AJ$9,Lookup_Lists!$B$214:$K$214,0)),45)</f>
      </c>
      <c r="AA70" s="47">
        <f>ROUND((IF(Brand_Profile!$F$80=0,Lookup_Lists!$D$150,ROUND((IF(Brand_Profile!$F$75="",0,IF(ISNUMBER(SEARCH(Brand_Profile!$F$75,KOL_Database!$AL$9)),1,0))+IF(Brand_Profile!$F$76="",0,IF(ISNUMBER(SEARCH(Brand_Profile!$F$76,KOL_Database!$AL$9)),1,0))+IF(Brand_Profile!$F$77="",0,IF(ISNUMBER(SEARCH(Brand_Profile!$F$77,KOL_Database!$AL$9)),1,0))+IF(Brand_Profile!$F$78="",0,IF(ISNUMBER(SEARCH(Brand_Profile!$F$78,KOL_Database!$AL$9)),1,0))+IF(Brand_Profile!$F$79="",0,IF(ISNUMBER(SEARCH(Brand_Profile!$F$79,KOL_Database!$AL$9)),1,0)))/Brand_Profile!$F$80*100,0))+IF(Brand_Profile!$F$92=0,Lookup_Lists!$D$150,ROUND((IF(Brand_Profile!$F$87="",0,IF(ISNUMBER(SEARCH(Brand_Profile!$F$87,KOL_Database!$AL$9)),1,0))+IF(Brand_Profile!$F$88="",0,IF(ISNUMBER(SEARCH(Brand_Profile!$F$88,KOL_Database!$AL$9)),1,0))+IF(Brand_Profile!$F$89="",0,IF(ISNUMBER(SEARCH(Brand_Profile!$F$89,KOL_Database!$AL$9)),1,0))+IF(Brand_Profile!$F$90="",0,IF(ISNUMBER(SEARCH(Brand_Profile!$F$90,KOL_Database!$AL$9)),1,0))+IF(Brand_Profile!$F$91="",0,IF(ISNUMBER(SEARCH(Brand_Profile!$F$91,KOL_Database!$AL$9)),1,0)))/Brand_Profile!$F$92*100,0)))/2,0)</f>
      </c>
      <c r="AB70" s="47">
        <f>IFERROR(INDEX(Lookup_Lists!$B$226:$K$233,MATCH(Brand_Profile!$F$30,Lookup_Lists!$A$226:$A$233,0),MATCH(KOL_Database!$AJ$9,Lookup_Lists!$B$225:$K$225,0)),45)</f>
      </c>
      <c r="AC70" s="47">
        <f>ROUND((Matching_Engine!$Y$70*Lookup_Lists!$D$125+Matching_Engine!$Z$70*Lookup_Lists!$D$126+Matching_Engine!$AA$70*Lookup_Lists!$D$127+Matching_Engine!$AB$70*Lookup_Lists!$D$128)/(Lookup_Lists!$D$125+Lookup_Lists!$D$126+Lookup_Lists!$D$127+Lookup_Lists!$D$128),0)</f>
      </c>
      <c r="AD70" s="47">
        <f>IF(KOL_Database!$K$9="",0,MIN(100,ROUND(KOL_Database!$K$9/Lookup_Lists!$D$141*100,0)))</f>
      </c>
      <c r="AE70" s="47">
        <f>IF(KOL_Database!$R$9="",0,MIN(100,MAX(0,KOL_Database!$R$9)))</f>
      </c>
      <c r="AF70" s="47">
        <f>IF(KOL_Database!$P$9="",0,MIN(100,MAX(0,KOL_Database!$P$9)))</f>
      </c>
      <c r="AG70" s="47">
        <f>IF(KOL_Database!$Q$9="",0,MIN(100,MAX(0,KOL_Database!$Q$9)))</f>
      </c>
      <c r="AH70" s="47">
        <f>IF(OR(KOL_Database!$J$9="",KOL_Database!$J$9=0,KOL_Database!$L$9=""),0,MIN(100,ROUND(KOL_Database!$L$9/KOL_Database!$J$9/Lookup_Lists!$D$144*100,0)))</f>
      </c>
      <c r="AI70" s="47">
        <f>IF(KOL_Database!$N$9="",0,MIN(100,MAX(0,ROUND((KOL_Database!$N$9+2)/(Lookup_Lists!$D$145+2)*100,0))))</f>
      </c>
      <c r="AJ70" s="47">
        <f>ROUND((Matching_Engine!$AD$70*Lookup_Lists!$D$129+Matching_Engine!$AE$70*Lookup_Lists!$D$130+Matching_Engine!$AF$70*Lookup_Lists!$D$131+Matching_Engine!$AG$70*Lookup_Lists!$D$132+Matching_Engine!$AH$70*Lookup_Lists!$D$133+Matching_Engine!$AI$70*Lookup_Lists!$D$134)/(Lookup_Lists!$D$129+Lookup_Lists!$D$130+Lookup_Lists!$D$131+Lookup_Lists!$D$132+Lookup_Lists!$D$133+Lookup_Lists!$D$134),0)</f>
      </c>
      <c r="AK70" s="47">
        <f>IF(KOL_Database!$AT$9="",0,MIN(100,MAX(0,KOL_Database!$AT$9)))</f>
      </c>
      <c r="AL70" s="47">
        <f>IF(KOL_Database!$AU$9="",0,KOL_Database!$AU$9)</f>
      </c>
      <c r="AM70" s="44">
        <f>IF(KOL_Database!$AV$9="","None",KOL_Database!$AV$9)</f>
      </c>
      <c r="AN70" s="48">
        <f>IF(Matching_Engine!$AM$70="High",Lookup_Lists!$D$137,IF(Matching_Engine!$AM$70="Medium",Lookup_Lists!$D$138,IF(Matching_Engine!$AM$70="Low",Lookup_Lists!$D$139,Lookup_Lists!$D$140)))</f>
      </c>
      <c r="AO70" s="47">
        <f>ROUND(MIN(100,MAX(0,(Matching_Engine!$AK$70*Lookup_Lists!$D$135+(100-Matching_Engine!$AL$70)*Lookup_Lists!$D$136)/(Lookup_Lists!$D$135+Lookup_Lists!$D$136)*Matching_Engine!$AN$70)),0)</f>
      </c>
      <c r="AP70" s="49">
        <f>ROUND((Matching_Engine!$N$70*Lookup_Lists!$D$104+Matching_Engine!$S$70*Lookup_Lists!$D$105+Matching_Engine!$X$70*Lookup_Lists!$D$106+Matching_Engine!$AC$70*Lookup_Lists!$D$107+Matching_Engine!$AJ$70*Lookup_Lists!$D$108+Matching_Engine!$AO$70*Lookup_Lists!$D$109)/MAX(1,(Lookup_Lists!$D$104+Lookup_Lists!$D$105+Lookup_Lists!$D$106+Lookup_Lists!$D$107+Lookup_Lists!$D$108+Lookup_Lists!$D$109)),0)</f>
      </c>
      <c r="AQ70" s="44">
        <f>IF(Matching_Engine!$AP$70&gt;=Lookup_Lists!$D$152,"Excellent Match",IF(Matching_Engine!$AP$70&gt;=Lookup_Lists!$D$153,"Strong Match",IF(Matching_Engine!$AP$70&gt;=Lookup_Lists!$D$154,"Good Match",IF(Matching_Engine!$AP$70&gt;=Lookup_Lists!$D$155,"Moderate Match","Low Match"))))</f>
      </c>
      <c r="AR70" s="47">
        <f>KOL_Database!$BE$9</f>
      </c>
      <c r="AS70" s="44">
        <f>IF(Matching_Engine!$AR$70&gt;=Lookup_Lists!$D$159,"High",IF(Matching_Engine!$AR$70&gt;=Lookup_Lists!$D$160,"Medium","Limited Data"))</f>
      </c>
      <c r="AT70" s="47">
        <f>ROUND((Matching_Engine!$N$70+Matching_Engine!$X$70+Matching_Engine!$AC$70)/3,0)</f>
      </c>
      <c r="AU70" s="47">
        <f>ROUND(((100-Matching_Engine!$AL$70)*Lookup_Lists!$D$162+IF(KOL_Database!$BD$9="",Lookup_Lists!$D$150,KOL_Database!$BD$9)*Lookup_Lists!$D$163+Matching_Engine!$AI$70*Lookup_Lists!$D$164+Matching_Engine!$AD$70*Lookup_Lists!$D$165)/(Lookup_Lists!$D$162+Lookup_Lists!$D$163+Lookup_Lists!$D$164+Lookup_Lists!$D$165),0)</f>
      </c>
      <c r="AV70" s="44">
        <f>IF(Matching_Engine!$AW$70="","PASS","EXCLUDED")</f>
      </c>
      <c r="AW70" s="44">
        <f>IF(ISERROR(SEARCH(KOL_Database!$D$9,Brand_Profile!$F$32)),"Platform not in Preferred Platform",IF(AND(Brand_Profile!$F$36&gt;0,KOL_Database!$J$9&lt;Brand_Profile!$F$36),"Followers below Preferred Follower Range",IF(AND(Brand_Profile!$F$37&gt;0,KOL_Database!$J$9&gt;Brand_Profile!$F$37),"Followers above Preferred Follower Range",IF(AND(Brand_Profile!$F$38&gt;0,IF(KOL_Database!$K$9="",0,KOL_Database!$K$9)&lt;Brand_Profile!$F$38),"Engagement Rate below Minimum Engagement Rate",IF(ISERROR(SEARCH(KOL_Database!$G$9,Brand_Profile!$F$35)),"Tier not in Preferred Tier",IF(AND(Brand_Profile!$F$43&gt;0,Matching_Engine!$AE$70&lt;Brand_Profile!$F$43),"Audience Quality below Minimum Audience Quality",IF(AND(Brand_Profile!$F$44&gt;0,Matching_Engine!$AK$70&lt;Brand_Profile!$F$44),"Brand Safety below Minimum Brand Safety",IF(AND(Brand_Profile!$F$47="Yes",KOL_Database!$AD$9&lt;&gt;Brand_Profile!$F$19),"Audience Country does not match Target Country",IF(AND(Brand_Profile!$F$46="Yes",KOL_Database!$E$9&lt;&gt;Brand_Profile!$F$33),"Category is not the Preferred Category",IF(AND(Brand_Profile!$F$48&gt;0,Matching_Engine!$AL$70&gt;Brand_Profile!$F$48),"Competitor Saturation above Max Competitor Saturation",IF(AND(Brand_Profile!$F$50="Yes",KOL_Database!$AW$9="Yes"),"Already Selected",IF(AND(Brand_Profile!$F$51="Yes",KOL_Database!$AX$9="Yes"),"Already in Cart",IF(AND(Brand_Profile!$F$52="Yes",KOL_Database!$AY$9="Yes"),"Existing Partner",IF(AND(Brand_Profile!$F$53="Yes",KOL_Database!$AZ$9="Yes"),"Excluded Creator",IF(AND(Brand_Profile!$F$49&gt;0,Matching_Engine!$AP$70&lt;Brand_Profile!$F$49),"Brand Match below Minimum Brand Match","")))))))))))))))</f>
      </c>
      <c r="AX70" s="44">
        <f>IF(Matching_Engine!$AV$70="EXCLUDED","Excluded",IF(Matching_Engine!$AP$70&gt;=Lookup_Lists!$D$156,"Highly Recommended",IF(Matching_Engine!$AP$70&gt;=Lookup_Lists!$D$157,"Recommended",IF(Matching_Engine!$AP$70&gt;=Lookup_Lists!$D$158,"Consider","Low Priority"))))</f>
      </c>
      <c r="AY70" s="47">
        <f>IF(Matching_Engine!$AV$70="PASS",Matching_Engine!$AP$70,"")</f>
      </c>
      <c r="AZ70" s="44">
        <f>Matching_Engine!$A$70&amp;"|"&amp;Matching_Engine!$C$70</f>
      </c>
      <c r="BA70" s="44">
        <f>IFERROR(INDEX(Lookup_Lists!$B$51:$B$92,MATCH(Brand_Profile!$F$12,Lookup_Lists!$A$51:$A$92,0)),"")</f>
      </c>
      <c r="BB70" s="44">
        <f>IFERROR(INDEX(Lookup_Lists!$B$51:$B$92,MATCH(KOL_Database!$F$9,Lookup_Lists!$A$51:$A$92,0)),"")</f>
      </c>
      <c r="BC70" s="47">
        <f>IFERROR(INDEX(Lookup_Lists!$B$185:$O$198,MATCH(Matching_Engine!$BA$70,Lookup_Lists!$A$185:$A$198,0),MATCH(KOL_Database!$E$9,Lookup_Lists!$B$184:$O$184,0)),Lookup_Lists!$D$151)</f>
      </c>
      <c r="BD70" s="47">
        <f>IFERROR(INDEX(Lookup_Lists!$B$185:$O$198,MATCH(Brand_Profile!$F$33,Lookup_Lists!$A$185:$A$198,0),MATCH(KOL_Database!$E$9,Lookup_Lists!$B$184:$O$184,0)),Lookup_Lists!$D$151)</f>
      </c>
      <c r="BE70" s="44">
        <f>IFERROR(INDEX(Lookup_Lists!$B$51:$B$92,MATCH(Brand_Profile!$F$34,Lookup_Lists!$A$51:$A$92,0)),"")</f>
      </c>
      <c r="BF70" s="44">
        <f>KOL_Database!$AI$9&amp;", "&amp;KOL_Database!$AG$9&amp;", "&amp;KOL_Database!$F$9&amp;", "&amp;KOL_Database!$E$9</f>
      </c>
      <c r="BG70" s="44">
        <f>KOL_Database!$AI$9&amp;", "&amp;KOL_Database!$AG$9</f>
      </c>
    </row>
    <row r="71" spans="1:59" x14ac:dyDescent="0.25">
      <c r="A71" s="43" t="s">
        <v>77</v>
      </c>
      <c r="B71" s="44">
        <f>Brand_Profile!$F$9</f>
      </c>
      <c r="C71" s="44">
        <f>KOL_Database!$A$10</f>
      </c>
      <c r="D71" s="44">
        <f>KOL_Database!$B$10</f>
      </c>
      <c r="E71" s="44">
        <f>KOL_Database!$C$10</f>
      </c>
      <c r="F71" s="44">
        <f>KOL_Database!$D$10</f>
      </c>
      <c r="G71" s="44">
        <f>KOL_Database!$E$10</f>
      </c>
      <c r="H71" s="44">
        <f>KOL_Database!$G$10</f>
      </c>
      <c r="I71" s="45">
        <f>KOL_Database!$J$10</f>
      </c>
      <c r="J71" s="46">
        <f>KOL_Database!$K$10</f>
      </c>
      <c r="K71" s="47">
        <f>IFERROR(INDEX(Lookup_Lists!$B$170:$O$181,MATCH(Brand_Profile!$F$10,Lookup_Lists!$A$170:$A$181,0),MATCH(KOL_Database!$E$10,Lookup_Lists!$B$169:$O$169,0)),Lookup_Lists!$D$151)</f>
      </c>
      <c r="L71" s="47">
        <f>IF(KOL_Database!$F$10="",Matching_Engine!$BC$71,IF(Brand_Profile!$F$12=KOL_Database!$F$10,100,IF(Matching_Engine!$BA$71=KOL_Database!$E$10,80,IF(Matching_Engine!$BC$71&gt;=80,60,IF(Matching_Engine!$BC$71&gt;=60,40,Lookup_Lists!$D$151)))))</f>
      </c>
      <c r="M71" s="47">
        <f>ROUND((IF(Brand_Profile!$F$62=0,Lookup_Lists!$D$150,ROUND((IF(Brand_Profile!$F$57="",0,IF(ISNUMBER(SEARCH(Brand_Profile!$F$57,Matching_Engine!$BF$71)),1,0))+IF(Brand_Profile!$F$58="",0,IF(ISNUMBER(SEARCH(Brand_Profile!$F$58,Matching_Engine!$BF$71)),1,0))+IF(Brand_Profile!$F$59="",0,IF(ISNUMBER(SEARCH(Brand_Profile!$F$59,Matching_Engine!$BF$71)),1,0))+IF(Brand_Profile!$F$60="",0,IF(ISNUMBER(SEARCH(Brand_Profile!$F$60,Matching_Engine!$BF$71)),1,0))+IF(Brand_Profile!$F$61="",0,IF(ISNUMBER(SEARCH(Brand_Profile!$F$61,Matching_Engine!$BF$71)),1,0)))/Brand_Profile!$F$62*100,0))+IF(Brand_Profile!$F$74=0,Lookup_Lists!$D$150,ROUND((IF(Brand_Profile!$F$69="",0,IF(ISNUMBER(SEARCH(Brand_Profile!$F$69,Matching_Engine!$BF$71)),1,0))+IF(Brand_Profile!$F$70="",0,IF(ISNUMBER(SEARCH(Brand_Profile!$F$70,Matching_Engine!$BF$71)),1,0))+IF(Brand_Profile!$F$71="",0,IF(ISNUMBER(SEARCH(Brand_Profile!$F$71,Matching_Engine!$BF$71)),1,0))+IF(Brand_Profile!$F$72="",0,IF(ISNUMBER(SEARCH(Brand_Profile!$F$72,Matching_Engine!$BF$71)),1,0))+IF(Brand_Profile!$F$73="",0,IF(ISNUMBER(SEARCH(Brand_Profile!$F$73,Matching_Engine!$BF$71)),1,0)))/Brand_Profile!$F$74*100,0)))/2,0)</f>
      </c>
      <c r="N71" s="47">
        <f>ROUND((Matching_Engine!$K$71*Lookup_Lists!$D$110+Matching_Engine!$L$71*Lookup_Lists!$D$111+Matching_Engine!$M$71*Lookup_Lists!$D$112)/(Lookup_Lists!$D$110+Lookup_Lists!$D$111+Lookup_Lists!$D$112),0)</f>
      </c>
      <c r="O71" s="47">
        <f>IF(Brand_Profile!$F$16="",Lookup_Lists!$D$150,MIN(100,ROUND((IFERROR(INDEX(KOL_Database!$W$10:KOL_Database!$AA$10,1,MATCH(Brand_Profile!$F$16,Lookup_Lists!$F$6:$F$10,0)),0)+0.5*IFERROR(INDEX(KOL_Database!$W$10:KOL_Database!$AA$10,1,MATCH(Brand_Profile!$F$17,Lookup_Lists!$F$6:$F$10,0)),0))/Lookup_Lists!$D$142*100,0)))</f>
      </c>
      <c r="P71" s="47">
        <f>IF(OR(Brand_Profile!$F$18="",Brand_Profile!$F$18="Any"),100,IF(Brand_Profile!$F$18="Female",MIN(100,ROUND(KOL_Database!$AB$10/Lookup_Lists!$D$143*100,0)),IF(Brand_Profile!$F$18="Male",MIN(100,ROUND(KOL_Database!$AC$10/Lookup_Lists!$D$143*100,0)),MAX(0,ROUND(100-ABS(KOL_Database!$AB$10-50)*2,0)))))</f>
      </c>
      <c r="Q71" s="47">
        <f>ROUND((IF(Brand_Profile!$F$19="",100,IF(KOL_Database!$AD$10=Brand_Profile!$F$19,100,Lookup_Lists!$D$151))*Lookup_Lists!$D$118+IF(OR(Brand_Profile!$F$20="",Brand_Profile!$F$20="Nasional"),100,IF(KOL_Database!$AE$10="",Lookup_Lists!$D$150,IF(KOL_Database!$AE$10=Brand_Profile!$F$20,100,IF(KOL_Database!$AD$10=Brand_Profile!$F$19,40,Lookup_Lists!$D$151))))*Lookup_Lists!$D$119+IF(OR(Brand_Profile!$F$21="",Brand_Profile!$F$21="Nasional"),100,IF(KOL_Database!$AF$10="",Lookup_Lists!$D$150,IF(KOL_Database!$AF$10=Brand_Profile!$F$21,100,IF(KOL_Database!$AE$10=Brand_Profile!$F$20,60,Lookup_Lists!$D$151))))*Lookup_Lists!$D$120)/(Lookup_Lists!$D$118+Lookup_Lists!$D$119+Lookup_Lists!$D$120),0)</f>
      </c>
      <c r="R71" s="47">
        <f>IF(Brand_Profile!$F$68=0,Lookup_Lists!$D$150,ROUND((IF(Brand_Profile!$F$63="",0,IF(ISNUMBER(SEARCH(Brand_Profile!$F$63,KOL_Database!$AG$10)),1,0))+IF(Brand_Profile!$F$64="",0,IF(ISNUMBER(SEARCH(Brand_Profile!$F$64,KOL_Database!$AG$10)),1,0))+IF(Brand_Profile!$F$65="",0,IF(ISNUMBER(SEARCH(Brand_Profile!$F$65,KOL_Database!$AG$10)),1,0))+IF(Brand_Profile!$F$66="",0,IF(ISNUMBER(SEARCH(Brand_Profile!$F$66,KOL_Database!$AG$10)),1,0))+IF(Brand_Profile!$F$67="",0,IF(ISNUMBER(SEARCH(Brand_Profile!$F$67,KOL_Database!$AG$10)),1,0)))/Brand_Profile!$F$68*100,0))</f>
      </c>
      <c r="S71" s="47">
        <f>ROUND((Matching_Engine!$O$71*Brand_Profile!$F$96+Matching_Engine!$P$71*Brand_Profile!$F$97+Matching_Engine!$Q$71*Brand_Profile!$F$98+Matching_Engine!$R$71*Brand_Profile!$F$99)/MAX(1,Brand_Profile!$F$96+Brand_Profile!$F$97+Brand_Profile!$F$98+Brand_Profile!$F$99),0)</f>
      </c>
      <c r="T71" s="47">
        <f>IF(Brand_Profile!$F$33="",Lookup_Lists!$D$150,Matching_Engine!$BD$71)</f>
      </c>
      <c r="U71" s="47">
        <f>IF(Brand_Profile!$F$34="",Lookup_Lists!$D$150,IF(Brand_Profile!$F$34=KOL_Database!$F$10,100,IF(Matching_Engine!$BE$71=KOL_Database!$E$10,75,IF(Matching_Engine!$BD$71&gt;=80,Lookup_Lists!$D$150,IF(Matching_Engine!$BD$71&gt;=60,35,Lookup_Lists!$D$151)))))</f>
      </c>
      <c r="V71" s="47">
        <f>IF(Brand_Profile!$F$86=0,Lookup_Lists!$D$150,ROUND((IF(Brand_Profile!$F$81="",0,IF(ISNUMBER(SEARCH(Brand_Profile!$F$81,Matching_Engine!$BG$71)),1,0))+IF(Brand_Profile!$F$82="",0,IF(ISNUMBER(SEARCH(Brand_Profile!$F$82,Matching_Engine!$BG$71)),1,0))+IF(Brand_Profile!$F$83="",0,IF(ISNUMBER(SEARCH(Brand_Profile!$F$83,Matching_Engine!$BG$71)),1,0))+IF(Brand_Profile!$F$84="",0,IF(ISNUMBER(SEARCH(Brand_Profile!$F$84,Matching_Engine!$BG$71)),1,0))+IF(Brand_Profile!$F$85="",0,IF(ISNUMBER(SEARCH(Brand_Profile!$F$85,Matching_Engine!$BG$71)),1,0)))/Brand_Profile!$F$86*100,0))</f>
      </c>
      <c r="W71" s="47">
        <f>IF(Brand_Profile!$F$39="",Lookup_Lists!$D$150,IFERROR(INDEX(Lookup_Lists!$B$237:$K$246,MATCH(Brand_Profile!$F$39,Lookup_Lists!$A$237:$A$246,0),MATCH(KOL_Database!$AJ$10,Lookup_Lists!$B$236:$K$236,0)),45))</f>
      </c>
      <c r="X71" s="47">
        <f>ROUND((Matching_Engine!$T$71*Lookup_Lists!$D$121+Matching_Engine!$U$71*Lookup_Lists!$D$122+Matching_Engine!$V$71*Lookup_Lists!$D$123+Matching_Engine!$W$71*Lookup_Lists!$D$124)/(Lookup_Lists!$D$121+Lookup_Lists!$D$122+Lookup_Lists!$D$123+Lookup_Lists!$D$124),0)</f>
      </c>
      <c r="Y71" s="47">
        <f>MIN(100,MAX(IFERROR(INDEX(Lookup_Lists!$B$202:$M$211,MATCH(Brand_Profile!$F$25,Lookup_Lists!$A$202:$A$211,0),MATCH(KOL_Database!$AK$10,Lookup_Lists!$B$201:$M$201,0)),40),IF(KOL_Database!$AK$10=Brand_Profile!$F$41,95,0)))</f>
      </c>
      <c r="Z71" s="47">
        <f>IFERROR(INDEX(Lookup_Lists!$B$215:$K$222,MATCH(Brand_Profile!$F$27,Lookup_Lists!$A$215:$A$222,0),MATCH(KOL_Database!$AJ$10,Lookup_Lists!$B$214:$K$214,0)),45)</f>
      </c>
      <c r="AA71" s="47">
        <f>ROUND((IF(Brand_Profile!$F$80=0,Lookup_Lists!$D$150,ROUND((IF(Brand_Profile!$F$75="",0,IF(ISNUMBER(SEARCH(Brand_Profile!$F$75,KOL_Database!$AL$10)),1,0))+IF(Brand_Profile!$F$76="",0,IF(ISNUMBER(SEARCH(Brand_Profile!$F$76,KOL_Database!$AL$10)),1,0))+IF(Brand_Profile!$F$77="",0,IF(ISNUMBER(SEARCH(Brand_Profile!$F$77,KOL_Database!$AL$10)),1,0))+IF(Brand_Profile!$F$78="",0,IF(ISNUMBER(SEARCH(Brand_Profile!$F$78,KOL_Database!$AL$10)),1,0))+IF(Brand_Profile!$F$79="",0,IF(ISNUMBER(SEARCH(Brand_Profile!$F$79,KOL_Database!$AL$10)),1,0)))/Brand_Profile!$F$80*100,0))+IF(Brand_Profile!$F$92=0,Lookup_Lists!$D$150,ROUND((IF(Brand_Profile!$F$87="",0,IF(ISNUMBER(SEARCH(Brand_Profile!$F$87,KOL_Database!$AL$10)),1,0))+IF(Brand_Profile!$F$88="",0,IF(ISNUMBER(SEARCH(Brand_Profile!$F$88,KOL_Database!$AL$10)),1,0))+IF(Brand_Profile!$F$89="",0,IF(ISNUMBER(SEARCH(Brand_Profile!$F$89,KOL_Database!$AL$10)),1,0))+IF(Brand_Profile!$F$90="",0,IF(ISNUMBER(SEARCH(Brand_Profile!$F$90,KOL_Database!$AL$10)),1,0))+IF(Brand_Profile!$F$91="",0,IF(ISNUMBER(SEARCH(Brand_Profile!$F$91,KOL_Database!$AL$10)),1,0)))/Brand_Profile!$F$92*100,0)))/2,0)</f>
      </c>
      <c r="AB71" s="47">
        <f>IFERROR(INDEX(Lookup_Lists!$B$226:$K$233,MATCH(Brand_Profile!$F$30,Lookup_Lists!$A$226:$A$233,0),MATCH(KOL_Database!$AJ$10,Lookup_Lists!$B$225:$K$225,0)),45)</f>
      </c>
      <c r="AC71" s="47">
        <f>ROUND((Matching_Engine!$Y$71*Lookup_Lists!$D$125+Matching_Engine!$Z$71*Lookup_Lists!$D$126+Matching_Engine!$AA$71*Lookup_Lists!$D$127+Matching_Engine!$AB$71*Lookup_Lists!$D$128)/(Lookup_Lists!$D$125+Lookup_Lists!$D$126+Lookup_Lists!$D$127+Lookup_Lists!$D$128),0)</f>
      </c>
      <c r="AD71" s="47">
        <f>IF(KOL_Database!$K$10="",0,MIN(100,ROUND(KOL_Database!$K$10/Lookup_Lists!$D$141*100,0)))</f>
      </c>
      <c r="AE71" s="47">
        <f>IF(KOL_Database!$R$10="",0,MIN(100,MAX(0,KOL_Database!$R$10)))</f>
      </c>
      <c r="AF71" s="47">
        <f>IF(KOL_Database!$P$10="",0,MIN(100,MAX(0,KOL_Database!$P$10)))</f>
      </c>
      <c r="AG71" s="47">
        <f>IF(KOL_Database!$Q$10="",0,MIN(100,MAX(0,KOL_Database!$Q$10)))</f>
      </c>
      <c r="AH71" s="47">
        <f>IF(OR(KOL_Database!$J$10="",KOL_Database!$J$10=0,KOL_Database!$L$10=""),0,MIN(100,ROUND(KOL_Database!$L$10/KOL_Database!$J$10/Lookup_Lists!$D$144*100,0)))</f>
      </c>
      <c r="AI71" s="47">
        <f>IF(KOL_Database!$N$10="",0,MIN(100,MAX(0,ROUND((KOL_Database!$N$10+2)/(Lookup_Lists!$D$145+2)*100,0))))</f>
      </c>
      <c r="AJ71" s="47">
        <f>ROUND((Matching_Engine!$AD$71*Lookup_Lists!$D$129+Matching_Engine!$AE$71*Lookup_Lists!$D$130+Matching_Engine!$AF$71*Lookup_Lists!$D$131+Matching_Engine!$AG$71*Lookup_Lists!$D$132+Matching_Engine!$AH$71*Lookup_Lists!$D$133+Matching_Engine!$AI$71*Lookup_Lists!$D$134)/(Lookup_Lists!$D$129+Lookup_Lists!$D$130+Lookup_Lists!$D$131+Lookup_Lists!$D$132+Lookup_Lists!$D$133+Lookup_Lists!$D$134),0)</f>
      </c>
      <c r="AK71" s="47">
        <f>IF(KOL_Database!$AT$10="",0,MIN(100,MAX(0,KOL_Database!$AT$10)))</f>
      </c>
      <c r="AL71" s="47">
        <f>IF(KOL_Database!$AU$10="",0,KOL_Database!$AU$10)</f>
      </c>
      <c r="AM71" s="44">
        <f>IF(KOL_Database!$AV$10="","None",KOL_Database!$AV$10)</f>
      </c>
      <c r="AN71" s="48">
        <f>IF(Matching_Engine!$AM$71="High",Lookup_Lists!$D$137,IF(Matching_Engine!$AM$71="Medium",Lookup_Lists!$D$138,IF(Matching_Engine!$AM$71="Low",Lookup_Lists!$D$139,Lookup_Lists!$D$140)))</f>
      </c>
      <c r="AO71" s="47">
        <f>ROUND(MIN(100,MAX(0,(Matching_Engine!$AK$71*Lookup_Lists!$D$135+(100-Matching_Engine!$AL$71)*Lookup_Lists!$D$136)/(Lookup_Lists!$D$135+Lookup_Lists!$D$136)*Matching_Engine!$AN$71)),0)</f>
      </c>
      <c r="AP71" s="49">
        <f>ROUND((Matching_Engine!$N$71*Lookup_Lists!$D$104+Matching_Engine!$S$71*Lookup_Lists!$D$105+Matching_Engine!$X$71*Lookup_Lists!$D$106+Matching_Engine!$AC$71*Lookup_Lists!$D$107+Matching_Engine!$AJ$71*Lookup_Lists!$D$108+Matching_Engine!$AO$71*Lookup_Lists!$D$109)/MAX(1,(Lookup_Lists!$D$104+Lookup_Lists!$D$105+Lookup_Lists!$D$106+Lookup_Lists!$D$107+Lookup_Lists!$D$108+Lookup_Lists!$D$109)),0)</f>
      </c>
      <c r="AQ71" s="44">
        <f>IF(Matching_Engine!$AP$71&gt;=Lookup_Lists!$D$152,"Excellent Match",IF(Matching_Engine!$AP$71&gt;=Lookup_Lists!$D$153,"Strong Match",IF(Matching_Engine!$AP$71&gt;=Lookup_Lists!$D$154,"Good Match",IF(Matching_Engine!$AP$71&gt;=Lookup_Lists!$D$155,"Moderate Match","Low Match"))))</f>
      </c>
      <c r="AR71" s="47">
        <f>KOL_Database!$BE$10</f>
      </c>
      <c r="AS71" s="44">
        <f>IF(Matching_Engine!$AR$71&gt;=Lookup_Lists!$D$159,"High",IF(Matching_Engine!$AR$71&gt;=Lookup_Lists!$D$160,"Medium","Limited Data"))</f>
      </c>
      <c r="AT71" s="47">
        <f>ROUND((Matching_Engine!$N$71+Matching_Engine!$X$71+Matching_Engine!$AC$71)/3,0)</f>
      </c>
      <c r="AU71" s="47">
        <f>ROUND(((100-Matching_Engine!$AL$71)*Lookup_Lists!$D$162+IF(KOL_Database!$BD$10="",Lookup_Lists!$D$150,KOL_Database!$BD$10)*Lookup_Lists!$D$163+Matching_Engine!$AI$71*Lookup_Lists!$D$164+Matching_Engine!$AD$71*Lookup_Lists!$D$165)/(Lookup_Lists!$D$162+Lookup_Lists!$D$163+Lookup_Lists!$D$164+Lookup_Lists!$D$165),0)</f>
      </c>
      <c r="AV71" s="44">
        <f>IF(Matching_Engine!$AW$71="","PASS","EXCLUDED")</f>
      </c>
      <c r="AW71" s="44">
        <f>IF(ISERROR(SEARCH(KOL_Database!$D$10,Brand_Profile!$F$32)),"Platform not in Preferred Platform",IF(AND(Brand_Profile!$F$36&gt;0,KOL_Database!$J$10&lt;Brand_Profile!$F$36),"Followers below Preferred Follower Range",IF(AND(Brand_Profile!$F$37&gt;0,KOL_Database!$J$10&gt;Brand_Profile!$F$37),"Followers above Preferred Follower Range",IF(AND(Brand_Profile!$F$38&gt;0,IF(KOL_Database!$K$10="",0,KOL_Database!$K$10)&lt;Brand_Profile!$F$38),"Engagement Rate below Minimum Engagement Rate",IF(ISERROR(SEARCH(KOL_Database!$G$10,Brand_Profile!$F$35)),"Tier not in Preferred Tier",IF(AND(Brand_Profile!$F$43&gt;0,Matching_Engine!$AE$71&lt;Brand_Profile!$F$43),"Audience Quality below Minimum Audience Quality",IF(AND(Brand_Profile!$F$44&gt;0,Matching_Engine!$AK$71&lt;Brand_Profile!$F$44),"Brand Safety below Minimum Brand Safety",IF(AND(Brand_Profile!$F$47="Yes",KOL_Database!$AD$10&lt;&gt;Brand_Profile!$F$19),"Audience Country does not match Target Country",IF(AND(Brand_Profile!$F$46="Yes",KOL_Database!$E$10&lt;&gt;Brand_Profile!$F$33),"Category is not the Preferred Category",IF(AND(Brand_Profile!$F$48&gt;0,Matching_Engine!$AL$71&gt;Brand_Profile!$F$48),"Competitor Saturation above Max Competitor Saturation",IF(AND(Brand_Profile!$F$50="Yes",KOL_Database!$AW$10="Yes"),"Already Selected",IF(AND(Brand_Profile!$F$51="Yes",KOL_Database!$AX$10="Yes"),"Already in Cart",IF(AND(Brand_Profile!$F$52="Yes",KOL_Database!$AY$10="Yes"),"Existing Partner",IF(AND(Brand_Profile!$F$53="Yes",KOL_Database!$AZ$10="Yes"),"Excluded Creator",IF(AND(Brand_Profile!$F$49&gt;0,Matching_Engine!$AP$71&lt;Brand_Profile!$F$49),"Brand Match below Minimum Brand Match","")))))))))))))))</f>
      </c>
      <c r="AX71" s="44">
        <f>IF(Matching_Engine!$AV$71="EXCLUDED","Excluded",IF(Matching_Engine!$AP$71&gt;=Lookup_Lists!$D$156,"Highly Recommended",IF(Matching_Engine!$AP$71&gt;=Lookup_Lists!$D$157,"Recommended",IF(Matching_Engine!$AP$71&gt;=Lookup_Lists!$D$158,"Consider","Low Priority"))))</f>
      </c>
      <c r="AY71" s="47">
        <f>IF(Matching_Engine!$AV$71="PASS",Matching_Engine!$AP$71,"")</f>
      </c>
      <c r="AZ71" s="44">
        <f>Matching_Engine!$A$71&amp;"|"&amp;Matching_Engine!$C$71</f>
      </c>
      <c r="BA71" s="44">
        <f>IFERROR(INDEX(Lookup_Lists!$B$51:$B$92,MATCH(Brand_Profile!$F$12,Lookup_Lists!$A$51:$A$92,0)),"")</f>
      </c>
      <c r="BB71" s="44">
        <f>IFERROR(INDEX(Lookup_Lists!$B$51:$B$92,MATCH(KOL_Database!$F$10,Lookup_Lists!$A$51:$A$92,0)),"")</f>
      </c>
      <c r="BC71" s="47">
        <f>IFERROR(INDEX(Lookup_Lists!$B$185:$O$198,MATCH(Matching_Engine!$BA$71,Lookup_Lists!$A$185:$A$198,0),MATCH(KOL_Database!$E$10,Lookup_Lists!$B$184:$O$184,0)),Lookup_Lists!$D$151)</f>
      </c>
      <c r="BD71" s="47">
        <f>IFERROR(INDEX(Lookup_Lists!$B$185:$O$198,MATCH(Brand_Profile!$F$33,Lookup_Lists!$A$185:$A$198,0),MATCH(KOL_Database!$E$10,Lookup_Lists!$B$184:$O$184,0)),Lookup_Lists!$D$151)</f>
      </c>
      <c r="BE71" s="44">
        <f>IFERROR(INDEX(Lookup_Lists!$B$51:$B$92,MATCH(Brand_Profile!$F$34,Lookup_Lists!$A$51:$A$92,0)),"")</f>
      </c>
      <c r="BF71" s="44">
        <f>KOL_Database!$AI$10&amp;", "&amp;KOL_Database!$AG$10&amp;", "&amp;KOL_Database!$F$10&amp;", "&amp;KOL_Database!$E$10</f>
      </c>
      <c r="BG71" s="44">
        <f>KOL_Database!$AI$10&amp;", "&amp;KOL_Database!$AG$10</f>
      </c>
    </row>
    <row r="72" spans="1:59" x14ac:dyDescent="0.25">
      <c r="A72" s="43" t="s">
        <v>77</v>
      </c>
      <c r="B72" s="44">
        <f>Brand_Profile!$F$9</f>
      </c>
      <c r="C72" s="44">
        <f>KOL_Database!$A$11</f>
      </c>
      <c r="D72" s="44">
        <f>KOL_Database!$B$11</f>
      </c>
      <c r="E72" s="44">
        <f>KOL_Database!$C$11</f>
      </c>
      <c r="F72" s="44">
        <f>KOL_Database!$D$11</f>
      </c>
      <c r="G72" s="44">
        <f>KOL_Database!$E$11</f>
      </c>
      <c r="H72" s="44">
        <f>KOL_Database!$G$11</f>
      </c>
      <c r="I72" s="45">
        <f>KOL_Database!$J$11</f>
      </c>
      <c r="J72" s="46">
        <f>KOL_Database!$K$11</f>
      </c>
      <c r="K72" s="47">
        <f>IFERROR(INDEX(Lookup_Lists!$B$170:$O$181,MATCH(Brand_Profile!$F$10,Lookup_Lists!$A$170:$A$181,0),MATCH(KOL_Database!$E$11,Lookup_Lists!$B$169:$O$169,0)),Lookup_Lists!$D$151)</f>
      </c>
      <c r="L72" s="47">
        <f>IF(KOL_Database!$F$11="",Matching_Engine!$BC$72,IF(Brand_Profile!$F$12=KOL_Database!$F$11,100,IF(Matching_Engine!$BA$72=KOL_Database!$E$11,80,IF(Matching_Engine!$BC$72&gt;=80,60,IF(Matching_Engine!$BC$72&gt;=60,40,Lookup_Lists!$D$151)))))</f>
      </c>
      <c r="M72" s="47">
        <f>ROUND((IF(Brand_Profile!$F$62=0,Lookup_Lists!$D$150,ROUND((IF(Brand_Profile!$F$57="",0,IF(ISNUMBER(SEARCH(Brand_Profile!$F$57,Matching_Engine!$BF$72)),1,0))+IF(Brand_Profile!$F$58="",0,IF(ISNUMBER(SEARCH(Brand_Profile!$F$58,Matching_Engine!$BF$72)),1,0))+IF(Brand_Profile!$F$59="",0,IF(ISNUMBER(SEARCH(Brand_Profile!$F$59,Matching_Engine!$BF$72)),1,0))+IF(Brand_Profile!$F$60="",0,IF(ISNUMBER(SEARCH(Brand_Profile!$F$60,Matching_Engine!$BF$72)),1,0))+IF(Brand_Profile!$F$61="",0,IF(ISNUMBER(SEARCH(Brand_Profile!$F$61,Matching_Engine!$BF$72)),1,0)))/Brand_Profile!$F$62*100,0))+IF(Brand_Profile!$F$74=0,Lookup_Lists!$D$150,ROUND((IF(Brand_Profile!$F$69="",0,IF(ISNUMBER(SEARCH(Brand_Profile!$F$69,Matching_Engine!$BF$72)),1,0))+IF(Brand_Profile!$F$70="",0,IF(ISNUMBER(SEARCH(Brand_Profile!$F$70,Matching_Engine!$BF$72)),1,0))+IF(Brand_Profile!$F$71="",0,IF(ISNUMBER(SEARCH(Brand_Profile!$F$71,Matching_Engine!$BF$72)),1,0))+IF(Brand_Profile!$F$72="",0,IF(ISNUMBER(SEARCH(Brand_Profile!$F$72,Matching_Engine!$BF$72)),1,0))+IF(Brand_Profile!$F$73="",0,IF(ISNUMBER(SEARCH(Brand_Profile!$F$73,Matching_Engine!$BF$72)),1,0)))/Brand_Profile!$F$74*100,0)))/2,0)</f>
      </c>
      <c r="N72" s="47">
        <f>ROUND((Matching_Engine!$K$72*Lookup_Lists!$D$110+Matching_Engine!$L$72*Lookup_Lists!$D$111+Matching_Engine!$M$72*Lookup_Lists!$D$112)/(Lookup_Lists!$D$110+Lookup_Lists!$D$111+Lookup_Lists!$D$112),0)</f>
      </c>
      <c r="O72" s="47">
        <f>IF(Brand_Profile!$F$16="",Lookup_Lists!$D$150,MIN(100,ROUND((IFERROR(INDEX(KOL_Database!$W$11:KOL_Database!$AA$11,1,MATCH(Brand_Profile!$F$16,Lookup_Lists!$F$6:$F$10,0)),0)+0.5*IFERROR(INDEX(KOL_Database!$W$11:KOL_Database!$AA$11,1,MATCH(Brand_Profile!$F$17,Lookup_Lists!$F$6:$F$10,0)),0))/Lookup_Lists!$D$142*100,0)))</f>
      </c>
      <c r="P72" s="47">
        <f>IF(OR(Brand_Profile!$F$18="",Brand_Profile!$F$18="Any"),100,IF(Brand_Profile!$F$18="Female",MIN(100,ROUND(KOL_Database!$AB$11/Lookup_Lists!$D$143*100,0)),IF(Brand_Profile!$F$18="Male",MIN(100,ROUND(KOL_Database!$AC$11/Lookup_Lists!$D$143*100,0)),MAX(0,ROUND(100-ABS(KOL_Database!$AB$11-50)*2,0)))))</f>
      </c>
      <c r="Q72" s="47">
        <f>ROUND((IF(Brand_Profile!$F$19="",100,IF(KOL_Database!$AD$11=Brand_Profile!$F$19,100,Lookup_Lists!$D$151))*Lookup_Lists!$D$118+IF(OR(Brand_Profile!$F$20="",Brand_Profile!$F$20="Nasional"),100,IF(KOL_Database!$AE$11="",Lookup_Lists!$D$150,IF(KOL_Database!$AE$11=Brand_Profile!$F$20,100,IF(KOL_Database!$AD$11=Brand_Profile!$F$19,40,Lookup_Lists!$D$151))))*Lookup_Lists!$D$119+IF(OR(Brand_Profile!$F$21="",Brand_Profile!$F$21="Nasional"),100,IF(KOL_Database!$AF$11="",Lookup_Lists!$D$150,IF(KOL_Database!$AF$11=Brand_Profile!$F$21,100,IF(KOL_Database!$AE$11=Brand_Profile!$F$20,60,Lookup_Lists!$D$151))))*Lookup_Lists!$D$120)/(Lookup_Lists!$D$118+Lookup_Lists!$D$119+Lookup_Lists!$D$120),0)</f>
      </c>
      <c r="R72" s="47">
        <f>IF(Brand_Profile!$F$68=0,Lookup_Lists!$D$150,ROUND((IF(Brand_Profile!$F$63="",0,IF(ISNUMBER(SEARCH(Brand_Profile!$F$63,KOL_Database!$AG$11)),1,0))+IF(Brand_Profile!$F$64="",0,IF(ISNUMBER(SEARCH(Brand_Profile!$F$64,KOL_Database!$AG$11)),1,0))+IF(Brand_Profile!$F$65="",0,IF(ISNUMBER(SEARCH(Brand_Profile!$F$65,KOL_Database!$AG$11)),1,0))+IF(Brand_Profile!$F$66="",0,IF(ISNUMBER(SEARCH(Brand_Profile!$F$66,KOL_Database!$AG$11)),1,0))+IF(Brand_Profile!$F$67="",0,IF(ISNUMBER(SEARCH(Brand_Profile!$F$67,KOL_Database!$AG$11)),1,0)))/Brand_Profile!$F$68*100,0))</f>
      </c>
      <c r="S72" s="47">
        <f>ROUND((Matching_Engine!$O$72*Brand_Profile!$F$96+Matching_Engine!$P$72*Brand_Profile!$F$97+Matching_Engine!$Q$72*Brand_Profile!$F$98+Matching_Engine!$R$72*Brand_Profile!$F$99)/MAX(1,Brand_Profile!$F$96+Brand_Profile!$F$97+Brand_Profile!$F$98+Brand_Profile!$F$99),0)</f>
      </c>
      <c r="T72" s="47">
        <f>IF(Brand_Profile!$F$33="",Lookup_Lists!$D$150,Matching_Engine!$BD$72)</f>
      </c>
      <c r="U72" s="47">
        <f>IF(Brand_Profile!$F$34="",Lookup_Lists!$D$150,IF(Brand_Profile!$F$34=KOL_Database!$F$11,100,IF(Matching_Engine!$BE$72=KOL_Database!$E$11,75,IF(Matching_Engine!$BD$72&gt;=80,Lookup_Lists!$D$150,IF(Matching_Engine!$BD$72&gt;=60,35,Lookup_Lists!$D$151)))))</f>
      </c>
      <c r="V72" s="47">
        <f>IF(Brand_Profile!$F$86=0,Lookup_Lists!$D$150,ROUND((IF(Brand_Profile!$F$81="",0,IF(ISNUMBER(SEARCH(Brand_Profile!$F$81,Matching_Engine!$BG$72)),1,0))+IF(Brand_Profile!$F$82="",0,IF(ISNUMBER(SEARCH(Brand_Profile!$F$82,Matching_Engine!$BG$72)),1,0))+IF(Brand_Profile!$F$83="",0,IF(ISNUMBER(SEARCH(Brand_Profile!$F$83,Matching_Engine!$BG$72)),1,0))+IF(Brand_Profile!$F$84="",0,IF(ISNUMBER(SEARCH(Brand_Profile!$F$84,Matching_Engine!$BG$72)),1,0))+IF(Brand_Profile!$F$85="",0,IF(ISNUMBER(SEARCH(Brand_Profile!$F$85,Matching_Engine!$BG$72)),1,0)))/Brand_Profile!$F$86*100,0))</f>
      </c>
      <c r="W72" s="47">
        <f>IF(Brand_Profile!$F$39="",Lookup_Lists!$D$150,IFERROR(INDEX(Lookup_Lists!$B$237:$K$246,MATCH(Brand_Profile!$F$39,Lookup_Lists!$A$237:$A$246,0),MATCH(KOL_Database!$AJ$11,Lookup_Lists!$B$236:$K$236,0)),45))</f>
      </c>
      <c r="X72" s="47">
        <f>ROUND((Matching_Engine!$T$72*Lookup_Lists!$D$121+Matching_Engine!$U$72*Lookup_Lists!$D$122+Matching_Engine!$V$72*Lookup_Lists!$D$123+Matching_Engine!$W$72*Lookup_Lists!$D$124)/(Lookup_Lists!$D$121+Lookup_Lists!$D$122+Lookup_Lists!$D$123+Lookup_Lists!$D$124),0)</f>
      </c>
      <c r="Y72" s="47">
        <f>MIN(100,MAX(IFERROR(INDEX(Lookup_Lists!$B$202:$M$211,MATCH(Brand_Profile!$F$25,Lookup_Lists!$A$202:$A$211,0),MATCH(KOL_Database!$AK$11,Lookup_Lists!$B$201:$M$201,0)),40),IF(KOL_Database!$AK$11=Brand_Profile!$F$41,95,0)))</f>
      </c>
      <c r="Z72" s="47">
        <f>IFERROR(INDEX(Lookup_Lists!$B$215:$K$222,MATCH(Brand_Profile!$F$27,Lookup_Lists!$A$215:$A$222,0),MATCH(KOL_Database!$AJ$11,Lookup_Lists!$B$214:$K$214,0)),45)</f>
      </c>
      <c r="AA72" s="47">
        <f>ROUND((IF(Brand_Profile!$F$80=0,Lookup_Lists!$D$150,ROUND((IF(Brand_Profile!$F$75="",0,IF(ISNUMBER(SEARCH(Brand_Profile!$F$75,KOL_Database!$AL$11)),1,0))+IF(Brand_Profile!$F$76="",0,IF(ISNUMBER(SEARCH(Brand_Profile!$F$76,KOL_Database!$AL$11)),1,0))+IF(Brand_Profile!$F$77="",0,IF(ISNUMBER(SEARCH(Brand_Profile!$F$77,KOL_Database!$AL$11)),1,0))+IF(Brand_Profile!$F$78="",0,IF(ISNUMBER(SEARCH(Brand_Profile!$F$78,KOL_Database!$AL$11)),1,0))+IF(Brand_Profile!$F$79="",0,IF(ISNUMBER(SEARCH(Brand_Profile!$F$79,KOL_Database!$AL$11)),1,0)))/Brand_Profile!$F$80*100,0))+IF(Brand_Profile!$F$92=0,Lookup_Lists!$D$150,ROUND((IF(Brand_Profile!$F$87="",0,IF(ISNUMBER(SEARCH(Brand_Profile!$F$87,KOL_Database!$AL$11)),1,0))+IF(Brand_Profile!$F$88="",0,IF(ISNUMBER(SEARCH(Brand_Profile!$F$88,KOL_Database!$AL$11)),1,0))+IF(Brand_Profile!$F$89="",0,IF(ISNUMBER(SEARCH(Brand_Profile!$F$89,KOL_Database!$AL$11)),1,0))+IF(Brand_Profile!$F$90="",0,IF(ISNUMBER(SEARCH(Brand_Profile!$F$90,KOL_Database!$AL$11)),1,0))+IF(Brand_Profile!$F$91="",0,IF(ISNUMBER(SEARCH(Brand_Profile!$F$91,KOL_Database!$AL$11)),1,0)))/Brand_Profile!$F$92*100,0)))/2,0)</f>
      </c>
      <c r="AB72" s="47">
        <f>IFERROR(INDEX(Lookup_Lists!$B$226:$K$233,MATCH(Brand_Profile!$F$30,Lookup_Lists!$A$226:$A$233,0),MATCH(KOL_Database!$AJ$11,Lookup_Lists!$B$225:$K$225,0)),45)</f>
      </c>
      <c r="AC72" s="47">
        <f>ROUND((Matching_Engine!$Y$72*Lookup_Lists!$D$125+Matching_Engine!$Z$72*Lookup_Lists!$D$126+Matching_Engine!$AA$72*Lookup_Lists!$D$127+Matching_Engine!$AB$72*Lookup_Lists!$D$128)/(Lookup_Lists!$D$125+Lookup_Lists!$D$126+Lookup_Lists!$D$127+Lookup_Lists!$D$128),0)</f>
      </c>
      <c r="AD72" s="47">
        <f>IF(KOL_Database!$K$11="",0,MIN(100,ROUND(KOL_Database!$K$11/Lookup_Lists!$D$141*100,0)))</f>
      </c>
      <c r="AE72" s="47">
        <f>IF(KOL_Database!$R$11="",0,MIN(100,MAX(0,KOL_Database!$R$11)))</f>
      </c>
      <c r="AF72" s="47">
        <f>IF(KOL_Database!$P$11="",0,MIN(100,MAX(0,KOL_Database!$P$11)))</f>
      </c>
      <c r="AG72" s="47">
        <f>IF(KOL_Database!$Q$11="",0,MIN(100,MAX(0,KOL_Database!$Q$11)))</f>
      </c>
      <c r="AH72" s="47">
        <f>IF(OR(KOL_Database!$J$11="",KOL_Database!$J$11=0,KOL_Database!$L$11=""),0,MIN(100,ROUND(KOL_Database!$L$11/KOL_Database!$J$11/Lookup_Lists!$D$144*100,0)))</f>
      </c>
      <c r="AI72" s="47">
        <f>IF(KOL_Database!$N$11="",0,MIN(100,MAX(0,ROUND((KOL_Database!$N$11+2)/(Lookup_Lists!$D$145+2)*100,0))))</f>
      </c>
      <c r="AJ72" s="47">
        <f>ROUND((Matching_Engine!$AD$72*Lookup_Lists!$D$129+Matching_Engine!$AE$72*Lookup_Lists!$D$130+Matching_Engine!$AF$72*Lookup_Lists!$D$131+Matching_Engine!$AG$72*Lookup_Lists!$D$132+Matching_Engine!$AH$72*Lookup_Lists!$D$133+Matching_Engine!$AI$72*Lookup_Lists!$D$134)/(Lookup_Lists!$D$129+Lookup_Lists!$D$130+Lookup_Lists!$D$131+Lookup_Lists!$D$132+Lookup_Lists!$D$133+Lookup_Lists!$D$134),0)</f>
      </c>
      <c r="AK72" s="47">
        <f>IF(KOL_Database!$AT$11="",0,MIN(100,MAX(0,KOL_Database!$AT$11)))</f>
      </c>
      <c r="AL72" s="47">
        <f>IF(KOL_Database!$AU$11="",0,KOL_Database!$AU$11)</f>
      </c>
      <c r="AM72" s="44">
        <f>IF(KOL_Database!$AV$11="","None",KOL_Database!$AV$11)</f>
      </c>
      <c r="AN72" s="48">
        <f>IF(Matching_Engine!$AM$72="High",Lookup_Lists!$D$137,IF(Matching_Engine!$AM$72="Medium",Lookup_Lists!$D$138,IF(Matching_Engine!$AM$72="Low",Lookup_Lists!$D$139,Lookup_Lists!$D$140)))</f>
      </c>
      <c r="AO72" s="47">
        <f>ROUND(MIN(100,MAX(0,(Matching_Engine!$AK$72*Lookup_Lists!$D$135+(100-Matching_Engine!$AL$72)*Lookup_Lists!$D$136)/(Lookup_Lists!$D$135+Lookup_Lists!$D$136)*Matching_Engine!$AN$72)),0)</f>
      </c>
      <c r="AP72" s="49">
        <f>ROUND((Matching_Engine!$N$72*Lookup_Lists!$D$104+Matching_Engine!$S$72*Lookup_Lists!$D$105+Matching_Engine!$X$72*Lookup_Lists!$D$106+Matching_Engine!$AC$72*Lookup_Lists!$D$107+Matching_Engine!$AJ$72*Lookup_Lists!$D$108+Matching_Engine!$AO$72*Lookup_Lists!$D$109)/MAX(1,(Lookup_Lists!$D$104+Lookup_Lists!$D$105+Lookup_Lists!$D$106+Lookup_Lists!$D$107+Lookup_Lists!$D$108+Lookup_Lists!$D$109)),0)</f>
      </c>
      <c r="AQ72" s="44">
        <f>IF(Matching_Engine!$AP$72&gt;=Lookup_Lists!$D$152,"Excellent Match",IF(Matching_Engine!$AP$72&gt;=Lookup_Lists!$D$153,"Strong Match",IF(Matching_Engine!$AP$72&gt;=Lookup_Lists!$D$154,"Good Match",IF(Matching_Engine!$AP$72&gt;=Lookup_Lists!$D$155,"Moderate Match","Low Match"))))</f>
      </c>
      <c r="AR72" s="47">
        <f>KOL_Database!$BE$11</f>
      </c>
      <c r="AS72" s="44">
        <f>IF(Matching_Engine!$AR$72&gt;=Lookup_Lists!$D$159,"High",IF(Matching_Engine!$AR$72&gt;=Lookup_Lists!$D$160,"Medium","Limited Data"))</f>
      </c>
      <c r="AT72" s="47">
        <f>ROUND((Matching_Engine!$N$72+Matching_Engine!$X$72+Matching_Engine!$AC$72)/3,0)</f>
      </c>
      <c r="AU72" s="47">
        <f>ROUND(((100-Matching_Engine!$AL$72)*Lookup_Lists!$D$162+IF(KOL_Database!$BD$11="",Lookup_Lists!$D$150,KOL_Database!$BD$11)*Lookup_Lists!$D$163+Matching_Engine!$AI$72*Lookup_Lists!$D$164+Matching_Engine!$AD$72*Lookup_Lists!$D$165)/(Lookup_Lists!$D$162+Lookup_Lists!$D$163+Lookup_Lists!$D$164+Lookup_Lists!$D$165),0)</f>
      </c>
      <c r="AV72" s="44">
        <f>IF(Matching_Engine!$AW$72="","PASS","EXCLUDED")</f>
      </c>
      <c r="AW72" s="44">
        <f>IF(ISERROR(SEARCH(KOL_Database!$D$11,Brand_Profile!$F$32)),"Platform not in Preferred Platform",IF(AND(Brand_Profile!$F$36&gt;0,KOL_Database!$J$11&lt;Brand_Profile!$F$36),"Followers below Preferred Follower Range",IF(AND(Brand_Profile!$F$37&gt;0,KOL_Database!$J$11&gt;Brand_Profile!$F$37),"Followers above Preferred Follower Range",IF(AND(Brand_Profile!$F$38&gt;0,IF(KOL_Database!$K$11="",0,KOL_Database!$K$11)&lt;Brand_Profile!$F$38),"Engagement Rate below Minimum Engagement Rate",IF(ISERROR(SEARCH(KOL_Database!$G$11,Brand_Profile!$F$35)),"Tier not in Preferred Tier",IF(AND(Brand_Profile!$F$43&gt;0,Matching_Engine!$AE$72&lt;Brand_Profile!$F$43),"Audience Quality below Minimum Audience Quality",IF(AND(Brand_Profile!$F$44&gt;0,Matching_Engine!$AK$72&lt;Brand_Profile!$F$44),"Brand Safety below Minimum Brand Safety",IF(AND(Brand_Profile!$F$47="Yes",KOL_Database!$AD$11&lt;&gt;Brand_Profile!$F$19),"Audience Country does not match Target Country",IF(AND(Brand_Profile!$F$46="Yes",KOL_Database!$E$11&lt;&gt;Brand_Profile!$F$33),"Category is not the Preferred Category",IF(AND(Brand_Profile!$F$48&gt;0,Matching_Engine!$AL$72&gt;Brand_Profile!$F$48),"Competitor Saturation above Max Competitor Saturation",IF(AND(Brand_Profile!$F$50="Yes",KOL_Database!$AW$11="Yes"),"Already Selected",IF(AND(Brand_Profile!$F$51="Yes",KOL_Database!$AX$11="Yes"),"Already in Cart",IF(AND(Brand_Profile!$F$52="Yes",KOL_Database!$AY$11="Yes"),"Existing Partner",IF(AND(Brand_Profile!$F$53="Yes",KOL_Database!$AZ$11="Yes"),"Excluded Creator",IF(AND(Brand_Profile!$F$49&gt;0,Matching_Engine!$AP$72&lt;Brand_Profile!$F$49),"Brand Match below Minimum Brand Match","")))))))))))))))</f>
      </c>
      <c r="AX72" s="44">
        <f>IF(Matching_Engine!$AV$72="EXCLUDED","Excluded",IF(Matching_Engine!$AP$72&gt;=Lookup_Lists!$D$156,"Highly Recommended",IF(Matching_Engine!$AP$72&gt;=Lookup_Lists!$D$157,"Recommended",IF(Matching_Engine!$AP$72&gt;=Lookup_Lists!$D$158,"Consider","Low Priority"))))</f>
      </c>
      <c r="AY72" s="47">
        <f>IF(Matching_Engine!$AV$72="PASS",Matching_Engine!$AP$72,"")</f>
      </c>
      <c r="AZ72" s="44">
        <f>Matching_Engine!$A$72&amp;"|"&amp;Matching_Engine!$C$72</f>
      </c>
      <c r="BA72" s="44">
        <f>IFERROR(INDEX(Lookup_Lists!$B$51:$B$92,MATCH(Brand_Profile!$F$12,Lookup_Lists!$A$51:$A$92,0)),"")</f>
      </c>
      <c r="BB72" s="44">
        <f>IFERROR(INDEX(Lookup_Lists!$B$51:$B$92,MATCH(KOL_Database!$F$11,Lookup_Lists!$A$51:$A$92,0)),"")</f>
      </c>
      <c r="BC72" s="47">
        <f>IFERROR(INDEX(Lookup_Lists!$B$185:$O$198,MATCH(Matching_Engine!$BA$72,Lookup_Lists!$A$185:$A$198,0),MATCH(KOL_Database!$E$11,Lookup_Lists!$B$184:$O$184,0)),Lookup_Lists!$D$151)</f>
      </c>
      <c r="BD72" s="47">
        <f>IFERROR(INDEX(Lookup_Lists!$B$185:$O$198,MATCH(Brand_Profile!$F$33,Lookup_Lists!$A$185:$A$198,0),MATCH(KOL_Database!$E$11,Lookup_Lists!$B$184:$O$184,0)),Lookup_Lists!$D$151)</f>
      </c>
      <c r="BE72" s="44">
        <f>IFERROR(INDEX(Lookup_Lists!$B$51:$B$92,MATCH(Brand_Profile!$F$34,Lookup_Lists!$A$51:$A$92,0)),"")</f>
      </c>
      <c r="BF72" s="44">
        <f>KOL_Database!$AI$11&amp;", "&amp;KOL_Database!$AG$11&amp;", "&amp;KOL_Database!$F$11&amp;", "&amp;KOL_Database!$E$11</f>
      </c>
      <c r="BG72" s="44">
        <f>KOL_Database!$AI$11&amp;", "&amp;KOL_Database!$AG$11</f>
      </c>
    </row>
    <row r="73" spans="1:59" x14ac:dyDescent="0.25">
      <c r="A73" s="43" t="s">
        <v>77</v>
      </c>
      <c r="B73" s="44">
        <f>Brand_Profile!$F$9</f>
      </c>
      <c r="C73" s="44">
        <f>KOL_Database!$A$12</f>
      </c>
      <c r="D73" s="44">
        <f>KOL_Database!$B$12</f>
      </c>
      <c r="E73" s="44">
        <f>KOL_Database!$C$12</f>
      </c>
      <c r="F73" s="44">
        <f>KOL_Database!$D$12</f>
      </c>
      <c r="G73" s="44">
        <f>KOL_Database!$E$12</f>
      </c>
      <c r="H73" s="44">
        <f>KOL_Database!$G$12</f>
      </c>
      <c r="I73" s="45">
        <f>KOL_Database!$J$12</f>
      </c>
      <c r="J73" s="46">
        <f>KOL_Database!$K$12</f>
      </c>
      <c r="K73" s="47">
        <f>IFERROR(INDEX(Lookup_Lists!$B$170:$O$181,MATCH(Brand_Profile!$F$10,Lookup_Lists!$A$170:$A$181,0),MATCH(KOL_Database!$E$12,Lookup_Lists!$B$169:$O$169,0)),Lookup_Lists!$D$151)</f>
      </c>
      <c r="L73" s="47">
        <f>IF(KOL_Database!$F$12="",Matching_Engine!$BC$73,IF(Brand_Profile!$F$12=KOL_Database!$F$12,100,IF(Matching_Engine!$BA$73=KOL_Database!$E$12,80,IF(Matching_Engine!$BC$73&gt;=80,60,IF(Matching_Engine!$BC$73&gt;=60,40,Lookup_Lists!$D$151)))))</f>
      </c>
      <c r="M73" s="47">
        <f>ROUND((IF(Brand_Profile!$F$62=0,Lookup_Lists!$D$150,ROUND((IF(Brand_Profile!$F$57="",0,IF(ISNUMBER(SEARCH(Brand_Profile!$F$57,Matching_Engine!$BF$73)),1,0))+IF(Brand_Profile!$F$58="",0,IF(ISNUMBER(SEARCH(Brand_Profile!$F$58,Matching_Engine!$BF$73)),1,0))+IF(Brand_Profile!$F$59="",0,IF(ISNUMBER(SEARCH(Brand_Profile!$F$59,Matching_Engine!$BF$73)),1,0))+IF(Brand_Profile!$F$60="",0,IF(ISNUMBER(SEARCH(Brand_Profile!$F$60,Matching_Engine!$BF$73)),1,0))+IF(Brand_Profile!$F$61="",0,IF(ISNUMBER(SEARCH(Brand_Profile!$F$61,Matching_Engine!$BF$73)),1,0)))/Brand_Profile!$F$62*100,0))+IF(Brand_Profile!$F$74=0,Lookup_Lists!$D$150,ROUND((IF(Brand_Profile!$F$69="",0,IF(ISNUMBER(SEARCH(Brand_Profile!$F$69,Matching_Engine!$BF$73)),1,0))+IF(Brand_Profile!$F$70="",0,IF(ISNUMBER(SEARCH(Brand_Profile!$F$70,Matching_Engine!$BF$73)),1,0))+IF(Brand_Profile!$F$71="",0,IF(ISNUMBER(SEARCH(Brand_Profile!$F$71,Matching_Engine!$BF$73)),1,0))+IF(Brand_Profile!$F$72="",0,IF(ISNUMBER(SEARCH(Brand_Profile!$F$72,Matching_Engine!$BF$73)),1,0))+IF(Brand_Profile!$F$73="",0,IF(ISNUMBER(SEARCH(Brand_Profile!$F$73,Matching_Engine!$BF$73)),1,0)))/Brand_Profile!$F$74*100,0)))/2,0)</f>
      </c>
      <c r="N73" s="47">
        <f>ROUND((Matching_Engine!$K$73*Lookup_Lists!$D$110+Matching_Engine!$L$73*Lookup_Lists!$D$111+Matching_Engine!$M$73*Lookup_Lists!$D$112)/(Lookup_Lists!$D$110+Lookup_Lists!$D$111+Lookup_Lists!$D$112),0)</f>
      </c>
      <c r="O73" s="47">
        <f>IF(Brand_Profile!$F$16="",Lookup_Lists!$D$150,MIN(100,ROUND((IFERROR(INDEX(KOL_Database!$W$12:KOL_Database!$AA$12,1,MATCH(Brand_Profile!$F$16,Lookup_Lists!$F$6:$F$10,0)),0)+0.5*IFERROR(INDEX(KOL_Database!$W$12:KOL_Database!$AA$12,1,MATCH(Brand_Profile!$F$17,Lookup_Lists!$F$6:$F$10,0)),0))/Lookup_Lists!$D$142*100,0)))</f>
      </c>
      <c r="P73" s="47">
        <f>IF(OR(Brand_Profile!$F$18="",Brand_Profile!$F$18="Any"),100,IF(Brand_Profile!$F$18="Female",MIN(100,ROUND(KOL_Database!$AB$12/Lookup_Lists!$D$143*100,0)),IF(Brand_Profile!$F$18="Male",MIN(100,ROUND(KOL_Database!$AC$12/Lookup_Lists!$D$143*100,0)),MAX(0,ROUND(100-ABS(KOL_Database!$AB$12-50)*2,0)))))</f>
      </c>
      <c r="Q73" s="47">
        <f>ROUND((IF(Brand_Profile!$F$19="",100,IF(KOL_Database!$AD$12=Brand_Profile!$F$19,100,Lookup_Lists!$D$151))*Lookup_Lists!$D$118+IF(OR(Brand_Profile!$F$20="",Brand_Profile!$F$20="Nasional"),100,IF(KOL_Database!$AE$12="",Lookup_Lists!$D$150,IF(KOL_Database!$AE$12=Brand_Profile!$F$20,100,IF(KOL_Database!$AD$12=Brand_Profile!$F$19,40,Lookup_Lists!$D$151))))*Lookup_Lists!$D$119+IF(OR(Brand_Profile!$F$21="",Brand_Profile!$F$21="Nasional"),100,IF(KOL_Database!$AF$12="",Lookup_Lists!$D$150,IF(KOL_Database!$AF$12=Brand_Profile!$F$21,100,IF(KOL_Database!$AE$12=Brand_Profile!$F$20,60,Lookup_Lists!$D$151))))*Lookup_Lists!$D$120)/(Lookup_Lists!$D$118+Lookup_Lists!$D$119+Lookup_Lists!$D$120),0)</f>
      </c>
      <c r="R73" s="47">
        <f>IF(Brand_Profile!$F$68=0,Lookup_Lists!$D$150,ROUND((IF(Brand_Profile!$F$63="",0,IF(ISNUMBER(SEARCH(Brand_Profile!$F$63,KOL_Database!$AG$12)),1,0))+IF(Brand_Profile!$F$64="",0,IF(ISNUMBER(SEARCH(Brand_Profile!$F$64,KOL_Database!$AG$12)),1,0))+IF(Brand_Profile!$F$65="",0,IF(ISNUMBER(SEARCH(Brand_Profile!$F$65,KOL_Database!$AG$12)),1,0))+IF(Brand_Profile!$F$66="",0,IF(ISNUMBER(SEARCH(Brand_Profile!$F$66,KOL_Database!$AG$12)),1,0))+IF(Brand_Profile!$F$67="",0,IF(ISNUMBER(SEARCH(Brand_Profile!$F$67,KOL_Database!$AG$12)),1,0)))/Brand_Profile!$F$68*100,0))</f>
      </c>
      <c r="S73" s="47">
        <f>ROUND((Matching_Engine!$O$73*Brand_Profile!$F$96+Matching_Engine!$P$73*Brand_Profile!$F$97+Matching_Engine!$Q$73*Brand_Profile!$F$98+Matching_Engine!$R$73*Brand_Profile!$F$99)/MAX(1,Brand_Profile!$F$96+Brand_Profile!$F$97+Brand_Profile!$F$98+Brand_Profile!$F$99),0)</f>
      </c>
      <c r="T73" s="47">
        <f>IF(Brand_Profile!$F$33="",Lookup_Lists!$D$150,Matching_Engine!$BD$73)</f>
      </c>
      <c r="U73" s="47">
        <f>IF(Brand_Profile!$F$34="",Lookup_Lists!$D$150,IF(Brand_Profile!$F$34=KOL_Database!$F$12,100,IF(Matching_Engine!$BE$73=KOL_Database!$E$12,75,IF(Matching_Engine!$BD$73&gt;=80,Lookup_Lists!$D$150,IF(Matching_Engine!$BD$73&gt;=60,35,Lookup_Lists!$D$151)))))</f>
      </c>
      <c r="V73" s="47">
        <f>IF(Brand_Profile!$F$86=0,Lookup_Lists!$D$150,ROUND((IF(Brand_Profile!$F$81="",0,IF(ISNUMBER(SEARCH(Brand_Profile!$F$81,Matching_Engine!$BG$73)),1,0))+IF(Brand_Profile!$F$82="",0,IF(ISNUMBER(SEARCH(Brand_Profile!$F$82,Matching_Engine!$BG$73)),1,0))+IF(Brand_Profile!$F$83="",0,IF(ISNUMBER(SEARCH(Brand_Profile!$F$83,Matching_Engine!$BG$73)),1,0))+IF(Brand_Profile!$F$84="",0,IF(ISNUMBER(SEARCH(Brand_Profile!$F$84,Matching_Engine!$BG$73)),1,0))+IF(Brand_Profile!$F$85="",0,IF(ISNUMBER(SEARCH(Brand_Profile!$F$85,Matching_Engine!$BG$73)),1,0)))/Brand_Profile!$F$86*100,0))</f>
      </c>
      <c r="W73" s="47">
        <f>IF(Brand_Profile!$F$39="",Lookup_Lists!$D$150,IFERROR(INDEX(Lookup_Lists!$B$237:$K$246,MATCH(Brand_Profile!$F$39,Lookup_Lists!$A$237:$A$246,0),MATCH(KOL_Database!$AJ$12,Lookup_Lists!$B$236:$K$236,0)),45))</f>
      </c>
      <c r="X73" s="47">
        <f>ROUND((Matching_Engine!$T$73*Lookup_Lists!$D$121+Matching_Engine!$U$73*Lookup_Lists!$D$122+Matching_Engine!$V$73*Lookup_Lists!$D$123+Matching_Engine!$W$73*Lookup_Lists!$D$124)/(Lookup_Lists!$D$121+Lookup_Lists!$D$122+Lookup_Lists!$D$123+Lookup_Lists!$D$124),0)</f>
      </c>
      <c r="Y73" s="47">
        <f>MIN(100,MAX(IFERROR(INDEX(Lookup_Lists!$B$202:$M$211,MATCH(Brand_Profile!$F$25,Lookup_Lists!$A$202:$A$211,0),MATCH(KOL_Database!$AK$12,Lookup_Lists!$B$201:$M$201,0)),40),IF(KOL_Database!$AK$12=Brand_Profile!$F$41,95,0)))</f>
      </c>
      <c r="Z73" s="47">
        <f>IFERROR(INDEX(Lookup_Lists!$B$215:$K$222,MATCH(Brand_Profile!$F$27,Lookup_Lists!$A$215:$A$222,0),MATCH(KOL_Database!$AJ$12,Lookup_Lists!$B$214:$K$214,0)),45)</f>
      </c>
      <c r="AA73" s="47">
        <f>ROUND((IF(Brand_Profile!$F$80=0,Lookup_Lists!$D$150,ROUND((IF(Brand_Profile!$F$75="",0,IF(ISNUMBER(SEARCH(Brand_Profile!$F$75,KOL_Database!$AL$12)),1,0))+IF(Brand_Profile!$F$76="",0,IF(ISNUMBER(SEARCH(Brand_Profile!$F$76,KOL_Database!$AL$12)),1,0))+IF(Brand_Profile!$F$77="",0,IF(ISNUMBER(SEARCH(Brand_Profile!$F$77,KOL_Database!$AL$12)),1,0))+IF(Brand_Profile!$F$78="",0,IF(ISNUMBER(SEARCH(Brand_Profile!$F$78,KOL_Database!$AL$12)),1,0))+IF(Brand_Profile!$F$79="",0,IF(ISNUMBER(SEARCH(Brand_Profile!$F$79,KOL_Database!$AL$12)),1,0)))/Brand_Profile!$F$80*100,0))+IF(Brand_Profile!$F$92=0,Lookup_Lists!$D$150,ROUND((IF(Brand_Profile!$F$87="",0,IF(ISNUMBER(SEARCH(Brand_Profile!$F$87,KOL_Database!$AL$12)),1,0))+IF(Brand_Profile!$F$88="",0,IF(ISNUMBER(SEARCH(Brand_Profile!$F$88,KOL_Database!$AL$12)),1,0))+IF(Brand_Profile!$F$89="",0,IF(ISNUMBER(SEARCH(Brand_Profile!$F$89,KOL_Database!$AL$12)),1,0))+IF(Brand_Profile!$F$90="",0,IF(ISNUMBER(SEARCH(Brand_Profile!$F$90,KOL_Database!$AL$12)),1,0))+IF(Brand_Profile!$F$91="",0,IF(ISNUMBER(SEARCH(Brand_Profile!$F$91,KOL_Database!$AL$12)),1,0)))/Brand_Profile!$F$92*100,0)))/2,0)</f>
      </c>
      <c r="AB73" s="47">
        <f>IFERROR(INDEX(Lookup_Lists!$B$226:$K$233,MATCH(Brand_Profile!$F$30,Lookup_Lists!$A$226:$A$233,0),MATCH(KOL_Database!$AJ$12,Lookup_Lists!$B$225:$K$225,0)),45)</f>
      </c>
      <c r="AC73" s="47">
        <f>ROUND((Matching_Engine!$Y$73*Lookup_Lists!$D$125+Matching_Engine!$Z$73*Lookup_Lists!$D$126+Matching_Engine!$AA$73*Lookup_Lists!$D$127+Matching_Engine!$AB$73*Lookup_Lists!$D$128)/(Lookup_Lists!$D$125+Lookup_Lists!$D$126+Lookup_Lists!$D$127+Lookup_Lists!$D$128),0)</f>
      </c>
      <c r="AD73" s="47">
        <f>IF(KOL_Database!$K$12="",0,MIN(100,ROUND(KOL_Database!$K$12/Lookup_Lists!$D$141*100,0)))</f>
      </c>
      <c r="AE73" s="47">
        <f>IF(KOL_Database!$R$12="",0,MIN(100,MAX(0,KOL_Database!$R$12)))</f>
      </c>
      <c r="AF73" s="47">
        <f>IF(KOL_Database!$P$12="",0,MIN(100,MAX(0,KOL_Database!$P$12)))</f>
      </c>
      <c r="AG73" s="47">
        <f>IF(KOL_Database!$Q$12="",0,MIN(100,MAX(0,KOL_Database!$Q$12)))</f>
      </c>
      <c r="AH73" s="47">
        <f>IF(OR(KOL_Database!$J$12="",KOL_Database!$J$12=0,KOL_Database!$L$12=""),0,MIN(100,ROUND(KOL_Database!$L$12/KOL_Database!$J$12/Lookup_Lists!$D$144*100,0)))</f>
      </c>
      <c r="AI73" s="47">
        <f>IF(KOL_Database!$N$12="",0,MIN(100,MAX(0,ROUND((KOL_Database!$N$12+2)/(Lookup_Lists!$D$145+2)*100,0))))</f>
      </c>
      <c r="AJ73" s="47">
        <f>ROUND((Matching_Engine!$AD$73*Lookup_Lists!$D$129+Matching_Engine!$AE$73*Lookup_Lists!$D$130+Matching_Engine!$AF$73*Lookup_Lists!$D$131+Matching_Engine!$AG$73*Lookup_Lists!$D$132+Matching_Engine!$AH$73*Lookup_Lists!$D$133+Matching_Engine!$AI$73*Lookup_Lists!$D$134)/(Lookup_Lists!$D$129+Lookup_Lists!$D$130+Lookup_Lists!$D$131+Lookup_Lists!$D$132+Lookup_Lists!$D$133+Lookup_Lists!$D$134),0)</f>
      </c>
      <c r="AK73" s="47">
        <f>IF(KOL_Database!$AT$12="",0,MIN(100,MAX(0,KOL_Database!$AT$12)))</f>
      </c>
      <c r="AL73" s="47">
        <f>IF(KOL_Database!$AU$12="",0,KOL_Database!$AU$12)</f>
      </c>
      <c r="AM73" s="44">
        <f>IF(KOL_Database!$AV$12="","None",KOL_Database!$AV$12)</f>
      </c>
      <c r="AN73" s="48">
        <f>IF(Matching_Engine!$AM$73="High",Lookup_Lists!$D$137,IF(Matching_Engine!$AM$73="Medium",Lookup_Lists!$D$138,IF(Matching_Engine!$AM$73="Low",Lookup_Lists!$D$139,Lookup_Lists!$D$140)))</f>
      </c>
      <c r="AO73" s="47">
        <f>ROUND(MIN(100,MAX(0,(Matching_Engine!$AK$73*Lookup_Lists!$D$135+(100-Matching_Engine!$AL$73)*Lookup_Lists!$D$136)/(Lookup_Lists!$D$135+Lookup_Lists!$D$136)*Matching_Engine!$AN$73)),0)</f>
      </c>
      <c r="AP73" s="49">
        <f>ROUND((Matching_Engine!$N$73*Lookup_Lists!$D$104+Matching_Engine!$S$73*Lookup_Lists!$D$105+Matching_Engine!$X$73*Lookup_Lists!$D$106+Matching_Engine!$AC$73*Lookup_Lists!$D$107+Matching_Engine!$AJ$73*Lookup_Lists!$D$108+Matching_Engine!$AO$73*Lookup_Lists!$D$109)/MAX(1,(Lookup_Lists!$D$104+Lookup_Lists!$D$105+Lookup_Lists!$D$106+Lookup_Lists!$D$107+Lookup_Lists!$D$108+Lookup_Lists!$D$109)),0)</f>
      </c>
      <c r="AQ73" s="44">
        <f>IF(Matching_Engine!$AP$73&gt;=Lookup_Lists!$D$152,"Excellent Match",IF(Matching_Engine!$AP$73&gt;=Lookup_Lists!$D$153,"Strong Match",IF(Matching_Engine!$AP$73&gt;=Lookup_Lists!$D$154,"Good Match",IF(Matching_Engine!$AP$73&gt;=Lookup_Lists!$D$155,"Moderate Match","Low Match"))))</f>
      </c>
      <c r="AR73" s="47">
        <f>KOL_Database!$BE$12</f>
      </c>
      <c r="AS73" s="44">
        <f>IF(Matching_Engine!$AR$73&gt;=Lookup_Lists!$D$159,"High",IF(Matching_Engine!$AR$73&gt;=Lookup_Lists!$D$160,"Medium","Limited Data"))</f>
      </c>
      <c r="AT73" s="47">
        <f>ROUND((Matching_Engine!$N$73+Matching_Engine!$X$73+Matching_Engine!$AC$73)/3,0)</f>
      </c>
      <c r="AU73" s="47">
        <f>ROUND(((100-Matching_Engine!$AL$73)*Lookup_Lists!$D$162+IF(KOL_Database!$BD$12="",Lookup_Lists!$D$150,KOL_Database!$BD$12)*Lookup_Lists!$D$163+Matching_Engine!$AI$73*Lookup_Lists!$D$164+Matching_Engine!$AD$73*Lookup_Lists!$D$165)/(Lookup_Lists!$D$162+Lookup_Lists!$D$163+Lookup_Lists!$D$164+Lookup_Lists!$D$165),0)</f>
      </c>
      <c r="AV73" s="44">
        <f>IF(Matching_Engine!$AW$73="","PASS","EXCLUDED")</f>
      </c>
      <c r="AW73" s="44">
        <f>IF(ISERROR(SEARCH(KOL_Database!$D$12,Brand_Profile!$F$32)),"Platform not in Preferred Platform",IF(AND(Brand_Profile!$F$36&gt;0,KOL_Database!$J$12&lt;Brand_Profile!$F$36),"Followers below Preferred Follower Range",IF(AND(Brand_Profile!$F$37&gt;0,KOL_Database!$J$12&gt;Brand_Profile!$F$37),"Followers above Preferred Follower Range",IF(AND(Brand_Profile!$F$38&gt;0,IF(KOL_Database!$K$12="",0,KOL_Database!$K$12)&lt;Brand_Profile!$F$38),"Engagement Rate below Minimum Engagement Rate",IF(ISERROR(SEARCH(KOL_Database!$G$12,Brand_Profile!$F$35)),"Tier not in Preferred Tier",IF(AND(Brand_Profile!$F$43&gt;0,Matching_Engine!$AE$73&lt;Brand_Profile!$F$43),"Audience Quality below Minimum Audience Quality",IF(AND(Brand_Profile!$F$44&gt;0,Matching_Engine!$AK$73&lt;Brand_Profile!$F$44),"Brand Safety below Minimum Brand Safety",IF(AND(Brand_Profile!$F$47="Yes",KOL_Database!$AD$12&lt;&gt;Brand_Profile!$F$19),"Audience Country does not match Target Country",IF(AND(Brand_Profile!$F$46="Yes",KOL_Database!$E$12&lt;&gt;Brand_Profile!$F$33),"Category is not the Preferred Category",IF(AND(Brand_Profile!$F$48&gt;0,Matching_Engine!$AL$73&gt;Brand_Profile!$F$48),"Competitor Saturation above Max Competitor Saturation",IF(AND(Brand_Profile!$F$50="Yes",KOL_Database!$AW$12="Yes"),"Already Selected",IF(AND(Brand_Profile!$F$51="Yes",KOL_Database!$AX$12="Yes"),"Already in Cart",IF(AND(Brand_Profile!$F$52="Yes",KOL_Database!$AY$12="Yes"),"Existing Partner",IF(AND(Brand_Profile!$F$53="Yes",KOL_Database!$AZ$12="Yes"),"Excluded Creator",IF(AND(Brand_Profile!$F$49&gt;0,Matching_Engine!$AP$73&lt;Brand_Profile!$F$49),"Brand Match below Minimum Brand Match","")))))))))))))))</f>
      </c>
      <c r="AX73" s="44">
        <f>IF(Matching_Engine!$AV$73="EXCLUDED","Excluded",IF(Matching_Engine!$AP$73&gt;=Lookup_Lists!$D$156,"Highly Recommended",IF(Matching_Engine!$AP$73&gt;=Lookup_Lists!$D$157,"Recommended",IF(Matching_Engine!$AP$73&gt;=Lookup_Lists!$D$158,"Consider","Low Priority"))))</f>
      </c>
      <c r="AY73" s="47">
        <f>IF(Matching_Engine!$AV$73="PASS",Matching_Engine!$AP$73,"")</f>
      </c>
      <c r="AZ73" s="44">
        <f>Matching_Engine!$A$73&amp;"|"&amp;Matching_Engine!$C$73</f>
      </c>
      <c r="BA73" s="44">
        <f>IFERROR(INDEX(Lookup_Lists!$B$51:$B$92,MATCH(Brand_Profile!$F$12,Lookup_Lists!$A$51:$A$92,0)),"")</f>
      </c>
      <c r="BB73" s="44">
        <f>IFERROR(INDEX(Lookup_Lists!$B$51:$B$92,MATCH(KOL_Database!$F$12,Lookup_Lists!$A$51:$A$92,0)),"")</f>
      </c>
      <c r="BC73" s="47">
        <f>IFERROR(INDEX(Lookup_Lists!$B$185:$O$198,MATCH(Matching_Engine!$BA$73,Lookup_Lists!$A$185:$A$198,0),MATCH(KOL_Database!$E$12,Lookup_Lists!$B$184:$O$184,0)),Lookup_Lists!$D$151)</f>
      </c>
      <c r="BD73" s="47">
        <f>IFERROR(INDEX(Lookup_Lists!$B$185:$O$198,MATCH(Brand_Profile!$F$33,Lookup_Lists!$A$185:$A$198,0),MATCH(KOL_Database!$E$12,Lookup_Lists!$B$184:$O$184,0)),Lookup_Lists!$D$151)</f>
      </c>
      <c r="BE73" s="44">
        <f>IFERROR(INDEX(Lookup_Lists!$B$51:$B$92,MATCH(Brand_Profile!$F$34,Lookup_Lists!$A$51:$A$92,0)),"")</f>
      </c>
      <c r="BF73" s="44">
        <f>KOL_Database!$AI$12&amp;", "&amp;KOL_Database!$AG$12&amp;", "&amp;KOL_Database!$F$12&amp;", "&amp;KOL_Database!$E$12</f>
      </c>
      <c r="BG73" s="44">
        <f>KOL_Database!$AI$12&amp;", "&amp;KOL_Database!$AG$12</f>
      </c>
    </row>
    <row r="74" spans="1:59" x14ac:dyDescent="0.25">
      <c r="A74" s="43" t="s">
        <v>77</v>
      </c>
      <c r="B74" s="44">
        <f>Brand_Profile!$F$9</f>
      </c>
      <c r="C74" s="44">
        <f>KOL_Database!$A$13</f>
      </c>
      <c r="D74" s="44">
        <f>KOL_Database!$B$13</f>
      </c>
      <c r="E74" s="44">
        <f>KOL_Database!$C$13</f>
      </c>
      <c r="F74" s="44">
        <f>KOL_Database!$D$13</f>
      </c>
      <c r="G74" s="44">
        <f>KOL_Database!$E$13</f>
      </c>
      <c r="H74" s="44">
        <f>KOL_Database!$G$13</f>
      </c>
      <c r="I74" s="45">
        <f>KOL_Database!$J$13</f>
      </c>
      <c r="J74" s="46">
        <f>KOL_Database!$K$13</f>
      </c>
      <c r="K74" s="47">
        <f>IFERROR(INDEX(Lookup_Lists!$B$170:$O$181,MATCH(Brand_Profile!$F$10,Lookup_Lists!$A$170:$A$181,0),MATCH(KOL_Database!$E$13,Lookup_Lists!$B$169:$O$169,0)),Lookup_Lists!$D$151)</f>
      </c>
      <c r="L74" s="47">
        <f>IF(KOL_Database!$F$13="",Matching_Engine!$BC$74,IF(Brand_Profile!$F$12=KOL_Database!$F$13,100,IF(Matching_Engine!$BA$74=KOL_Database!$E$13,80,IF(Matching_Engine!$BC$74&gt;=80,60,IF(Matching_Engine!$BC$74&gt;=60,40,Lookup_Lists!$D$151)))))</f>
      </c>
      <c r="M74" s="47">
        <f>ROUND((IF(Brand_Profile!$F$62=0,Lookup_Lists!$D$150,ROUND((IF(Brand_Profile!$F$57="",0,IF(ISNUMBER(SEARCH(Brand_Profile!$F$57,Matching_Engine!$BF$74)),1,0))+IF(Brand_Profile!$F$58="",0,IF(ISNUMBER(SEARCH(Brand_Profile!$F$58,Matching_Engine!$BF$74)),1,0))+IF(Brand_Profile!$F$59="",0,IF(ISNUMBER(SEARCH(Brand_Profile!$F$59,Matching_Engine!$BF$74)),1,0))+IF(Brand_Profile!$F$60="",0,IF(ISNUMBER(SEARCH(Brand_Profile!$F$60,Matching_Engine!$BF$74)),1,0))+IF(Brand_Profile!$F$61="",0,IF(ISNUMBER(SEARCH(Brand_Profile!$F$61,Matching_Engine!$BF$74)),1,0)))/Brand_Profile!$F$62*100,0))+IF(Brand_Profile!$F$74=0,Lookup_Lists!$D$150,ROUND((IF(Brand_Profile!$F$69="",0,IF(ISNUMBER(SEARCH(Brand_Profile!$F$69,Matching_Engine!$BF$74)),1,0))+IF(Brand_Profile!$F$70="",0,IF(ISNUMBER(SEARCH(Brand_Profile!$F$70,Matching_Engine!$BF$74)),1,0))+IF(Brand_Profile!$F$71="",0,IF(ISNUMBER(SEARCH(Brand_Profile!$F$71,Matching_Engine!$BF$74)),1,0))+IF(Brand_Profile!$F$72="",0,IF(ISNUMBER(SEARCH(Brand_Profile!$F$72,Matching_Engine!$BF$74)),1,0))+IF(Brand_Profile!$F$73="",0,IF(ISNUMBER(SEARCH(Brand_Profile!$F$73,Matching_Engine!$BF$74)),1,0)))/Brand_Profile!$F$74*100,0)))/2,0)</f>
      </c>
      <c r="N74" s="47">
        <f>ROUND((Matching_Engine!$K$74*Lookup_Lists!$D$110+Matching_Engine!$L$74*Lookup_Lists!$D$111+Matching_Engine!$M$74*Lookup_Lists!$D$112)/(Lookup_Lists!$D$110+Lookup_Lists!$D$111+Lookup_Lists!$D$112),0)</f>
      </c>
      <c r="O74" s="47">
        <f>IF(Brand_Profile!$F$16="",Lookup_Lists!$D$150,MIN(100,ROUND((IFERROR(INDEX(KOL_Database!$W$13:KOL_Database!$AA$13,1,MATCH(Brand_Profile!$F$16,Lookup_Lists!$F$6:$F$10,0)),0)+0.5*IFERROR(INDEX(KOL_Database!$W$13:KOL_Database!$AA$13,1,MATCH(Brand_Profile!$F$17,Lookup_Lists!$F$6:$F$10,0)),0))/Lookup_Lists!$D$142*100,0)))</f>
      </c>
      <c r="P74" s="47">
        <f>IF(OR(Brand_Profile!$F$18="",Brand_Profile!$F$18="Any"),100,IF(Brand_Profile!$F$18="Female",MIN(100,ROUND(KOL_Database!$AB$13/Lookup_Lists!$D$143*100,0)),IF(Brand_Profile!$F$18="Male",MIN(100,ROUND(KOL_Database!$AC$13/Lookup_Lists!$D$143*100,0)),MAX(0,ROUND(100-ABS(KOL_Database!$AB$13-50)*2,0)))))</f>
      </c>
      <c r="Q74" s="47">
        <f>ROUND((IF(Brand_Profile!$F$19="",100,IF(KOL_Database!$AD$13=Brand_Profile!$F$19,100,Lookup_Lists!$D$151))*Lookup_Lists!$D$118+IF(OR(Brand_Profile!$F$20="",Brand_Profile!$F$20="Nasional"),100,IF(KOL_Database!$AE$13="",Lookup_Lists!$D$150,IF(KOL_Database!$AE$13=Brand_Profile!$F$20,100,IF(KOL_Database!$AD$13=Brand_Profile!$F$19,40,Lookup_Lists!$D$151))))*Lookup_Lists!$D$119+IF(OR(Brand_Profile!$F$21="",Brand_Profile!$F$21="Nasional"),100,IF(KOL_Database!$AF$13="",Lookup_Lists!$D$150,IF(KOL_Database!$AF$13=Brand_Profile!$F$21,100,IF(KOL_Database!$AE$13=Brand_Profile!$F$20,60,Lookup_Lists!$D$151))))*Lookup_Lists!$D$120)/(Lookup_Lists!$D$118+Lookup_Lists!$D$119+Lookup_Lists!$D$120),0)</f>
      </c>
      <c r="R74" s="47">
        <f>IF(Brand_Profile!$F$68=0,Lookup_Lists!$D$150,ROUND((IF(Brand_Profile!$F$63="",0,IF(ISNUMBER(SEARCH(Brand_Profile!$F$63,KOL_Database!$AG$13)),1,0))+IF(Brand_Profile!$F$64="",0,IF(ISNUMBER(SEARCH(Brand_Profile!$F$64,KOL_Database!$AG$13)),1,0))+IF(Brand_Profile!$F$65="",0,IF(ISNUMBER(SEARCH(Brand_Profile!$F$65,KOL_Database!$AG$13)),1,0))+IF(Brand_Profile!$F$66="",0,IF(ISNUMBER(SEARCH(Brand_Profile!$F$66,KOL_Database!$AG$13)),1,0))+IF(Brand_Profile!$F$67="",0,IF(ISNUMBER(SEARCH(Brand_Profile!$F$67,KOL_Database!$AG$13)),1,0)))/Brand_Profile!$F$68*100,0))</f>
      </c>
      <c r="S74" s="47">
        <f>ROUND((Matching_Engine!$O$74*Brand_Profile!$F$96+Matching_Engine!$P$74*Brand_Profile!$F$97+Matching_Engine!$Q$74*Brand_Profile!$F$98+Matching_Engine!$R$74*Brand_Profile!$F$99)/MAX(1,Brand_Profile!$F$96+Brand_Profile!$F$97+Brand_Profile!$F$98+Brand_Profile!$F$99),0)</f>
      </c>
      <c r="T74" s="47">
        <f>IF(Brand_Profile!$F$33="",Lookup_Lists!$D$150,Matching_Engine!$BD$74)</f>
      </c>
      <c r="U74" s="47">
        <f>IF(Brand_Profile!$F$34="",Lookup_Lists!$D$150,IF(Brand_Profile!$F$34=KOL_Database!$F$13,100,IF(Matching_Engine!$BE$74=KOL_Database!$E$13,75,IF(Matching_Engine!$BD$74&gt;=80,Lookup_Lists!$D$150,IF(Matching_Engine!$BD$74&gt;=60,35,Lookup_Lists!$D$151)))))</f>
      </c>
      <c r="V74" s="47">
        <f>IF(Brand_Profile!$F$86=0,Lookup_Lists!$D$150,ROUND((IF(Brand_Profile!$F$81="",0,IF(ISNUMBER(SEARCH(Brand_Profile!$F$81,Matching_Engine!$BG$74)),1,0))+IF(Brand_Profile!$F$82="",0,IF(ISNUMBER(SEARCH(Brand_Profile!$F$82,Matching_Engine!$BG$74)),1,0))+IF(Brand_Profile!$F$83="",0,IF(ISNUMBER(SEARCH(Brand_Profile!$F$83,Matching_Engine!$BG$74)),1,0))+IF(Brand_Profile!$F$84="",0,IF(ISNUMBER(SEARCH(Brand_Profile!$F$84,Matching_Engine!$BG$74)),1,0))+IF(Brand_Profile!$F$85="",0,IF(ISNUMBER(SEARCH(Brand_Profile!$F$85,Matching_Engine!$BG$74)),1,0)))/Brand_Profile!$F$86*100,0))</f>
      </c>
      <c r="W74" s="47">
        <f>IF(Brand_Profile!$F$39="",Lookup_Lists!$D$150,IFERROR(INDEX(Lookup_Lists!$B$237:$K$246,MATCH(Brand_Profile!$F$39,Lookup_Lists!$A$237:$A$246,0),MATCH(KOL_Database!$AJ$13,Lookup_Lists!$B$236:$K$236,0)),45))</f>
      </c>
      <c r="X74" s="47">
        <f>ROUND((Matching_Engine!$T$74*Lookup_Lists!$D$121+Matching_Engine!$U$74*Lookup_Lists!$D$122+Matching_Engine!$V$74*Lookup_Lists!$D$123+Matching_Engine!$W$74*Lookup_Lists!$D$124)/(Lookup_Lists!$D$121+Lookup_Lists!$D$122+Lookup_Lists!$D$123+Lookup_Lists!$D$124),0)</f>
      </c>
      <c r="Y74" s="47">
        <f>MIN(100,MAX(IFERROR(INDEX(Lookup_Lists!$B$202:$M$211,MATCH(Brand_Profile!$F$25,Lookup_Lists!$A$202:$A$211,0),MATCH(KOL_Database!$AK$13,Lookup_Lists!$B$201:$M$201,0)),40),IF(KOL_Database!$AK$13=Brand_Profile!$F$41,95,0)))</f>
      </c>
      <c r="Z74" s="47">
        <f>IFERROR(INDEX(Lookup_Lists!$B$215:$K$222,MATCH(Brand_Profile!$F$27,Lookup_Lists!$A$215:$A$222,0),MATCH(KOL_Database!$AJ$13,Lookup_Lists!$B$214:$K$214,0)),45)</f>
      </c>
      <c r="AA74" s="47">
        <f>ROUND((IF(Brand_Profile!$F$80=0,Lookup_Lists!$D$150,ROUND((IF(Brand_Profile!$F$75="",0,IF(ISNUMBER(SEARCH(Brand_Profile!$F$75,KOL_Database!$AL$13)),1,0))+IF(Brand_Profile!$F$76="",0,IF(ISNUMBER(SEARCH(Brand_Profile!$F$76,KOL_Database!$AL$13)),1,0))+IF(Brand_Profile!$F$77="",0,IF(ISNUMBER(SEARCH(Brand_Profile!$F$77,KOL_Database!$AL$13)),1,0))+IF(Brand_Profile!$F$78="",0,IF(ISNUMBER(SEARCH(Brand_Profile!$F$78,KOL_Database!$AL$13)),1,0))+IF(Brand_Profile!$F$79="",0,IF(ISNUMBER(SEARCH(Brand_Profile!$F$79,KOL_Database!$AL$13)),1,0)))/Brand_Profile!$F$80*100,0))+IF(Brand_Profile!$F$92=0,Lookup_Lists!$D$150,ROUND((IF(Brand_Profile!$F$87="",0,IF(ISNUMBER(SEARCH(Brand_Profile!$F$87,KOL_Database!$AL$13)),1,0))+IF(Brand_Profile!$F$88="",0,IF(ISNUMBER(SEARCH(Brand_Profile!$F$88,KOL_Database!$AL$13)),1,0))+IF(Brand_Profile!$F$89="",0,IF(ISNUMBER(SEARCH(Brand_Profile!$F$89,KOL_Database!$AL$13)),1,0))+IF(Brand_Profile!$F$90="",0,IF(ISNUMBER(SEARCH(Brand_Profile!$F$90,KOL_Database!$AL$13)),1,0))+IF(Brand_Profile!$F$91="",0,IF(ISNUMBER(SEARCH(Brand_Profile!$F$91,KOL_Database!$AL$13)),1,0)))/Brand_Profile!$F$92*100,0)))/2,0)</f>
      </c>
      <c r="AB74" s="47">
        <f>IFERROR(INDEX(Lookup_Lists!$B$226:$K$233,MATCH(Brand_Profile!$F$30,Lookup_Lists!$A$226:$A$233,0),MATCH(KOL_Database!$AJ$13,Lookup_Lists!$B$225:$K$225,0)),45)</f>
      </c>
      <c r="AC74" s="47">
        <f>ROUND((Matching_Engine!$Y$74*Lookup_Lists!$D$125+Matching_Engine!$Z$74*Lookup_Lists!$D$126+Matching_Engine!$AA$74*Lookup_Lists!$D$127+Matching_Engine!$AB$74*Lookup_Lists!$D$128)/(Lookup_Lists!$D$125+Lookup_Lists!$D$126+Lookup_Lists!$D$127+Lookup_Lists!$D$128),0)</f>
      </c>
      <c r="AD74" s="47">
        <f>IF(KOL_Database!$K$13="",0,MIN(100,ROUND(KOL_Database!$K$13/Lookup_Lists!$D$141*100,0)))</f>
      </c>
      <c r="AE74" s="47">
        <f>IF(KOL_Database!$R$13="",0,MIN(100,MAX(0,KOL_Database!$R$13)))</f>
      </c>
      <c r="AF74" s="47">
        <f>IF(KOL_Database!$P$13="",0,MIN(100,MAX(0,KOL_Database!$P$13)))</f>
      </c>
      <c r="AG74" s="47">
        <f>IF(KOL_Database!$Q$13="",0,MIN(100,MAX(0,KOL_Database!$Q$13)))</f>
      </c>
      <c r="AH74" s="47">
        <f>IF(OR(KOL_Database!$J$13="",KOL_Database!$J$13=0,KOL_Database!$L$13=""),0,MIN(100,ROUND(KOL_Database!$L$13/KOL_Database!$J$13/Lookup_Lists!$D$144*100,0)))</f>
      </c>
      <c r="AI74" s="47">
        <f>IF(KOL_Database!$N$13="",0,MIN(100,MAX(0,ROUND((KOL_Database!$N$13+2)/(Lookup_Lists!$D$145+2)*100,0))))</f>
      </c>
      <c r="AJ74" s="47">
        <f>ROUND((Matching_Engine!$AD$74*Lookup_Lists!$D$129+Matching_Engine!$AE$74*Lookup_Lists!$D$130+Matching_Engine!$AF$74*Lookup_Lists!$D$131+Matching_Engine!$AG$74*Lookup_Lists!$D$132+Matching_Engine!$AH$74*Lookup_Lists!$D$133+Matching_Engine!$AI$74*Lookup_Lists!$D$134)/(Lookup_Lists!$D$129+Lookup_Lists!$D$130+Lookup_Lists!$D$131+Lookup_Lists!$D$132+Lookup_Lists!$D$133+Lookup_Lists!$D$134),0)</f>
      </c>
      <c r="AK74" s="47">
        <f>IF(KOL_Database!$AT$13="",0,MIN(100,MAX(0,KOL_Database!$AT$13)))</f>
      </c>
      <c r="AL74" s="47">
        <f>IF(KOL_Database!$AU$13="",0,KOL_Database!$AU$13)</f>
      </c>
      <c r="AM74" s="44">
        <f>IF(KOL_Database!$AV$13="","None",KOL_Database!$AV$13)</f>
      </c>
      <c r="AN74" s="48">
        <f>IF(Matching_Engine!$AM$74="High",Lookup_Lists!$D$137,IF(Matching_Engine!$AM$74="Medium",Lookup_Lists!$D$138,IF(Matching_Engine!$AM$74="Low",Lookup_Lists!$D$139,Lookup_Lists!$D$140)))</f>
      </c>
      <c r="AO74" s="47">
        <f>ROUND(MIN(100,MAX(0,(Matching_Engine!$AK$74*Lookup_Lists!$D$135+(100-Matching_Engine!$AL$74)*Lookup_Lists!$D$136)/(Lookup_Lists!$D$135+Lookup_Lists!$D$136)*Matching_Engine!$AN$74)),0)</f>
      </c>
      <c r="AP74" s="49">
        <f>ROUND((Matching_Engine!$N$74*Lookup_Lists!$D$104+Matching_Engine!$S$74*Lookup_Lists!$D$105+Matching_Engine!$X$74*Lookup_Lists!$D$106+Matching_Engine!$AC$74*Lookup_Lists!$D$107+Matching_Engine!$AJ$74*Lookup_Lists!$D$108+Matching_Engine!$AO$74*Lookup_Lists!$D$109)/MAX(1,(Lookup_Lists!$D$104+Lookup_Lists!$D$105+Lookup_Lists!$D$106+Lookup_Lists!$D$107+Lookup_Lists!$D$108+Lookup_Lists!$D$109)),0)</f>
      </c>
      <c r="AQ74" s="44">
        <f>IF(Matching_Engine!$AP$74&gt;=Lookup_Lists!$D$152,"Excellent Match",IF(Matching_Engine!$AP$74&gt;=Lookup_Lists!$D$153,"Strong Match",IF(Matching_Engine!$AP$74&gt;=Lookup_Lists!$D$154,"Good Match",IF(Matching_Engine!$AP$74&gt;=Lookup_Lists!$D$155,"Moderate Match","Low Match"))))</f>
      </c>
      <c r="AR74" s="47">
        <f>KOL_Database!$BE$13</f>
      </c>
      <c r="AS74" s="44">
        <f>IF(Matching_Engine!$AR$74&gt;=Lookup_Lists!$D$159,"High",IF(Matching_Engine!$AR$74&gt;=Lookup_Lists!$D$160,"Medium","Limited Data"))</f>
      </c>
      <c r="AT74" s="47">
        <f>ROUND((Matching_Engine!$N$74+Matching_Engine!$X$74+Matching_Engine!$AC$74)/3,0)</f>
      </c>
      <c r="AU74" s="47">
        <f>ROUND(((100-Matching_Engine!$AL$74)*Lookup_Lists!$D$162+IF(KOL_Database!$BD$13="",Lookup_Lists!$D$150,KOL_Database!$BD$13)*Lookup_Lists!$D$163+Matching_Engine!$AI$74*Lookup_Lists!$D$164+Matching_Engine!$AD$74*Lookup_Lists!$D$165)/(Lookup_Lists!$D$162+Lookup_Lists!$D$163+Lookup_Lists!$D$164+Lookup_Lists!$D$165),0)</f>
      </c>
      <c r="AV74" s="44">
        <f>IF(Matching_Engine!$AW$74="","PASS","EXCLUDED")</f>
      </c>
      <c r="AW74" s="44">
        <f>IF(ISERROR(SEARCH(KOL_Database!$D$13,Brand_Profile!$F$32)),"Platform not in Preferred Platform",IF(AND(Brand_Profile!$F$36&gt;0,KOL_Database!$J$13&lt;Brand_Profile!$F$36),"Followers below Preferred Follower Range",IF(AND(Brand_Profile!$F$37&gt;0,KOL_Database!$J$13&gt;Brand_Profile!$F$37),"Followers above Preferred Follower Range",IF(AND(Brand_Profile!$F$38&gt;0,IF(KOL_Database!$K$13="",0,KOL_Database!$K$13)&lt;Brand_Profile!$F$38),"Engagement Rate below Minimum Engagement Rate",IF(ISERROR(SEARCH(KOL_Database!$G$13,Brand_Profile!$F$35)),"Tier not in Preferred Tier",IF(AND(Brand_Profile!$F$43&gt;0,Matching_Engine!$AE$74&lt;Brand_Profile!$F$43),"Audience Quality below Minimum Audience Quality",IF(AND(Brand_Profile!$F$44&gt;0,Matching_Engine!$AK$74&lt;Brand_Profile!$F$44),"Brand Safety below Minimum Brand Safety",IF(AND(Brand_Profile!$F$47="Yes",KOL_Database!$AD$13&lt;&gt;Brand_Profile!$F$19),"Audience Country does not match Target Country",IF(AND(Brand_Profile!$F$46="Yes",KOL_Database!$E$13&lt;&gt;Brand_Profile!$F$33),"Category is not the Preferred Category",IF(AND(Brand_Profile!$F$48&gt;0,Matching_Engine!$AL$74&gt;Brand_Profile!$F$48),"Competitor Saturation above Max Competitor Saturation",IF(AND(Brand_Profile!$F$50="Yes",KOL_Database!$AW$13="Yes"),"Already Selected",IF(AND(Brand_Profile!$F$51="Yes",KOL_Database!$AX$13="Yes"),"Already in Cart",IF(AND(Brand_Profile!$F$52="Yes",KOL_Database!$AY$13="Yes"),"Existing Partner",IF(AND(Brand_Profile!$F$53="Yes",KOL_Database!$AZ$13="Yes"),"Excluded Creator",IF(AND(Brand_Profile!$F$49&gt;0,Matching_Engine!$AP$74&lt;Brand_Profile!$F$49),"Brand Match below Minimum Brand Match","")))))))))))))))</f>
      </c>
      <c r="AX74" s="44">
        <f>IF(Matching_Engine!$AV$74="EXCLUDED","Excluded",IF(Matching_Engine!$AP$74&gt;=Lookup_Lists!$D$156,"Highly Recommended",IF(Matching_Engine!$AP$74&gt;=Lookup_Lists!$D$157,"Recommended",IF(Matching_Engine!$AP$74&gt;=Lookup_Lists!$D$158,"Consider","Low Priority"))))</f>
      </c>
      <c r="AY74" s="47">
        <f>IF(Matching_Engine!$AV$74="PASS",Matching_Engine!$AP$74,"")</f>
      </c>
      <c r="AZ74" s="44">
        <f>Matching_Engine!$A$74&amp;"|"&amp;Matching_Engine!$C$74</f>
      </c>
      <c r="BA74" s="44">
        <f>IFERROR(INDEX(Lookup_Lists!$B$51:$B$92,MATCH(Brand_Profile!$F$12,Lookup_Lists!$A$51:$A$92,0)),"")</f>
      </c>
      <c r="BB74" s="44">
        <f>IFERROR(INDEX(Lookup_Lists!$B$51:$B$92,MATCH(KOL_Database!$F$13,Lookup_Lists!$A$51:$A$92,0)),"")</f>
      </c>
      <c r="BC74" s="47">
        <f>IFERROR(INDEX(Lookup_Lists!$B$185:$O$198,MATCH(Matching_Engine!$BA$74,Lookup_Lists!$A$185:$A$198,0),MATCH(KOL_Database!$E$13,Lookup_Lists!$B$184:$O$184,0)),Lookup_Lists!$D$151)</f>
      </c>
      <c r="BD74" s="47">
        <f>IFERROR(INDEX(Lookup_Lists!$B$185:$O$198,MATCH(Brand_Profile!$F$33,Lookup_Lists!$A$185:$A$198,0),MATCH(KOL_Database!$E$13,Lookup_Lists!$B$184:$O$184,0)),Lookup_Lists!$D$151)</f>
      </c>
      <c r="BE74" s="44">
        <f>IFERROR(INDEX(Lookup_Lists!$B$51:$B$92,MATCH(Brand_Profile!$F$34,Lookup_Lists!$A$51:$A$92,0)),"")</f>
      </c>
      <c r="BF74" s="44">
        <f>KOL_Database!$AI$13&amp;", "&amp;KOL_Database!$AG$13&amp;", "&amp;KOL_Database!$F$13&amp;", "&amp;KOL_Database!$E$13</f>
      </c>
      <c r="BG74" s="44">
        <f>KOL_Database!$AI$13&amp;", "&amp;KOL_Database!$AG$13</f>
      </c>
    </row>
    <row r="75" spans="1:59" x14ac:dyDescent="0.25">
      <c r="A75" s="43" t="s">
        <v>77</v>
      </c>
      <c r="B75" s="44">
        <f>Brand_Profile!$F$9</f>
      </c>
      <c r="C75" s="44">
        <f>KOL_Database!$A$14</f>
      </c>
      <c r="D75" s="44">
        <f>KOL_Database!$B$14</f>
      </c>
      <c r="E75" s="44">
        <f>KOL_Database!$C$14</f>
      </c>
      <c r="F75" s="44">
        <f>KOL_Database!$D$14</f>
      </c>
      <c r="G75" s="44">
        <f>KOL_Database!$E$14</f>
      </c>
      <c r="H75" s="44">
        <f>KOL_Database!$G$14</f>
      </c>
      <c r="I75" s="45">
        <f>KOL_Database!$J$14</f>
      </c>
      <c r="J75" s="46">
        <f>KOL_Database!$K$14</f>
      </c>
      <c r="K75" s="47">
        <f>IFERROR(INDEX(Lookup_Lists!$B$170:$O$181,MATCH(Brand_Profile!$F$10,Lookup_Lists!$A$170:$A$181,0),MATCH(KOL_Database!$E$14,Lookup_Lists!$B$169:$O$169,0)),Lookup_Lists!$D$151)</f>
      </c>
      <c r="L75" s="47">
        <f>IF(KOL_Database!$F$14="",Matching_Engine!$BC$75,IF(Brand_Profile!$F$12=KOL_Database!$F$14,100,IF(Matching_Engine!$BA$75=KOL_Database!$E$14,80,IF(Matching_Engine!$BC$75&gt;=80,60,IF(Matching_Engine!$BC$75&gt;=60,40,Lookup_Lists!$D$151)))))</f>
      </c>
      <c r="M75" s="47">
        <f>ROUND((IF(Brand_Profile!$F$62=0,Lookup_Lists!$D$150,ROUND((IF(Brand_Profile!$F$57="",0,IF(ISNUMBER(SEARCH(Brand_Profile!$F$57,Matching_Engine!$BF$75)),1,0))+IF(Brand_Profile!$F$58="",0,IF(ISNUMBER(SEARCH(Brand_Profile!$F$58,Matching_Engine!$BF$75)),1,0))+IF(Brand_Profile!$F$59="",0,IF(ISNUMBER(SEARCH(Brand_Profile!$F$59,Matching_Engine!$BF$75)),1,0))+IF(Brand_Profile!$F$60="",0,IF(ISNUMBER(SEARCH(Brand_Profile!$F$60,Matching_Engine!$BF$75)),1,0))+IF(Brand_Profile!$F$61="",0,IF(ISNUMBER(SEARCH(Brand_Profile!$F$61,Matching_Engine!$BF$75)),1,0)))/Brand_Profile!$F$62*100,0))+IF(Brand_Profile!$F$74=0,Lookup_Lists!$D$150,ROUND((IF(Brand_Profile!$F$69="",0,IF(ISNUMBER(SEARCH(Brand_Profile!$F$69,Matching_Engine!$BF$75)),1,0))+IF(Brand_Profile!$F$70="",0,IF(ISNUMBER(SEARCH(Brand_Profile!$F$70,Matching_Engine!$BF$75)),1,0))+IF(Brand_Profile!$F$71="",0,IF(ISNUMBER(SEARCH(Brand_Profile!$F$71,Matching_Engine!$BF$75)),1,0))+IF(Brand_Profile!$F$72="",0,IF(ISNUMBER(SEARCH(Brand_Profile!$F$72,Matching_Engine!$BF$75)),1,0))+IF(Brand_Profile!$F$73="",0,IF(ISNUMBER(SEARCH(Brand_Profile!$F$73,Matching_Engine!$BF$75)),1,0)))/Brand_Profile!$F$74*100,0)))/2,0)</f>
      </c>
      <c r="N75" s="47">
        <f>ROUND((Matching_Engine!$K$75*Lookup_Lists!$D$110+Matching_Engine!$L$75*Lookup_Lists!$D$111+Matching_Engine!$M$75*Lookup_Lists!$D$112)/(Lookup_Lists!$D$110+Lookup_Lists!$D$111+Lookup_Lists!$D$112),0)</f>
      </c>
      <c r="O75" s="47">
        <f>IF(Brand_Profile!$F$16="",Lookup_Lists!$D$150,MIN(100,ROUND((IFERROR(INDEX(KOL_Database!$W$14:KOL_Database!$AA$14,1,MATCH(Brand_Profile!$F$16,Lookup_Lists!$F$6:$F$10,0)),0)+0.5*IFERROR(INDEX(KOL_Database!$W$14:KOL_Database!$AA$14,1,MATCH(Brand_Profile!$F$17,Lookup_Lists!$F$6:$F$10,0)),0))/Lookup_Lists!$D$142*100,0)))</f>
      </c>
      <c r="P75" s="47">
        <f>IF(OR(Brand_Profile!$F$18="",Brand_Profile!$F$18="Any"),100,IF(Brand_Profile!$F$18="Female",MIN(100,ROUND(KOL_Database!$AB$14/Lookup_Lists!$D$143*100,0)),IF(Brand_Profile!$F$18="Male",MIN(100,ROUND(KOL_Database!$AC$14/Lookup_Lists!$D$143*100,0)),MAX(0,ROUND(100-ABS(KOL_Database!$AB$14-50)*2,0)))))</f>
      </c>
      <c r="Q75" s="47">
        <f>ROUND((IF(Brand_Profile!$F$19="",100,IF(KOL_Database!$AD$14=Brand_Profile!$F$19,100,Lookup_Lists!$D$151))*Lookup_Lists!$D$118+IF(OR(Brand_Profile!$F$20="",Brand_Profile!$F$20="Nasional"),100,IF(KOL_Database!$AE$14="",Lookup_Lists!$D$150,IF(KOL_Database!$AE$14=Brand_Profile!$F$20,100,IF(KOL_Database!$AD$14=Brand_Profile!$F$19,40,Lookup_Lists!$D$151))))*Lookup_Lists!$D$119+IF(OR(Brand_Profile!$F$21="",Brand_Profile!$F$21="Nasional"),100,IF(KOL_Database!$AF$14="",Lookup_Lists!$D$150,IF(KOL_Database!$AF$14=Brand_Profile!$F$21,100,IF(KOL_Database!$AE$14=Brand_Profile!$F$20,60,Lookup_Lists!$D$151))))*Lookup_Lists!$D$120)/(Lookup_Lists!$D$118+Lookup_Lists!$D$119+Lookup_Lists!$D$120),0)</f>
      </c>
      <c r="R75" s="47">
        <f>IF(Brand_Profile!$F$68=0,Lookup_Lists!$D$150,ROUND((IF(Brand_Profile!$F$63="",0,IF(ISNUMBER(SEARCH(Brand_Profile!$F$63,KOL_Database!$AG$14)),1,0))+IF(Brand_Profile!$F$64="",0,IF(ISNUMBER(SEARCH(Brand_Profile!$F$64,KOL_Database!$AG$14)),1,0))+IF(Brand_Profile!$F$65="",0,IF(ISNUMBER(SEARCH(Brand_Profile!$F$65,KOL_Database!$AG$14)),1,0))+IF(Brand_Profile!$F$66="",0,IF(ISNUMBER(SEARCH(Brand_Profile!$F$66,KOL_Database!$AG$14)),1,0))+IF(Brand_Profile!$F$67="",0,IF(ISNUMBER(SEARCH(Brand_Profile!$F$67,KOL_Database!$AG$14)),1,0)))/Brand_Profile!$F$68*100,0))</f>
      </c>
      <c r="S75" s="47">
        <f>ROUND((Matching_Engine!$O$75*Brand_Profile!$F$96+Matching_Engine!$P$75*Brand_Profile!$F$97+Matching_Engine!$Q$75*Brand_Profile!$F$98+Matching_Engine!$R$75*Brand_Profile!$F$99)/MAX(1,Brand_Profile!$F$96+Brand_Profile!$F$97+Brand_Profile!$F$98+Brand_Profile!$F$99),0)</f>
      </c>
      <c r="T75" s="47">
        <f>IF(Brand_Profile!$F$33="",Lookup_Lists!$D$150,Matching_Engine!$BD$75)</f>
      </c>
      <c r="U75" s="47">
        <f>IF(Brand_Profile!$F$34="",Lookup_Lists!$D$150,IF(Brand_Profile!$F$34=KOL_Database!$F$14,100,IF(Matching_Engine!$BE$75=KOL_Database!$E$14,75,IF(Matching_Engine!$BD$75&gt;=80,Lookup_Lists!$D$150,IF(Matching_Engine!$BD$75&gt;=60,35,Lookup_Lists!$D$151)))))</f>
      </c>
      <c r="V75" s="47">
        <f>IF(Brand_Profile!$F$86=0,Lookup_Lists!$D$150,ROUND((IF(Brand_Profile!$F$81="",0,IF(ISNUMBER(SEARCH(Brand_Profile!$F$81,Matching_Engine!$BG$75)),1,0))+IF(Brand_Profile!$F$82="",0,IF(ISNUMBER(SEARCH(Brand_Profile!$F$82,Matching_Engine!$BG$75)),1,0))+IF(Brand_Profile!$F$83="",0,IF(ISNUMBER(SEARCH(Brand_Profile!$F$83,Matching_Engine!$BG$75)),1,0))+IF(Brand_Profile!$F$84="",0,IF(ISNUMBER(SEARCH(Brand_Profile!$F$84,Matching_Engine!$BG$75)),1,0))+IF(Brand_Profile!$F$85="",0,IF(ISNUMBER(SEARCH(Brand_Profile!$F$85,Matching_Engine!$BG$75)),1,0)))/Brand_Profile!$F$86*100,0))</f>
      </c>
      <c r="W75" s="47">
        <f>IF(Brand_Profile!$F$39="",Lookup_Lists!$D$150,IFERROR(INDEX(Lookup_Lists!$B$237:$K$246,MATCH(Brand_Profile!$F$39,Lookup_Lists!$A$237:$A$246,0),MATCH(KOL_Database!$AJ$14,Lookup_Lists!$B$236:$K$236,0)),45))</f>
      </c>
      <c r="X75" s="47">
        <f>ROUND((Matching_Engine!$T$75*Lookup_Lists!$D$121+Matching_Engine!$U$75*Lookup_Lists!$D$122+Matching_Engine!$V$75*Lookup_Lists!$D$123+Matching_Engine!$W$75*Lookup_Lists!$D$124)/(Lookup_Lists!$D$121+Lookup_Lists!$D$122+Lookup_Lists!$D$123+Lookup_Lists!$D$124),0)</f>
      </c>
      <c r="Y75" s="47">
        <f>MIN(100,MAX(IFERROR(INDEX(Lookup_Lists!$B$202:$M$211,MATCH(Brand_Profile!$F$25,Lookup_Lists!$A$202:$A$211,0),MATCH(KOL_Database!$AK$14,Lookup_Lists!$B$201:$M$201,0)),40),IF(KOL_Database!$AK$14=Brand_Profile!$F$41,95,0)))</f>
      </c>
      <c r="Z75" s="47">
        <f>IFERROR(INDEX(Lookup_Lists!$B$215:$K$222,MATCH(Brand_Profile!$F$27,Lookup_Lists!$A$215:$A$222,0),MATCH(KOL_Database!$AJ$14,Lookup_Lists!$B$214:$K$214,0)),45)</f>
      </c>
      <c r="AA75" s="47">
        <f>ROUND((IF(Brand_Profile!$F$80=0,Lookup_Lists!$D$150,ROUND((IF(Brand_Profile!$F$75="",0,IF(ISNUMBER(SEARCH(Brand_Profile!$F$75,KOL_Database!$AL$14)),1,0))+IF(Brand_Profile!$F$76="",0,IF(ISNUMBER(SEARCH(Brand_Profile!$F$76,KOL_Database!$AL$14)),1,0))+IF(Brand_Profile!$F$77="",0,IF(ISNUMBER(SEARCH(Brand_Profile!$F$77,KOL_Database!$AL$14)),1,0))+IF(Brand_Profile!$F$78="",0,IF(ISNUMBER(SEARCH(Brand_Profile!$F$78,KOL_Database!$AL$14)),1,0))+IF(Brand_Profile!$F$79="",0,IF(ISNUMBER(SEARCH(Brand_Profile!$F$79,KOL_Database!$AL$14)),1,0)))/Brand_Profile!$F$80*100,0))+IF(Brand_Profile!$F$92=0,Lookup_Lists!$D$150,ROUND((IF(Brand_Profile!$F$87="",0,IF(ISNUMBER(SEARCH(Brand_Profile!$F$87,KOL_Database!$AL$14)),1,0))+IF(Brand_Profile!$F$88="",0,IF(ISNUMBER(SEARCH(Brand_Profile!$F$88,KOL_Database!$AL$14)),1,0))+IF(Brand_Profile!$F$89="",0,IF(ISNUMBER(SEARCH(Brand_Profile!$F$89,KOL_Database!$AL$14)),1,0))+IF(Brand_Profile!$F$90="",0,IF(ISNUMBER(SEARCH(Brand_Profile!$F$90,KOL_Database!$AL$14)),1,0))+IF(Brand_Profile!$F$91="",0,IF(ISNUMBER(SEARCH(Brand_Profile!$F$91,KOL_Database!$AL$14)),1,0)))/Brand_Profile!$F$92*100,0)))/2,0)</f>
      </c>
      <c r="AB75" s="47">
        <f>IFERROR(INDEX(Lookup_Lists!$B$226:$K$233,MATCH(Brand_Profile!$F$30,Lookup_Lists!$A$226:$A$233,0),MATCH(KOL_Database!$AJ$14,Lookup_Lists!$B$225:$K$225,0)),45)</f>
      </c>
      <c r="AC75" s="47">
        <f>ROUND((Matching_Engine!$Y$75*Lookup_Lists!$D$125+Matching_Engine!$Z$75*Lookup_Lists!$D$126+Matching_Engine!$AA$75*Lookup_Lists!$D$127+Matching_Engine!$AB$75*Lookup_Lists!$D$128)/(Lookup_Lists!$D$125+Lookup_Lists!$D$126+Lookup_Lists!$D$127+Lookup_Lists!$D$128),0)</f>
      </c>
      <c r="AD75" s="47">
        <f>IF(KOL_Database!$K$14="",0,MIN(100,ROUND(KOL_Database!$K$14/Lookup_Lists!$D$141*100,0)))</f>
      </c>
      <c r="AE75" s="47">
        <f>IF(KOL_Database!$R$14="",0,MIN(100,MAX(0,KOL_Database!$R$14)))</f>
      </c>
      <c r="AF75" s="47">
        <f>IF(KOL_Database!$P$14="",0,MIN(100,MAX(0,KOL_Database!$P$14)))</f>
      </c>
      <c r="AG75" s="47">
        <f>IF(KOL_Database!$Q$14="",0,MIN(100,MAX(0,KOL_Database!$Q$14)))</f>
      </c>
      <c r="AH75" s="47">
        <f>IF(OR(KOL_Database!$J$14="",KOL_Database!$J$14=0,KOL_Database!$L$14=""),0,MIN(100,ROUND(KOL_Database!$L$14/KOL_Database!$J$14/Lookup_Lists!$D$144*100,0)))</f>
      </c>
      <c r="AI75" s="47">
        <f>IF(KOL_Database!$N$14="",0,MIN(100,MAX(0,ROUND((KOL_Database!$N$14+2)/(Lookup_Lists!$D$145+2)*100,0))))</f>
      </c>
      <c r="AJ75" s="47">
        <f>ROUND((Matching_Engine!$AD$75*Lookup_Lists!$D$129+Matching_Engine!$AE$75*Lookup_Lists!$D$130+Matching_Engine!$AF$75*Lookup_Lists!$D$131+Matching_Engine!$AG$75*Lookup_Lists!$D$132+Matching_Engine!$AH$75*Lookup_Lists!$D$133+Matching_Engine!$AI$75*Lookup_Lists!$D$134)/(Lookup_Lists!$D$129+Lookup_Lists!$D$130+Lookup_Lists!$D$131+Lookup_Lists!$D$132+Lookup_Lists!$D$133+Lookup_Lists!$D$134),0)</f>
      </c>
      <c r="AK75" s="47">
        <f>IF(KOL_Database!$AT$14="",0,MIN(100,MAX(0,KOL_Database!$AT$14)))</f>
      </c>
      <c r="AL75" s="47">
        <f>IF(KOL_Database!$AU$14="",0,KOL_Database!$AU$14)</f>
      </c>
      <c r="AM75" s="44">
        <f>IF(KOL_Database!$AV$14="","None",KOL_Database!$AV$14)</f>
      </c>
      <c r="AN75" s="48">
        <f>IF(Matching_Engine!$AM$75="High",Lookup_Lists!$D$137,IF(Matching_Engine!$AM$75="Medium",Lookup_Lists!$D$138,IF(Matching_Engine!$AM$75="Low",Lookup_Lists!$D$139,Lookup_Lists!$D$140)))</f>
      </c>
      <c r="AO75" s="47">
        <f>ROUND(MIN(100,MAX(0,(Matching_Engine!$AK$75*Lookup_Lists!$D$135+(100-Matching_Engine!$AL$75)*Lookup_Lists!$D$136)/(Lookup_Lists!$D$135+Lookup_Lists!$D$136)*Matching_Engine!$AN$75)),0)</f>
      </c>
      <c r="AP75" s="49">
        <f>ROUND((Matching_Engine!$N$75*Lookup_Lists!$D$104+Matching_Engine!$S$75*Lookup_Lists!$D$105+Matching_Engine!$X$75*Lookup_Lists!$D$106+Matching_Engine!$AC$75*Lookup_Lists!$D$107+Matching_Engine!$AJ$75*Lookup_Lists!$D$108+Matching_Engine!$AO$75*Lookup_Lists!$D$109)/MAX(1,(Lookup_Lists!$D$104+Lookup_Lists!$D$105+Lookup_Lists!$D$106+Lookup_Lists!$D$107+Lookup_Lists!$D$108+Lookup_Lists!$D$109)),0)</f>
      </c>
      <c r="AQ75" s="44">
        <f>IF(Matching_Engine!$AP$75&gt;=Lookup_Lists!$D$152,"Excellent Match",IF(Matching_Engine!$AP$75&gt;=Lookup_Lists!$D$153,"Strong Match",IF(Matching_Engine!$AP$75&gt;=Lookup_Lists!$D$154,"Good Match",IF(Matching_Engine!$AP$75&gt;=Lookup_Lists!$D$155,"Moderate Match","Low Match"))))</f>
      </c>
      <c r="AR75" s="47">
        <f>KOL_Database!$BE$14</f>
      </c>
      <c r="AS75" s="44">
        <f>IF(Matching_Engine!$AR$75&gt;=Lookup_Lists!$D$159,"High",IF(Matching_Engine!$AR$75&gt;=Lookup_Lists!$D$160,"Medium","Limited Data"))</f>
      </c>
      <c r="AT75" s="47">
        <f>ROUND((Matching_Engine!$N$75+Matching_Engine!$X$75+Matching_Engine!$AC$75)/3,0)</f>
      </c>
      <c r="AU75" s="47">
        <f>ROUND(((100-Matching_Engine!$AL$75)*Lookup_Lists!$D$162+IF(KOL_Database!$BD$14="",Lookup_Lists!$D$150,KOL_Database!$BD$14)*Lookup_Lists!$D$163+Matching_Engine!$AI$75*Lookup_Lists!$D$164+Matching_Engine!$AD$75*Lookup_Lists!$D$165)/(Lookup_Lists!$D$162+Lookup_Lists!$D$163+Lookup_Lists!$D$164+Lookup_Lists!$D$165),0)</f>
      </c>
      <c r="AV75" s="44">
        <f>IF(Matching_Engine!$AW$75="","PASS","EXCLUDED")</f>
      </c>
      <c r="AW75" s="44">
        <f>IF(ISERROR(SEARCH(KOL_Database!$D$14,Brand_Profile!$F$32)),"Platform not in Preferred Platform",IF(AND(Brand_Profile!$F$36&gt;0,KOL_Database!$J$14&lt;Brand_Profile!$F$36),"Followers below Preferred Follower Range",IF(AND(Brand_Profile!$F$37&gt;0,KOL_Database!$J$14&gt;Brand_Profile!$F$37),"Followers above Preferred Follower Range",IF(AND(Brand_Profile!$F$38&gt;0,IF(KOL_Database!$K$14="",0,KOL_Database!$K$14)&lt;Brand_Profile!$F$38),"Engagement Rate below Minimum Engagement Rate",IF(ISERROR(SEARCH(KOL_Database!$G$14,Brand_Profile!$F$35)),"Tier not in Preferred Tier",IF(AND(Brand_Profile!$F$43&gt;0,Matching_Engine!$AE$75&lt;Brand_Profile!$F$43),"Audience Quality below Minimum Audience Quality",IF(AND(Brand_Profile!$F$44&gt;0,Matching_Engine!$AK$75&lt;Brand_Profile!$F$44),"Brand Safety below Minimum Brand Safety",IF(AND(Brand_Profile!$F$47="Yes",KOL_Database!$AD$14&lt;&gt;Brand_Profile!$F$19),"Audience Country does not match Target Country",IF(AND(Brand_Profile!$F$46="Yes",KOL_Database!$E$14&lt;&gt;Brand_Profile!$F$33),"Category is not the Preferred Category",IF(AND(Brand_Profile!$F$48&gt;0,Matching_Engine!$AL$75&gt;Brand_Profile!$F$48),"Competitor Saturation above Max Competitor Saturation",IF(AND(Brand_Profile!$F$50="Yes",KOL_Database!$AW$14="Yes"),"Already Selected",IF(AND(Brand_Profile!$F$51="Yes",KOL_Database!$AX$14="Yes"),"Already in Cart",IF(AND(Brand_Profile!$F$52="Yes",KOL_Database!$AY$14="Yes"),"Existing Partner",IF(AND(Brand_Profile!$F$53="Yes",KOL_Database!$AZ$14="Yes"),"Excluded Creator",IF(AND(Brand_Profile!$F$49&gt;0,Matching_Engine!$AP$75&lt;Brand_Profile!$F$49),"Brand Match below Minimum Brand Match","")))))))))))))))</f>
      </c>
      <c r="AX75" s="44">
        <f>IF(Matching_Engine!$AV$75="EXCLUDED","Excluded",IF(Matching_Engine!$AP$75&gt;=Lookup_Lists!$D$156,"Highly Recommended",IF(Matching_Engine!$AP$75&gt;=Lookup_Lists!$D$157,"Recommended",IF(Matching_Engine!$AP$75&gt;=Lookup_Lists!$D$158,"Consider","Low Priority"))))</f>
      </c>
      <c r="AY75" s="47">
        <f>IF(Matching_Engine!$AV$75="PASS",Matching_Engine!$AP$75,"")</f>
      </c>
      <c r="AZ75" s="44">
        <f>Matching_Engine!$A$75&amp;"|"&amp;Matching_Engine!$C$75</f>
      </c>
      <c r="BA75" s="44">
        <f>IFERROR(INDEX(Lookup_Lists!$B$51:$B$92,MATCH(Brand_Profile!$F$12,Lookup_Lists!$A$51:$A$92,0)),"")</f>
      </c>
      <c r="BB75" s="44">
        <f>IFERROR(INDEX(Lookup_Lists!$B$51:$B$92,MATCH(KOL_Database!$F$14,Lookup_Lists!$A$51:$A$92,0)),"")</f>
      </c>
      <c r="BC75" s="47">
        <f>IFERROR(INDEX(Lookup_Lists!$B$185:$O$198,MATCH(Matching_Engine!$BA$75,Lookup_Lists!$A$185:$A$198,0),MATCH(KOL_Database!$E$14,Lookup_Lists!$B$184:$O$184,0)),Lookup_Lists!$D$151)</f>
      </c>
      <c r="BD75" s="47">
        <f>IFERROR(INDEX(Lookup_Lists!$B$185:$O$198,MATCH(Brand_Profile!$F$33,Lookup_Lists!$A$185:$A$198,0),MATCH(KOL_Database!$E$14,Lookup_Lists!$B$184:$O$184,0)),Lookup_Lists!$D$151)</f>
      </c>
      <c r="BE75" s="44">
        <f>IFERROR(INDEX(Lookup_Lists!$B$51:$B$92,MATCH(Brand_Profile!$F$34,Lookup_Lists!$A$51:$A$92,0)),"")</f>
      </c>
      <c r="BF75" s="44">
        <f>KOL_Database!$AI$14&amp;", "&amp;KOL_Database!$AG$14&amp;", "&amp;KOL_Database!$F$14&amp;", "&amp;KOL_Database!$E$14</f>
      </c>
      <c r="BG75" s="44">
        <f>KOL_Database!$AI$14&amp;", "&amp;KOL_Database!$AG$14</f>
      </c>
    </row>
    <row r="76" spans="1:59" x14ac:dyDescent="0.25">
      <c r="A76" s="43" t="s">
        <v>77</v>
      </c>
      <c r="B76" s="44">
        <f>Brand_Profile!$F$9</f>
      </c>
      <c r="C76" s="44">
        <f>KOL_Database!$A$15</f>
      </c>
      <c r="D76" s="44">
        <f>KOL_Database!$B$15</f>
      </c>
      <c r="E76" s="44">
        <f>KOL_Database!$C$15</f>
      </c>
      <c r="F76" s="44">
        <f>KOL_Database!$D$15</f>
      </c>
      <c r="G76" s="44">
        <f>KOL_Database!$E$15</f>
      </c>
      <c r="H76" s="44">
        <f>KOL_Database!$G$15</f>
      </c>
      <c r="I76" s="45">
        <f>KOL_Database!$J$15</f>
      </c>
      <c r="J76" s="46">
        <f>KOL_Database!$K$15</f>
      </c>
      <c r="K76" s="47">
        <f>IFERROR(INDEX(Lookup_Lists!$B$170:$O$181,MATCH(Brand_Profile!$F$10,Lookup_Lists!$A$170:$A$181,0),MATCH(KOL_Database!$E$15,Lookup_Lists!$B$169:$O$169,0)),Lookup_Lists!$D$151)</f>
      </c>
      <c r="L76" s="47">
        <f>IF(KOL_Database!$F$15="",Matching_Engine!$BC$76,IF(Brand_Profile!$F$12=KOL_Database!$F$15,100,IF(Matching_Engine!$BA$76=KOL_Database!$E$15,80,IF(Matching_Engine!$BC$76&gt;=80,60,IF(Matching_Engine!$BC$76&gt;=60,40,Lookup_Lists!$D$151)))))</f>
      </c>
      <c r="M76" s="47">
        <f>ROUND((IF(Brand_Profile!$F$62=0,Lookup_Lists!$D$150,ROUND((IF(Brand_Profile!$F$57="",0,IF(ISNUMBER(SEARCH(Brand_Profile!$F$57,Matching_Engine!$BF$76)),1,0))+IF(Brand_Profile!$F$58="",0,IF(ISNUMBER(SEARCH(Brand_Profile!$F$58,Matching_Engine!$BF$76)),1,0))+IF(Brand_Profile!$F$59="",0,IF(ISNUMBER(SEARCH(Brand_Profile!$F$59,Matching_Engine!$BF$76)),1,0))+IF(Brand_Profile!$F$60="",0,IF(ISNUMBER(SEARCH(Brand_Profile!$F$60,Matching_Engine!$BF$76)),1,0))+IF(Brand_Profile!$F$61="",0,IF(ISNUMBER(SEARCH(Brand_Profile!$F$61,Matching_Engine!$BF$76)),1,0)))/Brand_Profile!$F$62*100,0))+IF(Brand_Profile!$F$74=0,Lookup_Lists!$D$150,ROUND((IF(Brand_Profile!$F$69="",0,IF(ISNUMBER(SEARCH(Brand_Profile!$F$69,Matching_Engine!$BF$76)),1,0))+IF(Brand_Profile!$F$70="",0,IF(ISNUMBER(SEARCH(Brand_Profile!$F$70,Matching_Engine!$BF$76)),1,0))+IF(Brand_Profile!$F$71="",0,IF(ISNUMBER(SEARCH(Brand_Profile!$F$71,Matching_Engine!$BF$76)),1,0))+IF(Brand_Profile!$F$72="",0,IF(ISNUMBER(SEARCH(Brand_Profile!$F$72,Matching_Engine!$BF$76)),1,0))+IF(Brand_Profile!$F$73="",0,IF(ISNUMBER(SEARCH(Brand_Profile!$F$73,Matching_Engine!$BF$76)),1,0)))/Brand_Profile!$F$74*100,0)))/2,0)</f>
      </c>
      <c r="N76" s="47">
        <f>ROUND((Matching_Engine!$K$76*Lookup_Lists!$D$110+Matching_Engine!$L$76*Lookup_Lists!$D$111+Matching_Engine!$M$76*Lookup_Lists!$D$112)/(Lookup_Lists!$D$110+Lookup_Lists!$D$111+Lookup_Lists!$D$112),0)</f>
      </c>
      <c r="O76" s="47">
        <f>IF(Brand_Profile!$F$16="",Lookup_Lists!$D$150,MIN(100,ROUND((IFERROR(INDEX(KOL_Database!$W$15:KOL_Database!$AA$15,1,MATCH(Brand_Profile!$F$16,Lookup_Lists!$F$6:$F$10,0)),0)+0.5*IFERROR(INDEX(KOL_Database!$W$15:KOL_Database!$AA$15,1,MATCH(Brand_Profile!$F$17,Lookup_Lists!$F$6:$F$10,0)),0))/Lookup_Lists!$D$142*100,0)))</f>
      </c>
      <c r="P76" s="47">
        <f>IF(OR(Brand_Profile!$F$18="",Brand_Profile!$F$18="Any"),100,IF(Brand_Profile!$F$18="Female",MIN(100,ROUND(KOL_Database!$AB$15/Lookup_Lists!$D$143*100,0)),IF(Brand_Profile!$F$18="Male",MIN(100,ROUND(KOL_Database!$AC$15/Lookup_Lists!$D$143*100,0)),MAX(0,ROUND(100-ABS(KOL_Database!$AB$15-50)*2,0)))))</f>
      </c>
      <c r="Q76" s="47">
        <f>ROUND((IF(Brand_Profile!$F$19="",100,IF(KOL_Database!$AD$15=Brand_Profile!$F$19,100,Lookup_Lists!$D$151))*Lookup_Lists!$D$118+IF(OR(Brand_Profile!$F$20="",Brand_Profile!$F$20="Nasional"),100,IF(KOL_Database!$AE$15="",Lookup_Lists!$D$150,IF(KOL_Database!$AE$15=Brand_Profile!$F$20,100,IF(KOL_Database!$AD$15=Brand_Profile!$F$19,40,Lookup_Lists!$D$151))))*Lookup_Lists!$D$119+IF(OR(Brand_Profile!$F$21="",Brand_Profile!$F$21="Nasional"),100,IF(KOL_Database!$AF$15="",Lookup_Lists!$D$150,IF(KOL_Database!$AF$15=Brand_Profile!$F$21,100,IF(KOL_Database!$AE$15=Brand_Profile!$F$20,60,Lookup_Lists!$D$151))))*Lookup_Lists!$D$120)/(Lookup_Lists!$D$118+Lookup_Lists!$D$119+Lookup_Lists!$D$120),0)</f>
      </c>
      <c r="R76" s="47">
        <f>IF(Brand_Profile!$F$68=0,Lookup_Lists!$D$150,ROUND((IF(Brand_Profile!$F$63="",0,IF(ISNUMBER(SEARCH(Brand_Profile!$F$63,KOL_Database!$AG$15)),1,0))+IF(Brand_Profile!$F$64="",0,IF(ISNUMBER(SEARCH(Brand_Profile!$F$64,KOL_Database!$AG$15)),1,0))+IF(Brand_Profile!$F$65="",0,IF(ISNUMBER(SEARCH(Brand_Profile!$F$65,KOL_Database!$AG$15)),1,0))+IF(Brand_Profile!$F$66="",0,IF(ISNUMBER(SEARCH(Brand_Profile!$F$66,KOL_Database!$AG$15)),1,0))+IF(Brand_Profile!$F$67="",0,IF(ISNUMBER(SEARCH(Brand_Profile!$F$67,KOL_Database!$AG$15)),1,0)))/Brand_Profile!$F$68*100,0))</f>
      </c>
      <c r="S76" s="47">
        <f>ROUND((Matching_Engine!$O$76*Brand_Profile!$F$96+Matching_Engine!$P$76*Brand_Profile!$F$97+Matching_Engine!$Q$76*Brand_Profile!$F$98+Matching_Engine!$R$76*Brand_Profile!$F$99)/MAX(1,Brand_Profile!$F$96+Brand_Profile!$F$97+Brand_Profile!$F$98+Brand_Profile!$F$99),0)</f>
      </c>
      <c r="T76" s="47">
        <f>IF(Brand_Profile!$F$33="",Lookup_Lists!$D$150,Matching_Engine!$BD$76)</f>
      </c>
      <c r="U76" s="47">
        <f>IF(Brand_Profile!$F$34="",Lookup_Lists!$D$150,IF(Brand_Profile!$F$34=KOL_Database!$F$15,100,IF(Matching_Engine!$BE$76=KOL_Database!$E$15,75,IF(Matching_Engine!$BD$76&gt;=80,Lookup_Lists!$D$150,IF(Matching_Engine!$BD$76&gt;=60,35,Lookup_Lists!$D$151)))))</f>
      </c>
      <c r="V76" s="47">
        <f>IF(Brand_Profile!$F$86=0,Lookup_Lists!$D$150,ROUND((IF(Brand_Profile!$F$81="",0,IF(ISNUMBER(SEARCH(Brand_Profile!$F$81,Matching_Engine!$BG$76)),1,0))+IF(Brand_Profile!$F$82="",0,IF(ISNUMBER(SEARCH(Brand_Profile!$F$82,Matching_Engine!$BG$76)),1,0))+IF(Brand_Profile!$F$83="",0,IF(ISNUMBER(SEARCH(Brand_Profile!$F$83,Matching_Engine!$BG$76)),1,0))+IF(Brand_Profile!$F$84="",0,IF(ISNUMBER(SEARCH(Brand_Profile!$F$84,Matching_Engine!$BG$76)),1,0))+IF(Brand_Profile!$F$85="",0,IF(ISNUMBER(SEARCH(Brand_Profile!$F$85,Matching_Engine!$BG$76)),1,0)))/Brand_Profile!$F$86*100,0))</f>
      </c>
      <c r="W76" s="47">
        <f>IF(Brand_Profile!$F$39="",Lookup_Lists!$D$150,IFERROR(INDEX(Lookup_Lists!$B$237:$K$246,MATCH(Brand_Profile!$F$39,Lookup_Lists!$A$237:$A$246,0),MATCH(KOL_Database!$AJ$15,Lookup_Lists!$B$236:$K$236,0)),45))</f>
      </c>
      <c r="X76" s="47">
        <f>ROUND((Matching_Engine!$T$76*Lookup_Lists!$D$121+Matching_Engine!$U$76*Lookup_Lists!$D$122+Matching_Engine!$V$76*Lookup_Lists!$D$123+Matching_Engine!$W$76*Lookup_Lists!$D$124)/(Lookup_Lists!$D$121+Lookup_Lists!$D$122+Lookup_Lists!$D$123+Lookup_Lists!$D$124),0)</f>
      </c>
      <c r="Y76" s="47">
        <f>MIN(100,MAX(IFERROR(INDEX(Lookup_Lists!$B$202:$M$211,MATCH(Brand_Profile!$F$25,Lookup_Lists!$A$202:$A$211,0),MATCH(KOL_Database!$AK$15,Lookup_Lists!$B$201:$M$201,0)),40),IF(KOL_Database!$AK$15=Brand_Profile!$F$41,95,0)))</f>
      </c>
      <c r="Z76" s="47">
        <f>IFERROR(INDEX(Lookup_Lists!$B$215:$K$222,MATCH(Brand_Profile!$F$27,Lookup_Lists!$A$215:$A$222,0),MATCH(KOL_Database!$AJ$15,Lookup_Lists!$B$214:$K$214,0)),45)</f>
      </c>
      <c r="AA76" s="47">
        <f>ROUND((IF(Brand_Profile!$F$80=0,Lookup_Lists!$D$150,ROUND((IF(Brand_Profile!$F$75="",0,IF(ISNUMBER(SEARCH(Brand_Profile!$F$75,KOL_Database!$AL$15)),1,0))+IF(Brand_Profile!$F$76="",0,IF(ISNUMBER(SEARCH(Brand_Profile!$F$76,KOL_Database!$AL$15)),1,0))+IF(Brand_Profile!$F$77="",0,IF(ISNUMBER(SEARCH(Brand_Profile!$F$77,KOL_Database!$AL$15)),1,0))+IF(Brand_Profile!$F$78="",0,IF(ISNUMBER(SEARCH(Brand_Profile!$F$78,KOL_Database!$AL$15)),1,0))+IF(Brand_Profile!$F$79="",0,IF(ISNUMBER(SEARCH(Brand_Profile!$F$79,KOL_Database!$AL$15)),1,0)))/Brand_Profile!$F$80*100,0))+IF(Brand_Profile!$F$92=0,Lookup_Lists!$D$150,ROUND((IF(Brand_Profile!$F$87="",0,IF(ISNUMBER(SEARCH(Brand_Profile!$F$87,KOL_Database!$AL$15)),1,0))+IF(Brand_Profile!$F$88="",0,IF(ISNUMBER(SEARCH(Brand_Profile!$F$88,KOL_Database!$AL$15)),1,0))+IF(Brand_Profile!$F$89="",0,IF(ISNUMBER(SEARCH(Brand_Profile!$F$89,KOL_Database!$AL$15)),1,0))+IF(Brand_Profile!$F$90="",0,IF(ISNUMBER(SEARCH(Brand_Profile!$F$90,KOL_Database!$AL$15)),1,0))+IF(Brand_Profile!$F$91="",0,IF(ISNUMBER(SEARCH(Brand_Profile!$F$91,KOL_Database!$AL$15)),1,0)))/Brand_Profile!$F$92*100,0)))/2,0)</f>
      </c>
      <c r="AB76" s="47">
        <f>IFERROR(INDEX(Lookup_Lists!$B$226:$K$233,MATCH(Brand_Profile!$F$30,Lookup_Lists!$A$226:$A$233,0),MATCH(KOL_Database!$AJ$15,Lookup_Lists!$B$225:$K$225,0)),45)</f>
      </c>
      <c r="AC76" s="47">
        <f>ROUND((Matching_Engine!$Y$76*Lookup_Lists!$D$125+Matching_Engine!$Z$76*Lookup_Lists!$D$126+Matching_Engine!$AA$76*Lookup_Lists!$D$127+Matching_Engine!$AB$76*Lookup_Lists!$D$128)/(Lookup_Lists!$D$125+Lookup_Lists!$D$126+Lookup_Lists!$D$127+Lookup_Lists!$D$128),0)</f>
      </c>
      <c r="AD76" s="47">
        <f>IF(KOL_Database!$K$15="",0,MIN(100,ROUND(KOL_Database!$K$15/Lookup_Lists!$D$141*100,0)))</f>
      </c>
      <c r="AE76" s="47">
        <f>IF(KOL_Database!$R$15="",0,MIN(100,MAX(0,KOL_Database!$R$15)))</f>
      </c>
      <c r="AF76" s="47">
        <f>IF(KOL_Database!$P$15="",0,MIN(100,MAX(0,KOL_Database!$P$15)))</f>
      </c>
      <c r="AG76" s="47">
        <f>IF(KOL_Database!$Q$15="",0,MIN(100,MAX(0,KOL_Database!$Q$15)))</f>
      </c>
      <c r="AH76" s="47">
        <f>IF(OR(KOL_Database!$J$15="",KOL_Database!$J$15=0,KOL_Database!$L$15=""),0,MIN(100,ROUND(KOL_Database!$L$15/KOL_Database!$J$15/Lookup_Lists!$D$144*100,0)))</f>
      </c>
      <c r="AI76" s="47">
        <f>IF(KOL_Database!$N$15="",0,MIN(100,MAX(0,ROUND((KOL_Database!$N$15+2)/(Lookup_Lists!$D$145+2)*100,0))))</f>
      </c>
      <c r="AJ76" s="47">
        <f>ROUND((Matching_Engine!$AD$76*Lookup_Lists!$D$129+Matching_Engine!$AE$76*Lookup_Lists!$D$130+Matching_Engine!$AF$76*Lookup_Lists!$D$131+Matching_Engine!$AG$76*Lookup_Lists!$D$132+Matching_Engine!$AH$76*Lookup_Lists!$D$133+Matching_Engine!$AI$76*Lookup_Lists!$D$134)/(Lookup_Lists!$D$129+Lookup_Lists!$D$130+Lookup_Lists!$D$131+Lookup_Lists!$D$132+Lookup_Lists!$D$133+Lookup_Lists!$D$134),0)</f>
      </c>
      <c r="AK76" s="47">
        <f>IF(KOL_Database!$AT$15="",0,MIN(100,MAX(0,KOL_Database!$AT$15)))</f>
      </c>
      <c r="AL76" s="47">
        <f>IF(KOL_Database!$AU$15="",0,KOL_Database!$AU$15)</f>
      </c>
      <c r="AM76" s="44">
        <f>IF(KOL_Database!$AV$15="","None",KOL_Database!$AV$15)</f>
      </c>
      <c r="AN76" s="48">
        <f>IF(Matching_Engine!$AM$76="High",Lookup_Lists!$D$137,IF(Matching_Engine!$AM$76="Medium",Lookup_Lists!$D$138,IF(Matching_Engine!$AM$76="Low",Lookup_Lists!$D$139,Lookup_Lists!$D$140)))</f>
      </c>
      <c r="AO76" s="47">
        <f>ROUND(MIN(100,MAX(0,(Matching_Engine!$AK$76*Lookup_Lists!$D$135+(100-Matching_Engine!$AL$76)*Lookup_Lists!$D$136)/(Lookup_Lists!$D$135+Lookup_Lists!$D$136)*Matching_Engine!$AN$76)),0)</f>
      </c>
      <c r="AP76" s="49">
        <f>ROUND((Matching_Engine!$N$76*Lookup_Lists!$D$104+Matching_Engine!$S$76*Lookup_Lists!$D$105+Matching_Engine!$X$76*Lookup_Lists!$D$106+Matching_Engine!$AC$76*Lookup_Lists!$D$107+Matching_Engine!$AJ$76*Lookup_Lists!$D$108+Matching_Engine!$AO$76*Lookup_Lists!$D$109)/MAX(1,(Lookup_Lists!$D$104+Lookup_Lists!$D$105+Lookup_Lists!$D$106+Lookup_Lists!$D$107+Lookup_Lists!$D$108+Lookup_Lists!$D$109)),0)</f>
      </c>
      <c r="AQ76" s="44">
        <f>IF(Matching_Engine!$AP$76&gt;=Lookup_Lists!$D$152,"Excellent Match",IF(Matching_Engine!$AP$76&gt;=Lookup_Lists!$D$153,"Strong Match",IF(Matching_Engine!$AP$76&gt;=Lookup_Lists!$D$154,"Good Match",IF(Matching_Engine!$AP$76&gt;=Lookup_Lists!$D$155,"Moderate Match","Low Match"))))</f>
      </c>
      <c r="AR76" s="47">
        <f>KOL_Database!$BE$15</f>
      </c>
      <c r="AS76" s="44">
        <f>IF(Matching_Engine!$AR$76&gt;=Lookup_Lists!$D$159,"High",IF(Matching_Engine!$AR$76&gt;=Lookup_Lists!$D$160,"Medium","Limited Data"))</f>
      </c>
      <c r="AT76" s="47">
        <f>ROUND((Matching_Engine!$N$76+Matching_Engine!$X$76+Matching_Engine!$AC$76)/3,0)</f>
      </c>
      <c r="AU76" s="47">
        <f>ROUND(((100-Matching_Engine!$AL$76)*Lookup_Lists!$D$162+IF(KOL_Database!$BD$15="",Lookup_Lists!$D$150,KOL_Database!$BD$15)*Lookup_Lists!$D$163+Matching_Engine!$AI$76*Lookup_Lists!$D$164+Matching_Engine!$AD$76*Lookup_Lists!$D$165)/(Lookup_Lists!$D$162+Lookup_Lists!$D$163+Lookup_Lists!$D$164+Lookup_Lists!$D$165),0)</f>
      </c>
      <c r="AV76" s="44">
        <f>IF(Matching_Engine!$AW$76="","PASS","EXCLUDED")</f>
      </c>
      <c r="AW76" s="44">
        <f>IF(ISERROR(SEARCH(KOL_Database!$D$15,Brand_Profile!$F$32)),"Platform not in Preferred Platform",IF(AND(Brand_Profile!$F$36&gt;0,KOL_Database!$J$15&lt;Brand_Profile!$F$36),"Followers below Preferred Follower Range",IF(AND(Brand_Profile!$F$37&gt;0,KOL_Database!$J$15&gt;Brand_Profile!$F$37),"Followers above Preferred Follower Range",IF(AND(Brand_Profile!$F$38&gt;0,IF(KOL_Database!$K$15="",0,KOL_Database!$K$15)&lt;Brand_Profile!$F$38),"Engagement Rate below Minimum Engagement Rate",IF(ISERROR(SEARCH(KOL_Database!$G$15,Brand_Profile!$F$35)),"Tier not in Preferred Tier",IF(AND(Brand_Profile!$F$43&gt;0,Matching_Engine!$AE$76&lt;Brand_Profile!$F$43),"Audience Quality below Minimum Audience Quality",IF(AND(Brand_Profile!$F$44&gt;0,Matching_Engine!$AK$76&lt;Brand_Profile!$F$44),"Brand Safety below Minimum Brand Safety",IF(AND(Brand_Profile!$F$47="Yes",KOL_Database!$AD$15&lt;&gt;Brand_Profile!$F$19),"Audience Country does not match Target Country",IF(AND(Brand_Profile!$F$46="Yes",KOL_Database!$E$15&lt;&gt;Brand_Profile!$F$33),"Category is not the Preferred Category",IF(AND(Brand_Profile!$F$48&gt;0,Matching_Engine!$AL$76&gt;Brand_Profile!$F$48),"Competitor Saturation above Max Competitor Saturation",IF(AND(Brand_Profile!$F$50="Yes",KOL_Database!$AW$15="Yes"),"Already Selected",IF(AND(Brand_Profile!$F$51="Yes",KOL_Database!$AX$15="Yes"),"Already in Cart",IF(AND(Brand_Profile!$F$52="Yes",KOL_Database!$AY$15="Yes"),"Existing Partner",IF(AND(Brand_Profile!$F$53="Yes",KOL_Database!$AZ$15="Yes"),"Excluded Creator",IF(AND(Brand_Profile!$F$49&gt;0,Matching_Engine!$AP$76&lt;Brand_Profile!$F$49),"Brand Match below Minimum Brand Match","")))))))))))))))</f>
      </c>
      <c r="AX76" s="44">
        <f>IF(Matching_Engine!$AV$76="EXCLUDED","Excluded",IF(Matching_Engine!$AP$76&gt;=Lookup_Lists!$D$156,"Highly Recommended",IF(Matching_Engine!$AP$76&gt;=Lookup_Lists!$D$157,"Recommended",IF(Matching_Engine!$AP$76&gt;=Lookup_Lists!$D$158,"Consider","Low Priority"))))</f>
      </c>
      <c r="AY76" s="47">
        <f>IF(Matching_Engine!$AV$76="PASS",Matching_Engine!$AP$76,"")</f>
      </c>
      <c r="AZ76" s="44">
        <f>Matching_Engine!$A$76&amp;"|"&amp;Matching_Engine!$C$76</f>
      </c>
      <c r="BA76" s="44">
        <f>IFERROR(INDEX(Lookup_Lists!$B$51:$B$92,MATCH(Brand_Profile!$F$12,Lookup_Lists!$A$51:$A$92,0)),"")</f>
      </c>
      <c r="BB76" s="44">
        <f>IFERROR(INDEX(Lookup_Lists!$B$51:$B$92,MATCH(KOL_Database!$F$15,Lookup_Lists!$A$51:$A$92,0)),"")</f>
      </c>
      <c r="BC76" s="47">
        <f>IFERROR(INDEX(Lookup_Lists!$B$185:$O$198,MATCH(Matching_Engine!$BA$76,Lookup_Lists!$A$185:$A$198,0),MATCH(KOL_Database!$E$15,Lookup_Lists!$B$184:$O$184,0)),Lookup_Lists!$D$151)</f>
      </c>
      <c r="BD76" s="47">
        <f>IFERROR(INDEX(Lookup_Lists!$B$185:$O$198,MATCH(Brand_Profile!$F$33,Lookup_Lists!$A$185:$A$198,0),MATCH(KOL_Database!$E$15,Lookup_Lists!$B$184:$O$184,0)),Lookup_Lists!$D$151)</f>
      </c>
      <c r="BE76" s="44">
        <f>IFERROR(INDEX(Lookup_Lists!$B$51:$B$92,MATCH(Brand_Profile!$F$34,Lookup_Lists!$A$51:$A$92,0)),"")</f>
      </c>
      <c r="BF76" s="44">
        <f>KOL_Database!$AI$15&amp;", "&amp;KOL_Database!$AG$15&amp;", "&amp;KOL_Database!$F$15&amp;", "&amp;KOL_Database!$E$15</f>
      </c>
      <c r="BG76" s="44">
        <f>KOL_Database!$AI$15&amp;", "&amp;KOL_Database!$AG$15</f>
      </c>
    </row>
    <row r="77" spans="1:59" x14ac:dyDescent="0.25">
      <c r="A77" s="43" t="s">
        <v>77</v>
      </c>
      <c r="B77" s="44">
        <f>Brand_Profile!$F$9</f>
      </c>
      <c r="C77" s="44">
        <f>KOL_Database!$A$16</f>
      </c>
      <c r="D77" s="44">
        <f>KOL_Database!$B$16</f>
      </c>
      <c r="E77" s="44">
        <f>KOL_Database!$C$16</f>
      </c>
      <c r="F77" s="44">
        <f>KOL_Database!$D$16</f>
      </c>
      <c r="G77" s="44">
        <f>KOL_Database!$E$16</f>
      </c>
      <c r="H77" s="44">
        <f>KOL_Database!$G$16</f>
      </c>
      <c r="I77" s="45">
        <f>KOL_Database!$J$16</f>
      </c>
      <c r="J77" s="46">
        <f>KOL_Database!$K$16</f>
      </c>
      <c r="K77" s="47">
        <f>IFERROR(INDEX(Lookup_Lists!$B$170:$O$181,MATCH(Brand_Profile!$F$10,Lookup_Lists!$A$170:$A$181,0),MATCH(KOL_Database!$E$16,Lookup_Lists!$B$169:$O$169,0)),Lookup_Lists!$D$151)</f>
      </c>
      <c r="L77" s="47">
        <f>IF(KOL_Database!$F$16="",Matching_Engine!$BC$77,IF(Brand_Profile!$F$12=KOL_Database!$F$16,100,IF(Matching_Engine!$BA$77=KOL_Database!$E$16,80,IF(Matching_Engine!$BC$77&gt;=80,60,IF(Matching_Engine!$BC$77&gt;=60,40,Lookup_Lists!$D$151)))))</f>
      </c>
      <c r="M77" s="47">
        <f>ROUND((IF(Brand_Profile!$F$62=0,Lookup_Lists!$D$150,ROUND((IF(Brand_Profile!$F$57="",0,IF(ISNUMBER(SEARCH(Brand_Profile!$F$57,Matching_Engine!$BF$77)),1,0))+IF(Brand_Profile!$F$58="",0,IF(ISNUMBER(SEARCH(Brand_Profile!$F$58,Matching_Engine!$BF$77)),1,0))+IF(Brand_Profile!$F$59="",0,IF(ISNUMBER(SEARCH(Brand_Profile!$F$59,Matching_Engine!$BF$77)),1,0))+IF(Brand_Profile!$F$60="",0,IF(ISNUMBER(SEARCH(Brand_Profile!$F$60,Matching_Engine!$BF$77)),1,0))+IF(Brand_Profile!$F$61="",0,IF(ISNUMBER(SEARCH(Brand_Profile!$F$61,Matching_Engine!$BF$77)),1,0)))/Brand_Profile!$F$62*100,0))+IF(Brand_Profile!$F$74=0,Lookup_Lists!$D$150,ROUND((IF(Brand_Profile!$F$69="",0,IF(ISNUMBER(SEARCH(Brand_Profile!$F$69,Matching_Engine!$BF$77)),1,0))+IF(Brand_Profile!$F$70="",0,IF(ISNUMBER(SEARCH(Brand_Profile!$F$70,Matching_Engine!$BF$77)),1,0))+IF(Brand_Profile!$F$71="",0,IF(ISNUMBER(SEARCH(Brand_Profile!$F$71,Matching_Engine!$BF$77)),1,0))+IF(Brand_Profile!$F$72="",0,IF(ISNUMBER(SEARCH(Brand_Profile!$F$72,Matching_Engine!$BF$77)),1,0))+IF(Brand_Profile!$F$73="",0,IF(ISNUMBER(SEARCH(Brand_Profile!$F$73,Matching_Engine!$BF$77)),1,0)))/Brand_Profile!$F$74*100,0)))/2,0)</f>
      </c>
      <c r="N77" s="47">
        <f>ROUND((Matching_Engine!$K$77*Lookup_Lists!$D$110+Matching_Engine!$L$77*Lookup_Lists!$D$111+Matching_Engine!$M$77*Lookup_Lists!$D$112)/(Lookup_Lists!$D$110+Lookup_Lists!$D$111+Lookup_Lists!$D$112),0)</f>
      </c>
      <c r="O77" s="47">
        <f>IF(Brand_Profile!$F$16="",Lookup_Lists!$D$150,MIN(100,ROUND((IFERROR(INDEX(KOL_Database!$W$16:KOL_Database!$AA$16,1,MATCH(Brand_Profile!$F$16,Lookup_Lists!$F$6:$F$10,0)),0)+0.5*IFERROR(INDEX(KOL_Database!$W$16:KOL_Database!$AA$16,1,MATCH(Brand_Profile!$F$17,Lookup_Lists!$F$6:$F$10,0)),0))/Lookup_Lists!$D$142*100,0)))</f>
      </c>
      <c r="P77" s="47">
        <f>IF(OR(Brand_Profile!$F$18="",Brand_Profile!$F$18="Any"),100,IF(Brand_Profile!$F$18="Female",MIN(100,ROUND(KOL_Database!$AB$16/Lookup_Lists!$D$143*100,0)),IF(Brand_Profile!$F$18="Male",MIN(100,ROUND(KOL_Database!$AC$16/Lookup_Lists!$D$143*100,0)),MAX(0,ROUND(100-ABS(KOL_Database!$AB$16-50)*2,0)))))</f>
      </c>
      <c r="Q77" s="47">
        <f>ROUND((IF(Brand_Profile!$F$19="",100,IF(KOL_Database!$AD$16=Brand_Profile!$F$19,100,Lookup_Lists!$D$151))*Lookup_Lists!$D$118+IF(OR(Brand_Profile!$F$20="",Brand_Profile!$F$20="Nasional"),100,IF(KOL_Database!$AE$16="",Lookup_Lists!$D$150,IF(KOL_Database!$AE$16=Brand_Profile!$F$20,100,IF(KOL_Database!$AD$16=Brand_Profile!$F$19,40,Lookup_Lists!$D$151))))*Lookup_Lists!$D$119+IF(OR(Brand_Profile!$F$21="",Brand_Profile!$F$21="Nasional"),100,IF(KOL_Database!$AF$16="",Lookup_Lists!$D$150,IF(KOL_Database!$AF$16=Brand_Profile!$F$21,100,IF(KOL_Database!$AE$16=Brand_Profile!$F$20,60,Lookup_Lists!$D$151))))*Lookup_Lists!$D$120)/(Lookup_Lists!$D$118+Lookup_Lists!$D$119+Lookup_Lists!$D$120),0)</f>
      </c>
      <c r="R77" s="47">
        <f>IF(Brand_Profile!$F$68=0,Lookup_Lists!$D$150,ROUND((IF(Brand_Profile!$F$63="",0,IF(ISNUMBER(SEARCH(Brand_Profile!$F$63,KOL_Database!$AG$16)),1,0))+IF(Brand_Profile!$F$64="",0,IF(ISNUMBER(SEARCH(Brand_Profile!$F$64,KOL_Database!$AG$16)),1,0))+IF(Brand_Profile!$F$65="",0,IF(ISNUMBER(SEARCH(Brand_Profile!$F$65,KOL_Database!$AG$16)),1,0))+IF(Brand_Profile!$F$66="",0,IF(ISNUMBER(SEARCH(Brand_Profile!$F$66,KOL_Database!$AG$16)),1,0))+IF(Brand_Profile!$F$67="",0,IF(ISNUMBER(SEARCH(Brand_Profile!$F$67,KOL_Database!$AG$16)),1,0)))/Brand_Profile!$F$68*100,0))</f>
      </c>
      <c r="S77" s="47">
        <f>ROUND((Matching_Engine!$O$77*Brand_Profile!$F$96+Matching_Engine!$P$77*Brand_Profile!$F$97+Matching_Engine!$Q$77*Brand_Profile!$F$98+Matching_Engine!$R$77*Brand_Profile!$F$99)/MAX(1,Brand_Profile!$F$96+Brand_Profile!$F$97+Brand_Profile!$F$98+Brand_Profile!$F$99),0)</f>
      </c>
      <c r="T77" s="47">
        <f>IF(Brand_Profile!$F$33="",Lookup_Lists!$D$150,Matching_Engine!$BD$77)</f>
      </c>
      <c r="U77" s="47">
        <f>IF(Brand_Profile!$F$34="",Lookup_Lists!$D$150,IF(Brand_Profile!$F$34=KOL_Database!$F$16,100,IF(Matching_Engine!$BE$77=KOL_Database!$E$16,75,IF(Matching_Engine!$BD$77&gt;=80,Lookup_Lists!$D$150,IF(Matching_Engine!$BD$77&gt;=60,35,Lookup_Lists!$D$151)))))</f>
      </c>
      <c r="V77" s="47">
        <f>IF(Brand_Profile!$F$86=0,Lookup_Lists!$D$150,ROUND((IF(Brand_Profile!$F$81="",0,IF(ISNUMBER(SEARCH(Brand_Profile!$F$81,Matching_Engine!$BG$77)),1,0))+IF(Brand_Profile!$F$82="",0,IF(ISNUMBER(SEARCH(Brand_Profile!$F$82,Matching_Engine!$BG$77)),1,0))+IF(Brand_Profile!$F$83="",0,IF(ISNUMBER(SEARCH(Brand_Profile!$F$83,Matching_Engine!$BG$77)),1,0))+IF(Brand_Profile!$F$84="",0,IF(ISNUMBER(SEARCH(Brand_Profile!$F$84,Matching_Engine!$BG$77)),1,0))+IF(Brand_Profile!$F$85="",0,IF(ISNUMBER(SEARCH(Brand_Profile!$F$85,Matching_Engine!$BG$77)),1,0)))/Brand_Profile!$F$86*100,0))</f>
      </c>
      <c r="W77" s="47">
        <f>IF(Brand_Profile!$F$39="",Lookup_Lists!$D$150,IFERROR(INDEX(Lookup_Lists!$B$237:$K$246,MATCH(Brand_Profile!$F$39,Lookup_Lists!$A$237:$A$246,0),MATCH(KOL_Database!$AJ$16,Lookup_Lists!$B$236:$K$236,0)),45))</f>
      </c>
      <c r="X77" s="47">
        <f>ROUND((Matching_Engine!$T$77*Lookup_Lists!$D$121+Matching_Engine!$U$77*Lookup_Lists!$D$122+Matching_Engine!$V$77*Lookup_Lists!$D$123+Matching_Engine!$W$77*Lookup_Lists!$D$124)/(Lookup_Lists!$D$121+Lookup_Lists!$D$122+Lookup_Lists!$D$123+Lookup_Lists!$D$124),0)</f>
      </c>
      <c r="Y77" s="47">
        <f>MIN(100,MAX(IFERROR(INDEX(Lookup_Lists!$B$202:$M$211,MATCH(Brand_Profile!$F$25,Lookup_Lists!$A$202:$A$211,0),MATCH(KOL_Database!$AK$16,Lookup_Lists!$B$201:$M$201,0)),40),IF(KOL_Database!$AK$16=Brand_Profile!$F$41,95,0)))</f>
      </c>
      <c r="Z77" s="47">
        <f>IFERROR(INDEX(Lookup_Lists!$B$215:$K$222,MATCH(Brand_Profile!$F$27,Lookup_Lists!$A$215:$A$222,0),MATCH(KOL_Database!$AJ$16,Lookup_Lists!$B$214:$K$214,0)),45)</f>
      </c>
      <c r="AA77" s="47">
        <f>ROUND((IF(Brand_Profile!$F$80=0,Lookup_Lists!$D$150,ROUND((IF(Brand_Profile!$F$75="",0,IF(ISNUMBER(SEARCH(Brand_Profile!$F$75,KOL_Database!$AL$16)),1,0))+IF(Brand_Profile!$F$76="",0,IF(ISNUMBER(SEARCH(Brand_Profile!$F$76,KOL_Database!$AL$16)),1,0))+IF(Brand_Profile!$F$77="",0,IF(ISNUMBER(SEARCH(Brand_Profile!$F$77,KOL_Database!$AL$16)),1,0))+IF(Brand_Profile!$F$78="",0,IF(ISNUMBER(SEARCH(Brand_Profile!$F$78,KOL_Database!$AL$16)),1,0))+IF(Brand_Profile!$F$79="",0,IF(ISNUMBER(SEARCH(Brand_Profile!$F$79,KOL_Database!$AL$16)),1,0)))/Brand_Profile!$F$80*100,0))+IF(Brand_Profile!$F$92=0,Lookup_Lists!$D$150,ROUND((IF(Brand_Profile!$F$87="",0,IF(ISNUMBER(SEARCH(Brand_Profile!$F$87,KOL_Database!$AL$16)),1,0))+IF(Brand_Profile!$F$88="",0,IF(ISNUMBER(SEARCH(Brand_Profile!$F$88,KOL_Database!$AL$16)),1,0))+IF(Brand_Profile!$F$89="",0,IF(ISNUMBER(SEARCH(Brand_Profile!$F$89,KOL_Database!$AL$16)),1,0))+IF(Brand_Profile!$F$90="",0,IF(ISNUMBER(SEARCH(Brand_Profile!$F$90,KOL_Database!$AL$16)),1,0))+IF(Brand_Profile!$F$91="",0,IF(ISNUMBER(SEARCH(Brand_Profile!$F$91,KOL_Database!$AL$16)),1,0)))/Brand_Profile!$F$92*100,0)))/2,0)</f>
      </c>
      <c r="AB77" s="47">
        <f>IFERROR(INDEX(Lookup_Lists!$B$226:$K$233,MATCH(Brand_Profile!$F$30,Lookup_Lists!$A$226:$A$233,0),MATCH(KOL_Database!$AJ$16,Lookup_Lists!$B$225:$K$225,0)),45)</f>
      </c>
      <c r="AC77" s="47">
        <f>ROUND((Matching_Engine!$Y$77*Lookup_Lists!$D$125+Matching_Engine!$Z$77*Lookup_Lists!$D$126+Matching_Engine!$AA$77*Lookup_Lists!$D$127+Matching_Engine!$AB$77*Lookup_Lists!$D$128)/(Lookup_Lists!$D$125+Lookup_Lists!$D$126+Lookup_Lists!$D$127+Lookup_Lists!$D$128),0)</f>
      </c>
      <c r="AD77" s="47">
        <f>IF(KOL_Database!$K$16="",0,MIN(100,ROUND(KOL_Database!$K$16/Lookup_Lists!$D$141*100,0)))</f>
      </c>
      <c r="AE77" s="47">
        <f>IF(KOL_Database!$R$16="",0,MIN(100,MAX(0,KOL_Database!$R$16)))</f>
      </c>
      <c r="AF77" s="47">
        <f>IF(KOL_Database!$P$16="",0,MIN(100,MAX(0,KOL_Database!$P$16)))</f>
      </c>
      <c r="AG77" s="47">
        <f>IF(KOL_Database!$Q$16="",0,MIN(100,MAX(0,KOL_Database!$Q$16)))</f>
      </c>
      <c r="AH77" s="47">
        <f>IF(OR(KOL_Database!$J$16="",KOL_Database!$J$16=0,KOL_Database!$L$16=""),0,MIN(100,ROUND(KOL_Database!$L$16/KOL_Database!$J$16/Lookup_Lists!$D$144*100,0)))</f>
      </c>
      <c r="AI77" s="47">
        <f>IF(KOL_Database!$N$16="",0,MIN(100,MAX(0,ROUND((KOL_Database!$N$16+2)/(Lookup_Lists!$D$145+2)*100,0))))</f>
      </c>
      <c r="AJ77" s="47">
        <f>ROUND((Matching_Engine!$AD$77*Lookup_Lists!$D$129+Matching_Engine!$AE$77*Lookup_Lists!$D$130+Matching_Engine!$AF$77*Lookup_Lists!$D$131+Matching_Engine!$AG$77*Lookup_Lists!$D$132+Matching_Engine!$AH$77*Lookup_Lists!$D$133+Matching_Engine!$AI$77*Lookup_Lists!$D$134)/(Lookup_Lists!$D$129+Lookup_Lists!$D$130+Lookup_Lists!$D$131+Lookup_Lists!$D$132+Lookup_Lists!$D$133+Lookup_Lists!$D$134),0)</f>
      </c>
      <c r="AK77" s="47">
        <f>IF(KOL_Database!$AT$16="",0,MIN(100,MAX(0,KOL_Database!$AT$16)))</f>
      </c>
      <c r="AL77" s="47">
        <f>IF(KOL_Database!$AU$16="",0,KOL_Database!$AU$16)</f>
      </c>
      <c r="AM77" s="44">
        <f>IF(KOL_Database!$AV$16="","None",KOL_Database!$AV$16)</f>
      </c>
      <c r="AN77" s="48">
        <f>IF(Matching_Engine!$AM$77="High",Lookup_Lists!$D$137,IF(Matching_Engine!$AM$77="Medium",Lookup_Lists!$D$138,IF(Matching_Engine!$AM$77="Low",Lookup_Lists!$D$139,Lookup_Lists!$D$140)))</f>
      </c>
      <c r="AO77" s="47">
        <f>ROUND(MIN(100,MAX(0,(Matching_Engine!$AK$77*Lookup_Lists!$D$135+(100-Matching_Engine!$AL$77)*Lookup_Lists!$D$136)/(Lookup_Lists!$D$135+Lookup_Lists!$D$136)*Matching_Engine!$AN$77)),0)</f>
      </c>
      <c r="AP77" s="49">
        <f>ROUND((Matching_Engine!$N$77*Lookup_Lists!$D$104+Matching_Engine!$S$77*Lookup_Lists!$D$105+Matching_Engine!$X$77*Lookup_Lists!$D$106+Matching_Engine!$AC$77*Lookup_Lists!$D$107+Matching_Engine!$AJ$77*Lookup_Lists!$D$108+Matching_Engine!$AO$77*Lookup_Lists!$D$109)/MAX(1,(Lookup_Lists!$D$104+Lookup_Lists!$D$105+Lookup_Lists!$D$106+Lookup_Lists!$D$107+Lookup_Lists!$D$108+Lookup_Lists!$D$109)),0)</f>
      </c>
      <c r="AQ77" s="44">
        <f>IF(Matching_Engine!$AP$77&gt;=Lookup_Lists!$D$152,"Excellent Match",IF(Matching_Engine!$AP$77&gt;=Lookup_Lists!$D$153,"Strong Match",IF(Matching_Engine!$AP$77&gt;=Lookup_Lists!$D$154,"Good Match",IF(Matching_Engine!$AP$77&gt;=Lookup_Lists!$D$155,"Moderate Match","Low Match"))))</f>
      </c>
      <c r="AR77" s="47">
        <f>KOL_Database!$BE$16</f>
      </c>
      <c r="AS77" s="44">
        <f>IF(Matching_Engine!$AR$77&gt;=Lookup_Lists!$D$159,"High",IF(Matching_Engine!$AR$77&gt;=Lookup_Lists!$D$160,"Medium","Limited Data"))</f>
      </c>
      <c r="AT77" s="47">
        <f>ROUND((Matching_Engine!$N$77+Matching_Engine!$X$77+Matching_Engine!$AC$77)/3,0)</f>
      </c>
      <c r="AU77" s="47">
        <f>ROUND(((100-Matching_Engine!$AL$77)*Lookup_Lists!$D$162+IF(KOL_Database!$BD$16="",Lookup_Lists!$D$150,KOL_Database!$BD$16)*Lookup_Lists!$D$163+Matching_Engine!$AI$77*Lookup_Lists!$D$164+Matching_Engine!$AD$77*Lookup_Lists!$D$165)/(Lookup_Lists!$D$162+Lookup_Lists!$D$163+Lookup_Lists!$D$164+Lookup_Lists!$D$165),0)</f>
      </c>
      <c r="AV77" s="44">
        <f>IF(Matching_Engine!$AW$77="","PASS","EXCLUDED")</f>
      </c>
      <c r="AW77" s="44">
        <f>IF(ISERROR(SEARCH(KOL_Database!$D$16,Brand_Profile!$F$32)),"Platform not in Preferred Platform",IF(AND(Brand_Profile!$F$36&gt;0,KOL_Database!$J$16&lt;Brand_Profile!$F$36),"Followers below Preferred Follower Range",IF(AND(Brand_Profile!$F$37&gt;0,KOL_Database!$J$16&gt;Brand_Profile!$F$37),"Followers above Preferred Follower Range",IF(AND(Brand_Profile!$F$38&gt;0,IF(KOL_Database!$K$16="",0,KOL_Database!$K$16)&lt;Brand_Profile!$F$38),"Engagement Rate below Minimum Engagement Rate",IF(ISERROR(SEARCH(KOL_Database!$G$16,Brand_Profile!$F$35)),"Tier not in Preferred Tier",IF(AND(Brand_Profile!$F$43&gt;0,Matching_Engine!$AE$77&lt;Brand_Profile!$F$43),"Audience Quality below Minimum Audience Quality",IF(AND(Brand_Profile!$F$44&gt;0,Matching_Engine!$AK$77&lt;Brand_Profile!$F$44),"Brand Safety below Minimum Brand Safety",IF(AND(Brand_Profile!$F$47="Yes",KOL_Database!$AD$16&lt;&gt;Brand_Profile!$F$19),"Audience Country does not match Target Country",IF(AND(Brand_Profile!$F$46="Yes",KOL_Database!$E$16&lt;&gt;Brand_Profile!$F$33),"Category is not the Preferred Category",IF(AND(Brand_Profile!$F$48&gt;0,Matching_Engine!$AL$77&gt;Brand_Profile!$F$48),"Competitor Saturation above Max Competitor Saturation",IF(AND(Brand_Profile!$F$50="Yes",KOL_Database!$AW$16="Yes"),"Already Selected",IF(AND(Brand_Profile!$F$51="Yes",KOL_Database!$AX$16="Yes"),"Already in Cart",IF(AND(Brand_Profile!$F$52="Yes",KOL_Database!$AY$16="Yes"),"Existing Partner",IF(AND(Brand_Profile!$F$53="Yes",KOL_Database!$AZ$16="Yes"),"Excluded Creator",IF(AND(Brand_Profile!$F$49&gt;0,Matching_Engine!$AP$77&lt;Brand_Profile!$F$49),"Brand Match below Minimum Brand Match","")))))))))))))))</f>
      </c>
      <c r="AX77" s="44">
        <f>IF(Matching_Engine!$AV$77="EXCLUDED","Excluded",IF(Matching_Engine!$AP$77&gt;=Lookup_Lists!$D$156,"Highly Recommended",IF(Matching_Engine!$AP$77&gt;=Lookup_Lists!$D$157,"Recommended",IF(Matching_Engine!$AP$77&gt;=Lookup_Lists!$D$158,"Consider","Low Priority"))))</f>
      </c>
      <c r="AY77" s="47">
        <f>IF(Matching_Engine!$AV$77="PASS",Matching_Engine!$AP$77,"")</f>
      </c>
      <c r="AZ77" s="44">
        <f>Matching_Engine!$A$77&amp;"|"&amp;Matching_Engine!$C$77</f>
      </c>
      <c r="BA77" s="44">
        <f>IFERROR(INDEX(Lookup_Lists!$B$51:$B$92,MATCH(Brand_Profile!$F$12,Lookup_Lists!$A$51:$A$92,0)),"")</f>
      </c>
      <c r="BB77" s="44">
        <f>IFERROR(INDEX(Lookup_Lists!$B$51:$B$92,MATCH(KOL_Database!$F$16,Lookup_Lists!$A$51:$A$92,0)),"")</f>
      </c>
      <c r="BC77" s="47">
        <f>IFERROR(INDEX(Lookup_Lists!$B$185:$O$198,MATCH(Matching_Engine!$BA$77,Lookup_Lists!$A$185:$A$198,0),MATCH(KOL_Database!$E$16,Lookup_Lists!$B$184:$O$184,0)),Lookup_Lists!$D$151)</f>
      </c>
      <c r="BD77" s="47">
        <f>IFERROR(INDEX(Lookup_Lists!$B$185:$O$198,MATCH(Brand_Profile!$F$33,Lookup_Lists!$A$185:$A$198,0),MATCH(KOL_Database!$E$16,Lookup_Lists!$B$184:$O$184,0)),Lookup_Lists!$D$151)</f>
      </c>
      <c r="BE77" s="44">
        <f>IFERROR(INDEX(Lookup_Lists!$B$51:$B$92,MATCH(Brand_Profile!$F$34,Lookup_Lists!$A$51:$A$92,0)),"")</f>
      </c>
      <c r="BF77" s="44">
        <f>KOL_Database!$AI$16&amp;", "&amp;KOL_Database!$AG$16&amp;", "&amp;KOL_Database!$F$16&amp;", "&amp;KOL_Database!$E$16</f>
      </c>
      <c r="BG77" s="44">
        <f>KOL_Database!$AI$16&amp;", "&amp;KOL_Database!$AG$16</f>
      </c>
    </row>
    <row r="78" spans="1:59" x14ac:dyDescent="0.25">
      <c r="A78" s="43" t="s">
        <v>77</v>
      </c>
      <c r="B78" s="44">
        <f>Brand_Profile!$F$9</f>
      </c>
      <c r="C78" s="44">
        <f>KOL_Database!$A$17</f>
      </c>
      <c r="D78" s="44">
        <f>KOL_Database!$B$17</f>
      </c>
      <c r="E78" s="44">
        <f>KOL_Database!$C$17</f>
      </c>
      <c r="F78" s="44">
        <f>KOL_Database!$D$17</f>
      </c>
      <c r="G78" s="44">
        <f>KOL_Database!$E$17</f>
      </c>
      <c r="H78" s="44">
        <f>KOL_Database!$G$17</f>
      </c>
      <c r="I78" s="45">
        <f>KOL_Database!$J$17</f>
      </c>
      <c r="J78" s="46">
        <f>KOL_Database!$K$17</f>
      </c>
      <c r="K78" s="47">
        <f>IFERROR(INDEX(Lookup_Lists!$B$170:$O$181,MATCH(Brand_Profile!$F$10,Lookup_Lists!$A$170:$A$181,0),MATCH(KOL_Database!$E$17,Lookup_Lists!$B$169:$O$169,0)),Lookup_Lists!$D$151)</f>
      </c>
      <c r="L78" s="47">
        <f>IF(KOL_Database!$F$17="",Matching_Engine!$BC$78,IF(Brand_Profile!$F$12=KOL_Database!$F$17,100,IF(Matching_Engine!$BA$78=KOL_Database!$E$17,80,IF(Matching_Engine!$BC$78&gt;=80,60,IF(Matching_Engine!$BC$78&gt;=60,40,Lookup_Lists!$D$151)))))</f>
      </c>
      <c r="M78" s="47">
        <f>ROUND((IF(Brand_Profile!$F$62=0,Lookup_Lists!$D$150,ROUND((IF(Brand_Profile!$F$57="",0,IF(ISNUMBER(SEARCH(Brand_Profile!$F$57,Matching_Engine!$BF$78)),1,0))+IF(Brand_Profile!$F$58="",0,IF(ISNUMBER(SEARCH(Brand_Profile!$F$58,Matching_Engine!$BF$78)),1,0))+IF(Brand_Profile!$F$59="",0,IF(ISNUMBER(SEARCH(Brand_Profile!$F$59,Matching_Engine!$BF$78)),1,0))+IF(Brand_Profile!$F$60="",0,IF(ISNUMBER(SEARCH(Brand_Profile!$F$60,Matching_Engine!$BF$78)),1,0))+IF(Brand_Profile!$F$61="",0,IF(ISNUMBER(SEARCH(Brand_Profile!$F$61,Matching_Engine!$BF$78)),1,0)))/Brand_Profile!$F$62*100,0))+IF(Brand_Profile!$F$74=0,Lookup_Lists!$D$150,ROUND((IF(Brand_Profile!$F$69="",0,IF(ISNUMBER(SEARCH(Brand_Profile!$F$69,Matching_Engine!$BF$78)),1,0))+IF(Brand_Profile!$F$70="",0,IF(ISNUMBER(SEARCH(Brand_Profile!$F$70,Matching_Engine!$BF$78)),1,0))+IF(Brand_Profile!$F$71="",0,IF(ISNUMBER(SEARCH(Brand_Profile!$F$71,Matching_Engine!$BF$78)),1,0))+IF(Brand_Profile!$F$72="",0,IF(ISNUMBER(SEARCH(Brand_Profile!$F$72,Matching_Engine!$BF$78)),1,0))+IF(Brand_Profile!$F$73="",0,IF(ISNUMBER(SEARCH(Brand_Profile!$F$73,Matching_Engine!$BF$78)),1,0)))/Brand_Profile!$F$74*100,0)))/2,0)</f>
      </c>
      <c r="N78" s="47">
        <f>ROUND((Matching_Engine!$K$78*Lookup_Lists!$D$110+Matching_Engine!$L$78*Lookup_Lists!$D$111+Matching_Engine!$M$78*Lookup_Lists!$D$112)/(Lookup_Lists!$D$110+Lookup_Lists!$D$111+Lookup_Lists!$D$112),0)</f>
      </c>
      <c r="O78" s="47">
        <f>IF(Brand_Profile!$F$16="",Lookup_Lists!$D$150,MIN(100,ROUND((IFERROR(INDEX(KOL_Database!$W$17:KOL_Database!$AA$17,1,MATCH(Brand_Profile!$F$16,Lookup_Lists!$F$6:$F$10,0)),0)+0.5*IFERROR(INDEX(KOL_Database!$W$17:KOL_Database!$AA$17,1,MATCH(Brand_Profile!$F$17,Lookup_Lists!$F$6:$F$10,0)),0))/Lookup_Lists!$D$142*100,0)))</f>
      </c>
      <c r="P78" s="47">
        <f>IF(OR(Brand_Profile!$F$18="",Brand_Profile!$F$18="Any"),100,IF(Brand_Profile!$F$18="Female",MIN(100,ROUND(KOL_Database!$AB$17/Lookup_Lists!$D$143*100,0)),IF(Brand_Profile!$F$18="Male",MIN(100,ROUND(KOL_Database!$AC$17/Lookup_Lists!$D$143*100,0)),MAX(0,ROUND(100-ABS(KOL_Database!$AB$17-50)*2,0)))))</f>
      </c>
      <c r="Q78" s="47">
        <f>ROUND((IF(Brand_Profile!$F$19="",100,IF(KOL_Database!$AD$17=Brand_Profile!$F$19,100,Lookup_Lists!$D$151))*Lookup_Lists!$D$118+IF(OR(Brand_Profile!$F$20="",Brand_Profile!$F$20="Nasional"),100,IF(KOL_Database!$AE$17="",Lookup_Lists!$D$150,IF(KOL_Database!$AE$17=Brand_Profile!$F$20,100,IF(KOL_Database!$AD$17=Brand_Profile!$F$19,40,Lookup_Lists!$D$151))))*Lookup_Lists!$D$119+IF(OR(Brand_Profile!$F$21="",Brand_Profile!$F$21="Nasional"),100,IF(KOL_Database!$AF$17="",Lookup_Lists!$D$150,IF(KOL_Database!$AF$17=Brand_Profile!$F$21,100,IF(KOL_Database!$AE$17=Brand_Profile!$F$20,60,Lookup_Lists!$D$151))))*Lookup_Lists!$D$120)/(Lookup_Lists!$D$118+Lookup_Lists!$D$119+Lookup_Lists!$D$120),0)</f>
      </c>
      <c r="R78" s="47">
        <f>IF(Brand_Profile!$F$68=0,Lookup_Lists!$D$150,ROUND((IF(Brand_Profile!$F$63="",0,IF(ISNUMBER(SEARCH(Brand_Profile!$F$63,KOL_Database!$AG$17)),1,0))+IF(Brand_Profile!$F$64="",0,IF(ISNUMBER(SEARCH(Brand_Profile!$F$64,KOL_Database!$AG$17)),1,0))+IF(Brand_Profile!$F$65="",0,IF(ISNUMBER(SEARCH(Brand_Profile!$F$65,KOL_Database!$AG$17)),1,0))+IF(Brand_Profile!$F$66="",0,IF(ISNUMBER(SEARCH(Brand_Profile!$F$66,KOL_Database!$AG$17)),1,0))+IF(Brand_Profile!$F$67="",0,IF(ISNUMBER(SEARCH(Brand_Profile!$F$67,KOL_Database!$AG$17)),1,0)))/Brand_Profile!$F$68*100,0))</f>
      </c>
      <c r="S78" s="47">
        <f>ROUND((Matching_Engine!$O$78*Brand_Profile!$F$96+Matching_Engine!$P$78*Brand_Profile!$F$97+Matching_Engine!$Q$78*Brand_Profile!$F$98+Matching_Engine!$R$78*Brand_Profile!$F$99)/MAX(1,Brand_Profile!$F$96+Brand_Profile!$F$97+Brand_Profile!$F$98+Brand_Profile!$F$99),0)</f>
      </c>
      <c r="T78" s="47">
        <f>IF(Brand_Profile!$F$33="",Lookup_Lists!$D$150,Matching_Engine!$BD$78)</f>
      </c>
      <c r="U78" s="47">
        <f>IF(Brand_Profile!$F$34="",Lookup_Lists!$D$150,IF(Brand_Profile!$F$34=KOL_Database!$F$17,100,IF(Matching_Engine!$BE$78=KOL_Database!$E$17,75,IF(Matching_Engine!$BD$78&gt;=80,Lookup_Lists!$D$150,IF(Matching_Engine!$BD$78&gt;=60,35,Lookup_Lists!$D$151)))))</f>
      </c>
      <c r="V78" s="47">
        <f>IF(Brand_Profile!$F$86=0,Lookup_Lists!$D$150,ROUND((IF(Brand_Profile!$F$81="",0,IF(ISNUMBER(SEARCH(Brand_Profile!$F$81,Matching_Engine!$BG$78)),1,0))+IF(Brand_Profile!$F$82="",0,IF(ISNUMBER(SEARCH(Brand_Profile!$F$82,Matching_Engine!$BG$78)),1,0))+IF(Brand_Profile!$F$83="",0,IF(ISNUMBER(SEARCH(Brand_Profile!$F$83,Matching_Engine!$BG$78)),1,0))+IF(Brand_Profile!$F$84="",0,IF(ISNUMBER(SEARCH(Brand_Profile!$F$84,Matching_Engine!$BG$78)),1,0))+IF(Brand_Profile!$F$85="",0,IF(ISNUMBER(SEARCH(Brand_Profile!$F$85,Matching_Engine!$BG$78)),1,0)))/Brand_Profile!$F$86*100,0))</f>
      </c>
      <c r="W78" s="47">
        <f>IF(Brand_Profile!$F$39="",Lookup_Lists!$D$150,IFERROR(INDEX(Lookup_Lists!$B$237:$K$246,MATCH(Brand_Profile!$F$39,Lookup_Lists!$A$237:$A$246,0),MATCH(KOL_Database!$AJ$17,Lookup_Lists!$B$236:$K$236,0)),45))</f>
      </c>
      <c r="X78" s="47">
        <f>ROUND((Matching_Engine!$T$78*Lookup_Lists!$D$121+Matching_Engine!$U$78*Lookup_Lists!$D$122+Matching_Engine!$V$78*Lookup_Lists!$D$123+Matching_Engine!$W$78*Lookup_Lists!$D$124)/(Lookup_Lists!$D$121+Lookup_Lists!$D$122+Lookup_Lists!$D$123+Lookup_Lists!$D$124),0)</f>
      </c>
      <c r="Y78" s="47">
        <f>MIN(100,MAX(IFERROR(INDEX(Lookup_Lists!$B$202:$M$211,MATCH(Brand_Profile!$F$25,Lookup_Lists!$A$202:$A$211,0),MATCH(KOL_Database!$AK$17,Lookup_Lists!$B$201:$M$201,0)),40),IF(KOL_Database!$AK$17=Brand_Profile!$F$41,95,0)))</f>
      </c>
      <c r="Z78" s="47">
        <f>IFERROR(INDEX(Lookup_Lists!$B$215:$K$222,MATCH(Brand_Profile!$F$27,Lookup_Lists!$A$215:$A$222,0),MATCH(KOL_Database!$AJ$17,Lookup_Lists!$B$214:$K$214,0)),45)</f>
      </c>
      <c r="AA78" s="47">
        <f>ROUND((IF(Brand_Profile!$F$80=0,Lookup_Lists!$D$150,ROUND((IF(Brand_Profile!$F$75="",0,IF(ISNUMBER(SEARCH(Brand_Profile!$F$75,KOL_Database!$AL$17)),1,0))+IF(Brand_Profile!$F$76="",0,IF(ISNUMBER(SEARCH(Brand_Profile!$F$76,KOL_Database!$AL$17)),1,0))+IF(Brand_Profile!$F$77="",0,IF(ISNUMBER(SEARCH(Brand_Profile!$F$77,KOL_Database!$AL$17)),1,0))+IF(Brand_Profile!$F$78="",0,IF(ISNUMBER(SEARCH(Brand_Profile!$F$78,KOL_Database!$AL$17)),1,0))+IF(Brand_Profile!$F$79="",0,IF(ISNUMBER(SEARCH(Brand_Profile!$F$79,KOL_Database!$AL$17)),1,0)))/Brand_Profile!$F$80*100,0))+IF(Brand_Profile!$F$92=0,Lookup_Lists!$D$150,ROUND((IF(Brand_Profile!$F$87="",0,IF(ISNUMBER(SEARCH(Brand_Profile!$F$87,KOL_Database!$AL$17)),1,0))+IF(Brand_Profile!$F$88="",0,IF(ISNUMBER(SEARCH(Brand_Profile!$F$88,KOL_Database!$AL$17)),1,0))+IF(Brand_Profile!$F$89="",0,IF(ISNUMBER(SEARCH(Brand_Profile!$F$89,KOL_Database!$AL$17)),1,0))+IF(Brand_Profile!$F$90="",0,IF(ISNUMBER(SEARCH(Brand_Profile!$F$90,KOL_Database!$AL$17)),1,0))+IF(Brand_Profile!$F$91="",0,IF(ISNUMBER(SEARCH(Brand_Profile!$F$91,KOL_Database!$AL$17)),1,0)))/Brand_Profile!$F$92*100,0)))/2,0)</f>
      </c>
      <c r="AB78" s="47">
        <f>IFERROR(INDEX(Lookup_Lists!$B$226:$K$233,MATCH(Brand_Profile!$F$30,Lookup_Lists!$A$226:$A$233,0),MATCH(KOL_Database!$AJ$17,Lookup_Lists!$B$225:$K$225,0)),45)</f>
      </c>
      <c r="AC78" s="47">
        <f>ROUND((Matching_Engine!$Y$78*Lookup_Lists!$D$125+Matching_Engine!$Z$78*Lookup_Lists!$D$126+Matching_Engine!$AA$78*Lookup_Lists!$D$127+Matching_Engine!$AB$78*Lookup_Lists!$D$128)/(Lookup_Lists!$D$125+Lookup_Lists!$D$126+Lookup_Lists!$D$127+Lookup_Lists!$D$128),0)</f>
      </c>
      <c r="AD78" s="47">
        <f>IF(KOL_Database!$K$17="",0,MIN(100,ROUND(KOL_Database!$K$17/Lookup_Lists!$D$141*100,0)))</f>
      </c>
      <c r="AE78" s="47">
        <f>IF(KOL_Database!$R$17="",0,MIN(100,MAX(0,KOL_Database!$R$17)))</f>
      </c>
      <c r="AF78" s="47">
        <f>IF(KOL_Database!$P$17="",0,MIN(100,MAX(0,KOL_Database!$P$17)))</f>
      </c>
      <c r="AG78" s="47">
        <f>IF(KOL_Database!$Q$17="",0,MIN(100,MAX(0,KOL_Database!$Q$17)))</f>
      </c>
      <c r="AH78" s="47">
        <f>IF(OR(KOL_Database!$J$17="",KOL_Database!$J$17=0,KOL_Database!$L$17=""),0,MIN(100,ROUND(KOL_Database!$L$17/KOL_Database!$J$17/Lookup_Lists!$D$144*100,0)))</f>
      </c>
      <c r="AI78" s="47">
        <f>IF(KOL_Database!$N$17="",0,MIN(100,MAX(0,ROUND((KOL_Database!$N$17+2)/(Lookup_Lists!$D$145+2)*100,0))))</f>
      </c>
      <c r="AJ78" s="47">
        <f>ROUND((Matching_Engine!$AD$78*Lookup_Lists!$D$129+Matching_Engine!$AE$78*Lookup_Lists!$D$130+Matching_Engine!$AF$78*Lookup_Lists!$D$131+Matching_Engine!$AG$78*Lookup_Lists!$D$132+Matching_Engine!$AH$78*Lookup_Lists!$D$133+Matching_Engine!$AI$78*Lookup_Lists!$D$134)/(Lookup_Lists!$D$129+Lookup_Lists!$D$130+Lookup_Lists!$D$131+Lookup_Lists!$D$132+Lookup_Lists!$D$133+Lookup_Lists!$D$134),0)</f>
      </c>
      <c r="AK78" s="47">
        <f>IF(KOL_Database!$AT$17="",0,MIN(100,MAX(0,KOL_Database!$AT$17)))</f>
      </c>
      <c r="AL78" s="47">
        <f>IF(KOL_Database!$AU$17="",0,KOL_Database!$AU$17)</f>
      </c>
      <c r="AM78" s="44">
        <f>IF(KOL_Database!$AV$17="","None",KOL_Database!$AV$17)</f>
      </c>
      <c r="AN78" s="48">
        <f>IF(Matching_Engine!$AM$78="High",Lookup_Lists!$D$137,IF(Matching_Engine!$AM$78="Medium",Lookup_Lists!$D$138,IF(Matching_Engine!$AM$78="Low",Lookup_Lists!$D$139,Lookup_Lists!$D$140)))</f>
      </c>
      <c r="AO78" s="47">
        <f>ROUND(MIN(100,MAX(0,(Matching_Engine!$AK$78*Lookup_Lists!$D$135+(100-Matching_Engine!$AL$78)*Lookup_Lists!$D$136)/(Lookup_Lists!$D$135+Lookup_Lists!$D$136)*Matching_Engine!$AN$78)),0)</f>
      </c>
      <c r="AP78" s="49">
        <f>ROUND((Matching_Engine!$N$78*Lookup_Lists!$D$104+Matching_Engine!$S$78*Lookup_Lists!$D$105+Matching_Engine!$X$78*Lookup_Lists!$D$106+Matching_Engine!$AC$78*Lookup_Lists!$D$107+Matching_Engine!$AJ$78*Lookup_Lists!$D$108+Matching_Engine!$AO$78*Lookup_Lists!$D$109)/MAX(1,(Lookup_Lists!$D$104+Lookup_Lists!$D$105+Lookup_Lists!$D$106+Lookup_Lists!$D$107+Lookup_Lists!$D$108+Lookup_Lists!$D$109)),0)</f>
      </c>
      <c r="AQ78" s="44">
        <f>IF(Matching_Engine!$AP$78&gt;=Lookup_Lists!$D$152,"Excellent Match",IF(Matching_Engine!$AP$78&gt;=Lookup_Lists!$D$153,"Strong Match",IF(Matching_Engine!$AP$78&gt;=Lookup_Lists!$D$154,"Good Match",IF(Matching_Engine!$AP$78&gt;=Lookup_Lists!$D$155,"Moderate Match","Low Match"))))</f>
      </c>
      <c r="AR78" s="47">
        <f>KOL_Database!$BE$17</f>
      </c>
      <c r="AS78" s="44">
        <f>IF(Matching_Engine!$AR$78&gt;=Lookup_Lists!$D$159,"High",IF(Matching_Engine!$AR$78&gt;=Lookup_Lists!$D$160,"Medium","Limited Data"))</f>
      </c>
      <c r="AT78" s="47">
        <f>ROUND((Matching_Engine!$N$78+Matching_Engine!$X$78+Matching_Engine!$AC$78)/3,0)</f>
      </c>
      <c r="AU78" s="47">
        <f>ROUND(((100-Matching_Engine!$AL$78)*Lookup_Lists!$D$162+IF(KOL_Database!$BD$17="",Lookup_Lists!$D$150,KOL_Database!$BD$17)*Lookup_Lists!$D$163+Matching_Engine!$AI$78*Lookup_Lists!$D$164+Matching_Engine!$AD$78*Lookup_Lists!$D$165)/(Lookup_Lists!$D$162+Lookup_Lists!$D$163+Lookup_Lists!$D$164+Lookup_Lists!$D$165),0)</f>
      </c>
      <c r="AV78" s="44">
        <f>IF(Matching_Engine!$AW$78="","PASS","EXCLUDED")</f>
      </c>
      <c r="AW78" s="44">
        <f>IF(ISERROR(SEARCH(KOL_Database!$D$17,Brand_Profile!$F$32)),"Platform not in Preferred Platform",IF(AND(Brand_Profile!$F$36&gt;0,KOL_Database!$J$17&lt;Brand_Profile!$F$36),"Followers below Preferred Follower Range",IF(AND(Brand_Profile!$F$37&gt;0,KOL_Database!$J$17&gt;Brand_Profile!$F$37),"Followers above Preferred Follower Range",IF(AND(Brand_Profile!$F$38&gt;0,IF(KOL_Database!$K$17="",0,KOL_Database!$K$17)&lt;Brand_Profile!$F$38),"Engagement Rate below Minimum Engagement Rate",IF(ISERROR(SEARCH(KOL_Database!$G$17,Brand_Profile!$F$35)),"Tier not in Preferred Tier",IF(AND(Brand_Profile!$F$43&gt;0,Matching_Engine!$AE$78&lt;Brand_Profile!$F$43),"Audience Quality below Minimum Audience Quality",IF(AND(Brand_Profile!$F$44&gt;0,Matching_Engine!$AK$78&lt;Brand_Profile!$F$44),"Brand Safety below Minimum Brand Safety",IF(AND(Brand_Profile!$F$47="Yes",KOL_Database!$AD$17&lt;&gt;Brand_Profile!$F$19),"Audience Country does not match Target Country",IF(AND(Brand_Profile!$F$46="Yes",KOL_Database!$E$17&lt;&gt;Brand_Profile!$F$33),"Category is not the Preferred Category",IF(AND(Brand_Profile!$F$48&gt;0,Matching_Engine!$AL$78&gt;Brand_Profile!$F$48),"Competitor Saturation above Max Competitor Saturation",IF(AND(Brand_Profile!$F$50="Yes",KOL_Database!$AW$17="Yes"),"Already Selected",IF(AND(Brand_Profile!$F$51="Yes",KOL_Database!$AX$17="Yes"),"Already in Cart",IF(AND(Brand_Profile!$F$52="Yes",KOL_Database!$AY$17="Yes"),"Existing Partner",IF(AND(Brand_Profile!$F$53="Yes",KOL_Database!$AZ$17="Yes"),"Excluded Creator",IF(AND(Brand_Profile!$F$49&gt;0,Matching_Engine!$AP$78&lt;Brand_Profile!$F$49),"Brand Match below Minimum Brand Match","")))))))))))))))</f>
      </c>
      <c r="AX78" s="44">
        <f>IF(Matching_Engine!$AV$78="EXCLUDED","Excluded",IF(Matching_Engine!$AP$78&gt;=Lookup_Lists!$D$156,"Highly Recommended",IF(Matching_Engine!$AP$78&gt;=Lookup_Lists!$D$157,"Recommended",IF(Matching_Engine!$AP$78&gt;=Lookup_Lists!$D$158,"Consider","Low Priority"))))</f>
      </c>
      <c r="AY78" s="47">
        <f>IF(Matching_Engine!$AV$78="PASS",Matching_Engine!$AP$78,"")</f>
      </c>
      <c r="AZ78" s="44">
        <f>Matching_Engine!$A$78&amp;"|"&amp;Matching_Engine!$C$78</f>
      </c>
      <c r="BA78" s="44">
        <f>IFERROR(INDEX(Lookup_Lists!$B$51:$B$92,MATCH(Brand_Profile!$F$12,Lookup_Lists!$A$51:$A$92,0)),"")</f>
      </c>
      <c r="BB78" s="44">
        <f>IFERROR(INDEX(Lookup_Lists!$B$51:$B$92,MATCH(KOL_Database!$F$17,Lookup_Lists!$A$51:$A$92,0)),"")</f>
      </c>
      <c r="BC78" s="47">
        <f>IFERROR(INDEX(Lookup_Lists!$B$185:$O$198,MATCH(Matching_Engine!$BA$78,Lookup_Lists!$A$185:$A$198,0),MATCH(KOL_Database!$E$17,Lookup_Lists!$B$184:$O$184,0)),Lookup_Lists!$D$151)</f>
      </c>
      <c r="BD78" s="47">
        <f>IFERROR(INDEX(Lookup_Lists!$B$185:$O$198,MATCH(Brand_Profile!$F$33,Lookup_Lists!$A$185:$A$198,0),MATCH(KOL_Database!$E$17,Lookup_Lists!$B$184:$O$184,0)),Lookup_Lists!$D$151)</f>
      </c>
      <c r="BE78" s="44">
        <f>IFERROR(INDEX(Lookup_Lists!$B$51:$B$92,MATCH(Brand_Profile!$F$34,Lookup_Lists!$A$51:$A$92,0)),"")</f>
      </c>
      <c r="BF78" s="44">
        <f>KOL_Database!$AI$17&amp;", "&amp;KOL_Database!$AG$17&amp;", "&amp;KOL_Database!$F$17&amp;", "&amp;KOL_Database!$E$17</f>
      </c>
      <c r="BG78" s="44">
        <f>KOL_Database!$AI$17&amp;", "&amp;KOL_Database!$AG$17</f>
      </c>
    </row>
    <row r="79" spans="1:59" x14ac:dyDescent="0.25">
      <c r="A79" s="43" t="s">
        <v>77</v>
      </c>
      <c r="B79" s="44">
        <f>Brand_Profile!$F$9</f>
      </c>
      <c r="C79" s="44">
        <f>KOL_Database!$A$18</f>
      </c>
      <c r="D79" s="44">
        <f>KOL_Database!$B$18</f>
      </c>
      <c r="E79" s="44">
        <f>KOL_Database!$C$18</f>
      </c>
      <c r="F79" s="44">
        <f>KOL_Database!$D$18</f>
      </c>
      <c r="G79" s="44">
        <f>KOL_Database!$E$18</f>
      </c>
      <c r="H79" s="44">
        <f>KOL_Database!$G$18</f>
      </c>
      <c r="I79" s="45">
        <f>KOL_Database!$J$18</f>
      </c>
      <c r="J79" s="46">
        <f>KOL_Database!$K$18</f>
      </c>
      <c r="K79" s="47">
        <f>IFERROR(INDEX(Lookup_Lists!$B$170:$O$181,MATCH(Brand_Profile!$F$10,Lookup_Lists!$A$170:$A$181,0),MATCH(KOL_Database!$E$18,Lookup_Lists!$B$169:$O$169,0)),Lookup_Lists!$D$151)</f>
      </c>
      <c r="L79" s="47">
        <f>IF(KOL_Database!$F$18="",Matching_Engine!$BC$79,IF(Brand_Profile!$F$12=KOL_Database!$F$18,100,IF(Matching_Engine!$BA$79=KOL_Database!$E$18,80,IF(Matching_Engine!$BC$79&gt;=80,60,IF(Matching_Engine!$BC$79&gt;=60,40,Lookup_Lists!$D$151)))))</f>
      </c>
      <c r="M79" s="47">
        <f>ROUND((IF(Brand_Profile!$F$62=0,Lookup_Lists!$D$150,ROUND((IF(Brand_Profile!$F$57="",0,IF(ISNUMBER(SEARCH(Brand_Profile!$F$57,Matching_Engine!$BF$79)),1,0))+IF(Brand_Profile!$F$58="",0,IF(ISNUMBER(SEARCH(Brand_Profile!$F$58,Matching_Engine!$BF$79)),1,0))+IF(Brand_Profile!$F$59="",0,IF(ISNUMBER(SEARCH(Brand_Profile!$F$59,Matching_Engine!$BF$79)),1,0))+IF(Brand_Profile!$F$60="",0,IF(ISNUMBER(SEARCH(Brand_Profile!$F$60,Matching_Engine!$BF$79)),1,0))+IF(Brand_Profile!$F$61="",0,IF(ISNUMBER(SEARCH(Brand_Profile!$F$61,Matching_Engine!$BF$79)),1,0)))/Brand_Profile!$F$62*100,0))+IF(Brand_Profile!$F$74=0,Lookup_Lists!$D$150,ROUND((IF(Brand_Profile!$F$69="",0,IF(ISNUMBER(SEARCH(Brand_Profile!$F$69,Matching_Engine!$BF$79)),1,0))+IF(Brand_Profile!$F$70="",0,IF(ISNUMBER(SEARCH(Brand_Profile!$F$70,Matching_Engine!$BF$79)),1,0))+IF(Brand_Profile!$F$71="",0,IF(ISNUMBER(SEARCH(Brand_Profile!$F$71,Matching_Engine!$BF$79)),1,0))+IF(Brand_Profile!$F$72="",0,IF(ISNUMBER(SEARCH(Brand_Profile!$F$72,Matching_Engine!$BF$79)),1,0))+IF(Brand_Profile!$F$73="",0,IF(ISNUMBER(SEARCH(Brand_Profile!$F$73,Matching_Engine!$BF$79)),1,0)))/Brand_Profile!$F$74*100,0)))/2,0)</f>
      </c>
      <c r="N79" s="47">
        <f>ROUND((Matching_Engine!$K$79*Lookup_Lists!$D$110+Matching_Engine!$L$79*Lookup_Lists!$D$111+Matching_Engine!$M$79*Lookup_Lists!$D$112)/(Lookup_Lists!$D$110+Lookup_Lists!$D$111+Lookup_Lists!$D$112),0)</f>
      </c>
      <c r="O79" s="47">
        <f>IF(Brand_Profile!$F$16="",Lookup_Lists!$D$150,MIN(100,ROUND((IFERROR(INDEX(KOL_Database!$W$18:KOL_Database!$AA$18,1,MATCH(Brand_Profile!$F$16,Lookup_Lists!$F$6:$F$10,0)),0)+0.5*IFERROR(INDEX(KOL_Database!$W$18:KOL_Database!$AA$18,1,MATCH(Brand_Profile!$F$17,Lookup_Lists!$F$6:$F$10,0)),0))/Lookup_Lists!$D$142*100,0)))</f>
      </c>
      <c r="P79" s="47">
        <f>IF(OR(Brand_Profile!$F$18="",Brand_Profile!$F$18="Any"),100,IF(Brand_Profile!$F$18="Female",MIN(100,ROUND(KOL_Database!$AB$18/Lookup_Lists!$D$143*100,0)),IF(Brand_Profile!$F$18="Male",MIN(100,ROUND(KOL_Database!$AC$18/Lookup_Lists!$D$143*100,0)),MAX(0,ROUND(100-ABS(KOL_Database!$AB$18-50)*2,0)))))</f>
      </c>
      <c r="Q79" s="47">
        <f>ROUND((IF(Brand_Profile!$F$19="",100,IF(KOL_Database!$AD$18=Brand_Profile!$F$19,100,Lookup_Lists!$D$151))*Lookup_Lists!$D$118+IF(OR(Brand_Profile!$F$20="",Brand_Profile!$F$20="Nasional"),100,IF(KOL_Database!$AE$18="",Lookup_Lists!$D$150,IF(KOL_Database!$AE$18=Brand_Profile!$F$20,100,IF(KOL_Database!$AD$18=Brand_Profile!$F$19,40,Lookup_Lists!$D$151))))*Lookup_Lists!$D$119+IF(OR(Brand_Profile!$F$21="",Brand_Profile!$F$21="Nasional"),100,IF(KOL_Database!$AF$18="",Lookup_Lists!$D$150,IF(KOL_Database!$AF$18=Brand_Profile!$F$21,100,IF(KOL_Database!$AE$18=Brand_Profile!$F$20,60,Lookup_Lists!$D$151))))*Lookup_Lists!$D$120)/(Lookup_Lists!$D$118+Lookup_Lists!$D$119+Lookup_Lists!$D$120),0)</f>
      </c>
      <c r="R79" s="47">
        <f>IF(Brand_Profile!$F$68=0,Lookup_Lists!$D$150,ROUND((IF(Brand_Profile!$F$63="",0,IF(ISNUMBER(SEARCH(Brand_Profile!$F$63,KOL_Database!$AG$18)),1,0))+IF(Brand_Profile!$F$64="",0,IF(ISNUMBER(SEARCH(Brand_Profile!$F$64,KOL_Database!$AG$18)),1,0))+IF(Brand_Profile!$F$65="",0,IF(ISNUMBER(SEARCH(Brand_Profile!$F$65,KOL_Database!$AG$18)),1,0))+IF(Brand_Profile!$F$66="",0,IF(ISNUMBER(SEARCH(Brand_Profile!$F$66,KOL_Database!$AG$18)),1,0))+IF(Brand_Profile!$F$67="",0,IF(ISNUMBER(SEARCH(Brand_Profile!$F$67,KOL_Database!$AG$18)),1,0)))/Brand_Profile!$F$68*100,0))</f>
      </c>
      <c r="S79" s="47">
        <f>ROUND((Matching_Engine!$O$79*Brand_Profile!$F$96+Matching_Engine!$P$79*Brand_Profile!$F$97+Matching_Engine!$Q$79*Brand_Profile!$F$98+Matching_Engine!$R$79*Brand_Profile!$F$99)/MAX(1,Brand_Profile!$F$96+Brand_Profile!$F$97+Brand_Profile!$F$98+Brand_Profile!$F$99),0)</f>
      </c>
      <c r="T79" s="47">
        <f>IF(Brand_Profile!$F$33="",Lookup_Lists!$D$150,Matching_Engine!$BD$79)</f>
      </c>
      <c r="U79" s="47">
        <f>IF(Brand_Profile!$F$34="",Lookup_Lists!$D$150,IF(Brand_Profile!$F$34=KOL_Database!$F$18,100,IF(Matching_Engine!$BE$79=KOL_Database!$E$18,75,IF(Matching_Engine!$BD$79&gt;=80,Lookup_Lists!$D$150,IF(Matching_Engine!$BD$79&gt;=60,35,Lookup_Lists!$D$151)))))</f>
      </c>
      <c r="V79" s="47">
        <f>IF(Brand_Profile!$F$86=0,Lookup_Lists!$D$150,ROUND((IF(Brand_Profile!$F$81="",0,IF(ISNUMBER(SEARCH(Brand_Profile!$F$81,Matching_Engine!$BG$79)),1,0))+IF(Brand_Profile!$F$82="",0,IF(ISNUMBER(SEARCH(Brand_Profile!$F$82,Matching_Engine!$BG$79)),1,0))+IF(Brand_Profile!$F$83="",0,IF(ISNUMBER(SEARCH(Brand_Profile!$F$83,Matching_Engine!$BG$79)),1,0))+IF(Brand_Profile!$F$84="",0,IF(ISNUMBER(SEARCH(Brand_Profile!$F$84,Matching_Engine!$BG$79)),1,0))+IF(Brand_Profile!$F$85="",0,IF(ISNUMBER(SEARCH(Brand_Profile!$F$85,Matching_Engine!$BG$79)),1,0)))/Brand_Profile!$F$86*100,0))</f>
      </c>
      <c r="W79" s="47">
        <f>IF(Brand_Profile!$F$39="",Lookup_Lists!$D$150,IFERROR(INDEX(Lookup_Lists!$B$237:$K$246,MATCH(Brand_Profile!$F$39,Lookup_Lists!$A$237:$A$246,0),MATCH(KOL_Database!$AJ$18,Lookup_Lists!$B$236:$K$236,0)),45))</f>
      </c>
      <c r="X79" s="47">
        <f>ROUND((Matching_Engine!$T$79*Lookup_Lists!$D$121+Matching_Engine!$U$79*Lookup_Lists!$D$122+Matching_Engine!$V$79*Lookup_Lists!$D$123+Matching_Engine!$W$79*Lookup_Lists!$D$124)/(Lookup_Lists!$D$121+Lookup_Lists!$D$122+Lookup_Lists!$D$123+Lookup_Lists!$D$124),0)</f>
      </c>
      <c r="Y79" s="47">
        <f>MIN(100,MAX(IFERROR(INDEX(Lookup_Lists!$B$202:$M$211,MATCH(Brand_Profile!$F$25,Lookup_Lists!$A$202:$A$211,0),MATCH(KOL_Database!$AK$18,Lookup_Lists!$B$201:$M$201,0)),40),IF(KOL_Database!$AK$18=Brand_Profile!$F$41,95,0)))</f>
      </c>
      <c r="Z79" s="47">
        <f>IFERROR(INDEX(Lookup_Lists!$B$215:$K$222,MATCH(Brand_Profile!$F$27,Lookup_Lists!$A$215:$A$222,0),MATCH(KOL_Database!$AJ$18,Lookup_Lists!$B$214:$K$214,0)),45)</f>
      </c>
      <c r="AA79" s="47">
        <f>ROUND((IF(Brand_Profile!$F$80=0,Lookup_Lists!$D$150,ROUND((IF(Brand_Profile!$F$75="",0,IF(ISNUMBER(SEARCH(Brand_Profile!$F$75,KOL_Database!$AL$18)),1,0))+IF(Brand_Profile!$F$76="",0,IF(ISNUMBER(SEARCH(Brand_Profile!$F$76,KOL_Database!$AL$18)),1,0))+IF(Brand_Profile!$F$77="",0,IF(ISNUMBER(SEARCH(Brand_Profile!$F$77,KOL_Database!$AL$18)),1,0))+IF(Brand_Profile!$F$78="",0,IF(ISNUMBER(SEARCH(Brand_Profile!$F$78,KOL_Database!$AL$18)),1,0))+IF(Brand_Profile!$F$79="",0,IF(ISNUMBER(SEARCH(Brand_Profile!$F$79,KOL_Database!$AL$18)),1,0)))/Brand_Profile!$F$80*100,0))+IF(Brand_Profile!$F$92=0,Lookup_Lists!$D$150,ROUND((IF(Brand_Profile!$F$87="",0,IF(ISNUMBER(SEARCH(Brand_Profile!$F$87,KOL_Database!$AL$18)),1,0))+IF(Brand_Profile!$F$88="",0,IF(ISNUMBER(SEARCH(Brand_Profile!$F$88,KOL_Database!$AL$18)),1,0))+IF(Brand_Profile!$F$89="",0,IF(ISNUMBER(SEARCH(Brand_Profile!$F$89,KOL_Database!$AL$18)),1,0))+IF(Brand_Profile!$F$90="",0,IF(ISNUMBER(SEARCH(Brand_Profile!$F$90,KOL_Database!$AL$18)),1,0))+IF(Brand_Profile!$F$91="",0,IF(ISNUMBER(SEARCH(Brand_Profile!$F$91,KOL_Database!$AL$18)),1,0)))/Brand_Profile!$F$92*100,0)))/2,0)</f>
      </c>
      <c r="AB79" s="47">
        <f>IFERROR(INDEX(Lookup_Lists!$B$226:$K$233,MATCH(Brand_Profile!$F$30,Lookup_Lists!$A$226:$A$233,0),MATCH(KOL_Database!$AJ$18,Lookup_Lists!$B$225:$K$225,0)),45)</f>
      </c>
      <c r="AC79" s="47">
        <f>ROUND((Matching_Engine!$Y$79*Lookup_Lists!$D$125+Matching_Engine!$Z$79*Lookup_Lists!$D$126+Matching_Engine!$AA$79*Lookup_Lists!$D$127+Matching_Engine!$AB$79*Lookup_Lists!$D$128)/(Lookup_Lists!$D$125+Lookup_Lists!$D$126+Lookup_Lists!$D$127+Lookup_Lists!$D$128),0)</f>
      </c>
      <c r="AD79" s="47">
        <f>IF(KOL_Database!$K$18="",0,MIN(100,ROUND(KOL_Database!$K$18/Lookup_Lists!$D$141*100,0)))</f>
      </c>
      <c r="AE79" s="47">
        <f>IF(KOL_Database!$R$18="",0,MIN(100,MAX(0,KOL_Database!$R$18)))</f>
      </c>
      <c r="AF79" s="47">
        <f>IF(KOL_Database!$P$18="",0,MIN(100,MAX(0,KOL_Database!$P$18)))</f>
      </c>
      <c r="AG79" s="47">
        <f>IF(KOL_Database!$Q$18="",0,MIN(100,MAX(0,KOL_Database!$Q$18)))</f>
      </c>
      <c r="AH79" s="47">
        <f>IF(OR(KOL_Database!$J$18="",KOL_Database!$J$18=0,KOL_Database!$L$18=""),0,MIN(100,ROUND(KOL_Database!$L$18/KOL_Database!$J$18/Lookup_Lists!$D$144*100,0)))</f>
      </c>
      <c r="AI79" s="47">
        <f>IF(KOL_Database!$N$18="",0,MIN(100,MAX(0,ROUND((KOL_Database!$N$18+2)/(Lookup_Lists!$D$145+2)*100,0))))</f>
      </c>
      <c r="AJ79" s="47">
        <f>ROUND((Matching_Engine!$AD$79*Lookup_Lists!$D$129+Matching_Engine!$AE$79*Lookup_Lists!$D$130+Matching_Engine!$AF$79*Lookup_Lists!$D$131+Matching_Engine!$AG$79*Lookup_Lists!$D$132+Matching_Engine!$AH$79*Lookup_Lists!$D$133+Matching_Engine!$AI$79*Lookup_Lists!$D$134)/(Lookup_Lists!$D$129+Lookup_Lists!$D$130+Lookup_Lists!$D$131+Lookup_Lists!$D$132+Lookup_Lists!$D$133+Lookup_Lists!$D$134),0)</f>
      </c>
      <c r="AK79" s="47">
        <f>IF(KOL_Database!$AT$18="",0,MIN(100,MAX(0,KOL_Database!$AT$18)))</f>
      </c>
      <c r="AL79" s="47">
        <f>IF(KOL_Database!$AU$18="",0,KOL_Database!$AU$18)</f>
      </c>
      <c r="AM79" s="44">
        <f>IF(KOL_Database!$AV$18="","None",KOL_Database!$AV$18)</f>
      </c>
      <c r="AN79" s="48">
        <f>IF(Matching_Engine!$AM$79="High",Lookup_Lists!$D$137,IF(Matching_Engine!$AM$79="Medium",Lookup_Lists!$D$138,IF(Matching_Engine!$AM$79="Low",Lookup_Lists!$D$139,Lookup_Lists!$D$140)))</f>
      </c>
      <c r="AO79" s="47">
        <f>ROUND(MIN(100,MAX(0,(Matching_Engine!$AK$79*Lookup_Lists!$D$135+(100-Matching_Engine!$AL$79)*Lookup_Lists!$D$136)/(Lookup_Lists!$D$135+Lookup_Lists!$D$136)*Matching_Engine!$AN$79)),0)</f>
      </c>
      <c r="AP79" s="49">
        <f>ROUND((Matching_Engine!$N$79*Lookup_Lists!$D$104+Matching_Engine!$S$79*Lookup_Lists!$D$105+Matching_Engine!$X$79*Lookup_Lists!$D$106+Matching_Engine!$AC$79*Lookup_Lists!$D$107+Matching_Engine!$AJ$79*Lookup_Lists!$D$108+Matching_Engine!$AO$79*Lookup_Lists!$D$109)/MAX(1,(Lookup_Lists!$D$104+Lookup_Lists!$D$105+Lookup_Lists!$D$106+Lookup_Lists!$D$107+Lookup_Lists!$D$108+Lookup_Lists!$D$109)),0)</f>
      </c>
      <c r="AQ79" s="44">
        <f>IF(Matching_Engine!$AP$79&gt;=Lookup_Lists!$D$152,"Excellent Match",IF(Matching_Engine!$AP$79&gt;=Lookup_Lists!$D$153,"Strong Match",IF(Matching_Engine!$AP$79&gt;=Lookup_Lists!$D$154,"Good Match",IF(Matching_Engine!$AP$79&gt;=Lookup_Lists!$D$155,"Moderate Match","Low Match"))))</f>
      </c>
      <c r="AR79" s="47">
        <f>KOL_Database!$BE$18</f>
      </c>
      <c r="AS79" s="44">
        <f>IF(Matching_Engine!$AR$79&gt;=Lookup_Lists!$D$159,"High",IF(Matching_Engine!$AR$79&gt;=Lookup_Lists!$D$160,"Medium","Limited Data"))</f>
      </c>
      <c r="AT79" s="47">
        <f>ROUND((Matching_Engine!$N$79+Matching_Engine!$X$79+Matching_Engine!$AC$79)/3,0)</f>
      </c>
      <c r="AU79" s="47">
        <f>ROUND(((100-Matching_Engine!$AL$79)*Lookup_Lists!$D$162+IF(KOL_Database!$BD$18="",Lookup_Lists!$D$150,KOL_Database!$BD$18)*Lookup_Lists!$D$163+Matching_Engine!$AI$79*Lookup_Lists!$D$164+Matching_Engine!$AD$79*Lookup_Lists!$D$165)/(Lookup_Lists!$D$162+Lookup_Lists!$D$163+Lookup_Lists!$D$164+Lookup_Lists!$D$165),0)</f>
      </c>
      <c r="AV79" s="44">
        <f>IF(Matching_Engine!$AW$79="","PASS","EXCLUDED")</f>
      </c>
      <c r="AW79" s="44">
        <f>IF(ISERROR(SEARCH(KOL_Database!$D$18,Brand_Profile!$F$32)),"Platform not in Preferred Platform",IF(AND(Brand_Profile!$F$36&gt;0,KOL_Database!$J$18&lt;Brand_Profile!$F$36),"Followers below Preferred Follower Range",IF(AND(Brand_Profile!$F$37&gt;0,KOL_Database!$J$18&gt;Brand_Profile!$F$37),"Followers above Preferred Follower Range",IF(AND(Brand_Profile!$F$38&gt;0,IF(KOL_Database!$K$18="",0,KOL_Database!$K$18)&lt;Brand_Profile!$F$38),"Engagement Rate below Minimum Engagement Rate",IF(ISERROR(SEARCH(KOL_Database!$G$18,Brand_Profile!$F$35)),"Tier not in Preferred Tier",IF(AND(Brand_Profile!$F$43&gt;0,Matching_Engine!$AE$79&lt;Brand_Profile!$F$43),"Audience Quality below Minimum Audience Quality",IF(AND(Brand_Profile!$F$44&gt;0,Matching_Engine!$AK$79&lt;Brand_Profile!$F$44),"Brand Safety below Minimum Brand Safety",IF(AND(Brand_Profile!$F$47="Yes",KOL_Database!$AD$18&lt;&gt;Brand_Profile!$F$19),"Audience Country does not match Target Country",IF(AND(Brand_Profile!$F$46="Yes",KOL_Database!$E$18&lt;&gt;Brand_Profile!$F$33),"Category is not the Preferred Category",IF(AND(Brand_Profile!$F$48&gt;0,Matching_Engine!$AL$79&gt;Brand_Profile!$F$48),"Competitor Saturation above Max Competitor Saturation",IF(AND(Brand_Profile!$F$50="Yes",KOL_Database!$AW$18="Yes"),"Already Selected",IF(AND(Brand_Profile!$F$51="Yes",KOL_Database!$AX$18="Yes"),"Already in Cart",IF(AND(Brand_Profile!$F$52="Yes",KOL_Database!$AY$18="Yes"),"Existing Partner",IF(AND(Brand_Profile!$F$53="Yes",KOL_Database!$AZ$18="Yes"),"Excluded Creator",IF(AND(Brand_Profile!$F$49&gt;0,Matching_Engine!$AP$79&lt;Brand_Profile!$F$49),"Brand Match below Minimum Brand Match","")))))))))))))))</f>
      </c>
      <c r="AX79" s="44">
        <f>IF(Matching_Engine!$AV$79="EXCLUDED","Excluded",IF(Matching_Engine!$AP$79&gt;=Lookup_Lists!$D$156,"Highly Recommended",IF(Matching_Engine!$AP$79&gt;=Lookup_Lists!$D$157,"Recommended",IF(Matching_Engine!$AP$79&gt;=Lookup_Lists!$D$158,"Consider","Low Priority"))))</f>
      </c>
      <c r="AY79" s="47">
        <f>IF(Matching_Engine!$AV$79="PASS",Matching_Engine!$AP$79,"")</f>
      </c>
      <c r="AZ79" s="44">
        <f>Matching_Engine!$A$79&amp;"|"&amp;Matching_Engine!$C$79</f>
      </c>
      <c r="BA79" s="44">
        <f>IFERROR(INDEX(Lookup_Lists!$B$51:$B$92,MATCH(Brand_Profile!$F$12,Lookup_Lists!$A$51:$A$92,0)),"")</f>
      </c>
      <c r="BB79" s="44">
        <f>IFERROR(INDEX(Lookup_Lists!$B$51:$B$92,MATCH(KOL_Database!$F$18,Lookup_Lists!$A$51:$A$92,0)),"")</f>
      </c>
      <c r="BC79" s="47">
        <f>IFERROR(INDEX(Lookup_Lists!$B$185:$O$198,MATCH(Matching_Engine!$BA$79,Lookup_Lists!$A$185:$A$198,0),MATCH(KOL_Database!$E$18,Lookup_Lists!$B$184:$O$184,0)),Lookup_Lists!$D$151)</f>
      </c>
      <c r="BD79" s="47">
        <f>IFERROR(INDEX(Lookup_Lists!$B$185:$O$198,MATCH(Brand_Profile!$F$33,Lookup_Lists!$A$185:$A$198,0),MATCH(KOL_Database!$E$18,Lookup_Lists!$B$184:$O$184,0)),Lookup_Lists!$D$151)</f>
      </c>
      <c r="BE79" s="44">
        <f>IFERROR(INDEX(Lookup_Lists!$B$51:$B$92,MATCH(Brand_Profile!$F$34,Lookup_Lists!$A$51:$A$92,0)),"")</f>
      </c>
      <c r="BF79" s="44">
        <f>KOL_Database!$AI$18&amp;", "&amp;KOL_Database!$AG$18&amp;", "&amp;KOL_Database!$F$18&amp;", "&amp;KOL_Database!$E$18</f>
      </c>
      <c r="BG79" s="44">
        <f>KOL_Database!$AI$18&amp;", "&amp;KOL_Database!$AG$18</f>
      </c>
    </row>
    <row r="80" spans="1:59" x14ac:dyDescent="0.25">
      <c r="A80" s="43" t="s">
        <v>77</v>
      </c>
      <c r="B80" s="44">
        <f>Brand_Profile!$F$9</f>
      </c>
      <c r="C80" s="44">
        <f>KOL_Database!$A$19</f>
      </c>
      <c r="D80" s="44">
        <f>KOL_Database!$B$19</f>
      </c>
      <c r="E80" s="44">
        <f>KOL_Database!$C$19</f>
      </c>
      <c r="F80" s="44">
        <f>KOL_Database!$D$19</f>
      </c>
      <c r="G80" s="44">
        <f>KOL_Database!$E$19</f>
      </c>
      <c r="H80" s="44">
        <f>KOL_Database!$G$19</f>
      </c>
      <c r="I80" s="45">
        <f>KOL_Database!$J$19</f>
      </c>
      <c r="J80" s="46">
        <f>KOL_Database!$K$19</f>
      </c>
      <c r="K80" s="47">
        <f>IFERROR(INDEX(Lookup_Lists!$B$170:$O$181,MATCH(Brand_Profile!$F$10,Lookup_Lists!$A$170:$A$181,0),MATCH(KOL_Database!$E$19,Lookup_Lists!$B$169:$O$169,0)),Lookup_Lists!$D$151)</f>
      </c>
      <c r="L80" s="47">
        <f>IF(KOL_Database!$F$19="",Matching_Engine!$BC$80,IF(Brand_Profile!$F$12=KOL_Database!$F$19,100,IF(Matching_Engine!$BA$80=KOL_Database!$E$19,80,IF(Matching_Engine!$BC$80&gt;=80,60,IF(Matching_Engine!$BC$80&gt;=60,40,Lookup_Lists!$D$151)))))</f>
      </c>
      <c r="M80" s="47">
        <f>ROUND((IF(Brand_Profile!$F$62=0,Lookup_Lists!$D$150,ROUND((IF(Brand_Profile!$F$57="",0,IF(ISNUMBER(SEARCH(Brand_Profile!$F$57,Matching_Engine!$BF$80)),1,0))+IF(Brand_Profile!$F$58="",0,IF(ISNUMBER(SEARCH(Brand_Profile!$F$58,Matching_Engine!$BF$80)),1,0))+IF(Brand_Profile!$F$59="",0,IF(ISNUMBER(SEARCH(Brand_Profile!$F$59,Matching_Engine!$BF$80)),1,0))+IF(Brand_Profile!$F$60="",0,IF(ISNUMBER(SEARCH(Brand_Profile!$F$60,Matching_Engine!$BF$80)),1,0))+IF(Brand_Profile!$F$61="",0,IF(ISNUMBER(SEARCH(Brand_Profile!$F$61,Matching_Engine!$BF$80)),1,0)))/Brand_Profile!$F$62*100,0))+IF(Brand_Profile!$F$74=0,Lookup_Lists!$D$150,ROUND((IF(Brand_Profile!$F$69="",0,IF(ISNUMBER(SEARCH(Brand_Profile!$F$69,Matching_Engine!$BF$80)),1,0))+IF(Brand_Profile!$F$70="",0,IF(ISNUMBER(SEARCH(Brand_Profile!$F$70,Matching_Engine!$BF$80)),1,0))+IF(Brand_Profile!$F$71="",0,IF(ISNUMBER(SEARCH(Brand_Profile!$F$71,Matching_Engine!$BF$80)),1,0))+IF(Brand_Profile!$F$72="",0,IF(ISNUMBER(SEARCH(Brand_Profile!$F$72,Matching_Engine!$BF$80)),1,0))+IF(Brand_Profile!$F$73="",0,IF(ISNUMBER(SEARCH(Brand_Profile!$F$73,Matching_Engine!$BF$80)),1,0)))/Brand_Profile!$F$74*100,0)))/2,0)</f>
      </c>
      <c r="N80" s="47">
        <f>ROUND((Matching_Engine!$K$80*Lookup_Lists!$D$110+Matching_Engine!$L$80*Lookup_Lists!$D$111+Matching_Engine!$M$80*Lookup_Lists!$D$112)/(Lookup_Lists!$D$110+Lookup_Lists!$D$111+Lookup_Lists!$D$112),0)</f>
      </c>
      <c r="O80" s="47">
        <f>IF(Brand_Profile!$F$16="",Lookup_Lists!$D$150,MIN(100,ROUND((IFERROR(INDEX(KOL_Database!$W$19:KOL_Database!$AA$19,1,MATCH(Brand_Profile!$F$16,Lookup_Lists!$F$6:$F$10,0)),0)+0.5*IFERROR(INDEX(KOL_Database!$W$19:KOL_Database!$AA$19,1,MATCH(Brand_Profile!$F$17,Lookup_Lists!$F$6:$F$10,0)),0))/Lookup_Lists!$D$142*100,0)))</f>
      </c>
      <c r="P80" s="47">
        <f>IF(OR(Brand_Profile!$F$18="",Brand_Profile!$F$18="Any"),100,IF(Brand_Profile!$F$18="Female",MIN(100,ROUND(KOL_Database!$AB$19/Lookup_Lists!$D$143*100,0)),IF(Brand_Profile!$F$18="Male",MIN(100,ROUND(KOL_Database!$AC$19/Lookup_Lists!$D$143*100,0)),MAX(0,ROUND(100-ABS(KOL_Database!$AB$19-50)*2,0)))))</f>
      </c>
      <c r="Q80" s="47">
        <f>ROUND((IF(Brand_Profile!$F$19="",100,IF(KOL_Database!$AD$19=Brand_Profile!$F$19,100,Lookup_Lists!$D$151))*Lookup_Lists!$D$118+IF(OR(Brand_Profile!$F$20="",Brand_Profile!$F$20="Nasional"),100,IF(KOL_Database!$AE$19="",Lookup_Lists!$D$150,IF(KOL_Database!$AE$19=Brand_Profile!$F$20,100,IF(KOL_Database!$AD$19=Brand_Profile!$F$19,40,Lookup_Lists!$D$151))))*Lookup_Lists!$D$119+IF(OR(Brand_Profile!$F$21="",Brand_Profile!$F$21="Nasional"),100,IF(KOL_Database!$AF$19="",Lookup_Lists!$D$150,IF(KOL_Database!$AF$19=Brand_Profile!$F$21,100,IF(KOL_Database!$AE$19=Brand_Profile!$F$20,60,Lookup_Lists!$D$151))))*Lookup_Lists!$D$120)/(Lookup_Lists!$D$118+Lookup_Lists!$D$119+Lookup_Lists!$D$120),0)</f>
      </c>
      <c r="R80" s="47">
        <f>IF(Brand_Profile!$F$68=0,Lookup_Lists!$D$150,ROUND((IF(Brand_Profile!$F$63="",0,IF(ISNUMBER(SEARCH(Brand_Profile!$F$63,KOL_Database!$AG$19)),1,0))+IF(Brand_Profile!$F$64="",0,IF(ISNUMBER(SEARCH(Brand_Profile!$F$64,KOL_Database!$AG$19)),1,0))+IF(Brand_Profile!$F$65="",0,IF(ISNUMBER(SEARCH(Brand_Profile!$F$65,KOL_Database!$AG$19)),1,0))+IF(Brand_Profile!$F$66="",0,IF(ISNUMBER(SEARCH(Brand_Profile!$F$66,KOL_Database!$AG$19)),1,0))+IF(Brand_Profile!$F$67="",0,IF(ISNUMBER(SEARCH(Brand_Profile!$F$67,KOL_Database!$AG$19)),1,0)))/Brand_Profile!$F$68*100,0))</f>
      </c>
      <c r="S80" s="47">
        <f>ROUND((Matching_Engine!$O$80*Brand_Profile!$F$96+Matching_Engine!$P$80*Brand_Profile!$F$97+Matching_Engine!$Q$80*Brand_Profile!$F$98+Matching_Engine!$R$80*Brand_Profile!$F$99)/MAX(1,Brand_Profile!$F$96+Brand_Profile!$F$97+Brand_Profile!$F$98+Brand_Profile!$F$99),0)</f>
      </c>
      <c r="T80" s="47">
        <f>IF(Brand_Profile!$F$33="",Lookup_Lists!$D$150,Matching_Engine!$BD$80)</f>
      </c>
      <c r="U80" s="47">
        <f>IF(Brand_Profile!$F$34="",Lookup_Lists!$D$150,IF(Brand_Profile!$F$34=KOL_Database!$F$19,100,IF(Matching_Engine!$BE$80=KOL_Database!$E$19,75,IF(Matching_Engine!$BD$80&gt;=80,Lookup_Lists!$D$150,IF(Matching_Engine!$BD$80&gt;=60,35,Lookup_Lists!$D$151)))))</f>
      </c>
      <c r="V80" s="47">
        <f>IF(Brand_Profile!$F$86=0,Lookup_Lists!$D$150,ROUND((IF(Brand_Profile!$F$81="",0,IF(ISNUMBER(SEARCH(Brand_Profile!$F$81,Matching_Engine!$BG$80)),1,0))+IF(Brand_Profile!$F$82="",0,IF(ISNUMBER(SEARCH(Brand_Profile!$F$82,Matching_Engine!$BG$80)),1,0))+IF(Brand_Profile!$F$83="",0,IF(ISNUMBER(SEARCH(Brand_Profile!$F$83,Matching_Engine!$BG$80)),1,0))+IF(Brand_Profile!$F$84="",0,IF(ISNUMBER(SEARCH(Brand_Profile!$F$84,Matching_Engine!$BG$80)),1,0))+IF(Brand_Profile!$F$85="",0,IF(ISNUMBER(SEARCH(Brand_Profile!$F$85,Matching_Engine!$BG$80)),1,0)))/Brand_Profile!$F$86*100,0))</f>
      </c>
      <c r="W80" s="47">
        <f>IF(Brand_Profile!$F$39="",Lookup_Lists!$D$150,IFERROR(INDEX(Lookup_Lists!$B$237:$K$246,MATCH(Brand_Profile!$F$39,Lookup_Lists!$A$237:$A$246,0),MATCH(KOL_Database!$AJ$19,Lookup_Lists!$B$236:$K$236,0)),45))</f>
      </c>
      <c r="X80" s="47">
        <f>ROUND((Matching_Engine!$T$80*Lookup_Lists!$D$121+Matching_Engine!$U$80*Lookup_Lists!$D$122+Matching_Engine!$V$80*Lookup_Lists!$D$123+Matching_Engine!$W$80*Lookup_Lists!$D$124)/(Lookup_Lists!$D$121+Lookup_Lists!$D$122+Lookup_Lists!$D$123+Lookup_Lists!$D$124),0)</f>
      </c>
      <c r="Y80" s="47">
        <f>MIN(100,MAX(IFERROR(INDEX(Lookup_Lists!$B$202:$M$211,MATCH(Brand_Profile!$F$25,Lookup_Lists!$A$202:$A$211,0),MATCH(KOL_Database!$AK$19,Lookup_Lists!$B$201:$M$201,0)),40),IF(KOL_Database!$AK$19=Brand_Profile!$F$41,95,0)))</f>
      </c>
      <c r="Z80" s="47">
        <f>IFERROR(INDEX(Lookup_Lists!$B$215:$K$222,MATCH(Brand_Profile!$F$27,Lookup_Lists!$A$215:$A$222,0),MATCH(KOL_Database!$AJ$19,Lookup_Lists!$B$214:$K$214,0)),45)</f>
      </c>
      <c r="AA80" s="47">
        <f>ROUND((IF(Brand_Profile!$F$80=0,Lookup_Lists!$D$150,ROUND((IF(Brand_Profile!$F$75="",0,IF(ISNUMBER(SEARCH(Brand_Profile!$F$75,KOL_Database!$AL$19)),1,0))+IF(Brand_Profile!$F$76="",0,IF(ISNUMBER(SEARCH(Brand_Profile!$F$76,KOL_Database!$AL$19)),1,0))+IF(Brand_Profile!$F$77="",0,IF(ISNUMBER(SEARCH(Brand_Profile!$F$77,KOL_Database!$AL$19)),1,0))+IF(Brand_Profile!$F$78="",0,IF(ISNUMBER(SEARCH(Brand_Profile!$F$78,KOL_Database!$AL$19)),1,0))+IF(Brand_Profile!$F$79="",0,IF(ISNUMBER(SEARCH(Brand_Profile!$F$79,KOL_Database!$AL$19)),1,0)))/Brand_Profile!$F$80*100,0))+IF(Brand_Profile!$F$92=0,Lookup_Lists!$D$150,ROUND((IF(Brand_Profile!$F$87="",0,IF(ISNUMBER(SEARCH(Brand_Profile!$F$87,KOL_Database!$AL$19)),1,0))+IF(Brand_Profile!$F$88="",0,IF(ISNUMBER(SEARCH(Brand_Profile!$F$88,KOL_Database!$AL$19)),1,0))+IF(Brand_Profile!$F$89="",0,IF(ISNUMBER(SEARCH(Brand_Profile!$F$89,KOL_Database!$AL$19)),1,0))+IF(Brand_Profile!$F$90="",0,IF(ISNUMBER(SEARCH(Brand_Profile!$F$90,KOL_Database!$AL$19)),1,0))+IF(Brand_Profile!$F$91="",0,IF(ISNUMBER(SEARCH(Brand_Profile!$F$91,KOL_Database!$AL$19)),1,0)))/Brand_Profile!$F$92*100,0)))/2,0)</f>
      </c>
      <c r="AB80" s="47">
        <f>IFERROR(INDEX(Lookup_Lists!$B$226:$K$233,MATCH(Brand_Profile!$F$30,Lookup_Lists!$A$226:$A$233,0),MATCH(KOL_Database!$AJ$19,Lookup_Lists!$B$225:$K$225,0)),45)</f>
      </c>
      <c r="AC80" s="47">
        <f>ROUND((Matching_Engine!$Y$80*Lookup_Lists!$D$125+Matching_Engine!$Z$80*Lookup_Lists!$D$126+Matching_Engine!$AA$80*Lookup_Lists!$D$127+Matching_Engine!$AB$80*Lookup_Lists!$D$128)/(Lookup_Lists!$D$125+Lookup_Lists!$D$126+Lookup_Lists!$D$127+Lookup_Lists!$D$128),0)</f>
      </c>
      <c r="AD80" s="47">
        <f>IF(KOL_Database!$K$19="",0,MIN(100,ROUND(KOL_Database!$K$19/Lookup_Lists!$D$141*100,0)))</f>
      </c>
      <c r="AE80" s="47">
        <f>IF(KOL_Database!$R$19="",0,MIN(100,MAX(0,KOL_Database!$R$19)))</f>
      </c>
      <c r="AF80" s="47">
        <f>IF(KOL_Database!$P$19="",0,MIN(100,MAX(0,KOL_Database!$P$19)))</f>
      </c>
      <c r="AG80" s="47">
        <f>IF(KOL_Database!$Q$19="",0,MIN(100,MAX(0,KOL_Database!$Q$19)))</f>
      </c>
      <c r="AH80" s="47">
        <f>IF(OR(KOL_Database!$J$19="",KOL_Database!$J$19=0,KOL_Database!$L$19=""),0,MIN(100,ROUND(KOL_Database!$L$19/KOL_Database!$J$19/Lookup_Lists!$D$144*100,0)))</f>
      </c>
      <c r="AI80" s="47">
        <f>IF(KOL_Database!$N$19="",0,MIN(100,MAX(0,ROUND((KOL_Database!$N$19+2)/(Lookup_Lists!$D$145+2)*100,0))))</f>
      </c>
      <c r="AJ80" s="47">
        <f>ROUND((Matching_Engine!$AD$80*Lookup_Lists!$D$129+Matching_Engine!$AE$80*Lookup_Lists!$D$130+Matching_Engine!$AF$80*Lookup_Lists!$D$131+Matching_Engine!$AG$80*Lookup_Lists!$D$132+Matching_Engine!$AH$80*Lookup_Lists!$D$133+Matching_Engine!$AI$80*Lookup_Lists!$D$134)/(Lookup_Lists!$D$129+Lookup_Lists!$D$130+Lookup_Lists!$D$131+Lookup_Lists!$D$132+Lookup_Lists!$D$133+Lookup_Lists!$D$134),0)</f>
      </c>
      <c r="AK80" s="47">
        <f>IF(KOL_Database!$AT$19="",0,MIN(100,MAX(0,KOL_Database!$AT$19)))</f>
      </c>
      <c r="AL80" s="47">
        <f>IF(KOL_Database!$AU$19="",0,KOL_Database!$AU$19)</f>
      </c>
      <c r="AM80" s="44">
        <f>IF(KOL_Database!$AV$19="","None",KOL_Database!$AV$19)</f>
      </c>
      <c r="AN80" s="48">
        <f>IF(Matching_Engine!$AM$80="High",Lookup_Lists!$D$137,IF(Matching_Engine!$AM$80="Medium",Lookup_Lists!$D$138,IF(Matching_Engine!$AM$80="Low",Lookup_Lists!$D$139,Lookup_Lists!$D$140)))</f>
      </c>
      <c r="AO80" s="47">
        <f>ROUND(MIN(100,MAX(0,(Matching_Engine!$AK$80*Lookup_Lists!$D$135+(100-Matching_Engine!$AL$80)*Lookup_Lists!$D$136)/(Lookup_Lists!$D$135+Lookup_Lists!$D$136)*Matching_Engine!$AN$80)),0)</f>
      </c>
      <c r="AP80" s="49">
        <f>ROUND((Matching_Engine!$N$80*Lookup_Lists!$D$104+Matching_Engine!$S$80*Lookup_Lists!$D$105+Matching_Engine!$X$80*Lookup_Lists!$D$106+Matching_Engine!$AC$80*Lookup_Lists!$D$107+Matching_Engine!$AJ$80*Lookup_Lists!$D$108+Matching_Engine!$AO$80*Lookup_Lists!$D$109)/MAX(1,(Lookup_Lists!$D$104+Lookup_Lists!$D$105+Lookup_Lists!$D$106+Lookup_Lists!$D$107+Lookup_Lists!$D$108+Lookup_Lists!$D$109)),0)</f>
      </c>
      <c r="AQ80" s="44">
        <f>IF(Matching_Engine!$AP$80&gt;=Lookup_Lists!$D$152,"Excellent Match",IF(Matching_Engine!$AP$80&gt;=Lookup_Lists!$D$153,"Strong Match",IF(Matching_Engine!$AP$80&gt;=Lookup_Lists!$D$154,"Good Match",IF(Matching_Engine!$AP$80&gt;=Lookup_Lists!$D$155,"Moderate Match","Low Match"))))</f>
      </c>
      <c r="AR80" s="47">
        <f>KOL_Database!$BE$19</f>
      </c>
      <c r="AS80" s="44">
        <f>IF(Matching_Engine!$AR$80&gt;=Lookup_Lists!$D$159,"High",IF(Matching_Engine!$AR$80&gt;=Lookup_Lists!$D$160,"Medium","Limited Data"))</f>
      </c>
      <c r="AT80" s="47">
        <f>ROUND((Matching_Engine!$N$80+Matching_Engine!$X$80+Matching_Engine!$AC$80)/3,0)</f>
      </c>
      <c r="AU80" s="47">
        <f>ROUND(((100-Matching_Engine!$AL$80)*Lookup_Lists!$D$162+IF(KOL_Database!$BD$19="",Lookup_Lists!$D$150,KOL_Database!$BD$19)*Lookup_Lists!$D$163+Matching_Engine!$AI$80*Lookup_Lists!$D$164+Matching_Engine!$AD$80*Lookup_Lists!$D$165)/(Lookup_Lists!$D$162+Lookup_Lists!$D$163+Lookup_Lists!$D$164+Lookup_Lists!$D$165),0)</f>
      </c>
      <c r="AV80" s="44">
        <f>IF(Matching_Engine!$AW$80="","PASS","EXCLUDED")</f>
      </c>
      <c r="AW80" s="44">
        <f>IF(ISERROR(SEARCH(KOL_Database!$D$19,Brand_Profile!$F$32)),"Platform not in Preferred Platform",IF(AND(Brand_Profile!$F$36&gt;0,KOL_Database!$J$19&lt;Brand_Profile!$F$36),"Followers below Preferred Follower Range",IF(AND(Brand_Profile!$F$37&gt;0,KOL_Database!$J$19&gt;Brand_Profile!$F$37),"Followers above Preferred Follower Range",IF(AND(Brand_Profile!$F$38&gt;0,IF(KOL_Database!$K$19="",0,KOL_Database!$K$19)&lt;Brand_Profile!$F$38),"Engagement Rate below Minimum Engagement Rate",IF(ISERROR(SEARCH(KOL_Database!$G$19,Brand_Profile!$F$35)),"Tier not in Preferred Tier",IF(AND(Brand_Profile!$F$43&gt;0,Matching_Engine!$AE$80&lt;Brand_Profile!$F$43),"Audience Quality below Minimum Audience Quality",IF(AND(Brand_Profile!$F$44&gt;0,Matching_Engine!$AK$80&lt;Brand_Profile!$F$44),"Brand Safety below Minimum Brand Safety",IF(AND(Brand_Profile!$F$47="Yes",KOL_Database!$AD$19&lt;&gt;Brand_Profile!$F$19),"Audience Country does not match Target Country",IF(AND(Brand_Profile!$F$46="Yes",KOL_Database!$E$19&lt;&gt;Brand_Profile!$F$33),"Category is not the Preferred Category",IF(AND(Brand_Profile!$F$48&gt;0,Matching_Engine!$AL$80&gt;Brand_Profile!$F$48),"Competitor Saturation above Max Competitor Saturation",IF(AND(Brand_Profile!$F$50="Yes",KOL_Database!$AW$19="Yes"),"Already Selected",IF(AND(Brand_Profile!$F$51="Yes",KOL_Database!$AX$19="Yes"),"Already in Cart",IF(AND(Brand_Profile!$F$52="Yes",KOL_Database!$AY$19="Yes"),"Existing Partner",IF(AND(Brand_Profile!$F$53="Yes",KOL_Database!$AZ$19="Yes"),"Excluded Creator",IF(AND(Brand_Profile!$F$49&gt;0,Matching_Engine!$AP$80&lt;Brand_Profile!$F$49),"Brand Match below Minimum Brand Match","")))))))))))))))</f>
      </c>
      <c r="AX80" s="44">
        <f>IF(Matching_Engine!$AV$80="EXCLUDED","Excluded",IF(Matching_Engine!$AP$80&gt;=Lookup_Lists!$D$156,"Highly Recommended",IF(Matching_Engine!$AP$80&gt;=Lookup_Lists!$D$157,"Recommended",IF(Matching_Engine!$AP$80&gt;=Lookup_Lists!$D$158,"Consider","Low Priority"))))</f>
      </c>
      <c r="AY80" s="47">
        <f>IF(Matching_Engine!$AV$80="PASS",Matching_Engine!$AP$80,"")</f>
      </c>
      <c r="AZ80" s="44">
        <f>Matching_Engine!$A$80&amp;"|"&amp;Matching_Engine!$C$80</f>
      </c>
      <c r="BA80" s="44">
        <f>IFERROR(INDEX(Lookup_Lists!$B$51:$B$92,MATCH(Brand_Profile!$F$12,Lookup_Lists!$A$51:$A$92,0)),"")</f>
      </c>
      <c r="BB80" s="44">
        <f>IFERROR(INDEX(Lookup_Lists!$B$51:$B$92,MATCH(KOL_Database!$F$19,Lookup_Lists!$A$51:$A$92,0)),"")</f>
      </c>
      <c r="BC80" s="47">
        <f>IFERROR(INDEX(Lookup_Lists!$B$185:$O$198,MATCH(Matching_Engine!$BA$80,Lookup_Lists!$A$185:$A$198,0),MATCH(KOL_Database!$E$19,Lookup_Lists!$B$184:$O$184,0)),Lookup_Lists!$D$151)</f>
      </c>
      <c r="BD80" s="47">
        <f>IFERROR(INDEX(Lookup_Lists!$B$185:$O$198,MATCH(Brand_Profile!$F$33,Lookup_Lists!$A$185:$A$198,0),MATCH(KOL_Database!$E$19,Lookup_Lists!$B$184:$O$184,0)),Lookup_Lists!$D$151)</f>
      </c>
      <c r="BE80" s="44">
        <f>IFERROR(INDEX(Lookup_Lists!$B$51:$B$92,MATCH(Brand_Profile!$F$34,Lookup_Lists!$A$51:$A$92,0)),"")</f>
      </c>
      <c r="BF80" s="44">
        <f>KOL_Database!$AI$19&amp;", "&amp;KOL_Database!$AG$19&amp;", "&amp;KOL_Database!$F$19&amp;", "&amp;KOL_Database!$E$19</f>
      </c>
      <c r="BG80" s="44">
        <f>KOL_Database!$AI$19&amp;", "&amp;KOL_Database!$AG$19</f>
      </c>
    </row>
    <row r="81" spans="1:59" x14ac:dyDescent="0.25">
      <c r="A81" s="43" t="s">
        <v>77</v>
      </c>
      <c r="B81" s="44">
        <f>Brand_Profile!$F$9</f>
      </c>
      <c r="C81" s="44">
        <f>KOL_Database!$A$20</f>
      </c>
      <c r="D81" s="44">
        <f>KOL_Database!$B$20</f>
      </c>
      <c r="E81" s="44">
        <f>KOL_Database!$C$20</f>
      </c>
      <c r="F81" s="44">
        <f>KOL_Database!$D$20</f>
      </c>
      <c r="G81" s="44">
        <f>KOL_Database!$E$20</f>
      </c>
      <c r="H81" s="44">
        <f>KOL_Database!$G$20</f>
      </c>
      <c r="I81" s="45">
        <f>KOL_Database!$J$20</f>
      </c>
      <c r="J81" s="46">
        <f>KOL_Database!$K$20</f>
      </c>
      <c r="K81" s="47">
        <f>IFERROR(INDEX(Lookup_Lists!$B$170:$O$181,MATCH(Brand_Profile!$F$10,Lookup_Lists!$A$170:$A$181,0),MATCH(KOL_Database!$E$20,Lookup_Lists!$B$169:$O$169,0)),Lookup_Lists!$D$151)</f>
      </c>
      <c r="L81" s="47">
        <f>IF(KOL_Database!$F$20="",Matching_Engine!$BC$81,IF(Brand_Profile!$F$12=KOL_Database!$F$20,100,IF(Matching_Engine!$BA$81=KOL_Database!$E$20,80,IF(Matching_Engine!$BC$81&gt;=80,60,IF(Matching_Engine!$BC$81&gt;=60,40,Lookup_Lists!$D$151)))))</f>
      </c>
      <c r="M81" s="47">
        <f>ROUND((IF(Brand_Profile!$F$62=0,Lookup_Lists!$D$150,ROUND((IF(Brand_Profile!$F$57="",0,IF(ISNUMBER(SEARCH(Brand_Profile!$F$57,Matching_Engine!$BF$81)),1,0))+IF(Brand_Profile!$F$58="",0,IF(ISNUMBER(SEARCH(Brand_Profile!$F$58,Matching_Engine!$BF$81)),1,0))+IF(Brand_Profile!$F$59="",0,IF(ISNUMBER(SEARCH(Brand_Profile!$F$59,Matching_Engine!$BF$81)),1,0))+IF(Brand_Profile!$F$60="",0,IF(ISNUMBER(SEARCH(Brand_Profile!$F$60,Matching_Engine!$BF$81)),1,0))+IF(Brand_Profile!$F$61="",0,IF(ISNUMBER(SEARCH(Brand_Profile!$F$61,Matching_Engine!$BF$81)),1,0)))/Brand_Profile!$F$62*100,0))+IF(Brand_Profile!$F$74=0,Lookup_Lists!$D$150,ROUND((IF(Brand_Profile!$F$69="",0,IF(ISNUMBER(SEARCH(Brand_Profile!$F$69,Matching_Engine!$BF$81)),1,0))+IF(Brand_Profile!$F$70="",0,IF(ISNUMBER(SEARCH(Brand_Profile!$F$70,Matching_Engine!$BF$81)),1,0))+IF(Brand_Profile!$F$71="",0,IF(ISNUMBER(SEARCH(Brand_Profile!$F$71,Matching_Engine!$BF$81)),1,0))+IF(Brand_Profile!$F$72="",0,IF(ISNUMBER(SEARCH(Brand_Profile!$F$72,Matching_Engine!$BF$81)),1,0))+IF(Brand_Profile!$F$73="",0,IF(ISNUMBER(SEARCH(Brand_Profile!$F$73,Matching_Engine!$BF$81)),1,0)))/Brand_Profile!$F$74*100,0)))/2,0)</f>
      </c>
      <c r="N81" s="47">
        <f>ROUND((Matching_Engine!$K$81*Lookup_Lists!$D$110+Matching_Engine!$L$81*Lookup_Lists!$D$111+Matching_Engine!$M$81*Lookup_Lists!$D$112)/(Lookup_Lists!$D$110+Lookup_Lists!$D$111+Lookup_Lists!$D$112),0)</f>
      </c>
      <c r="O81" s="47">
        <f>IF(Brand_Profile!$F$16="",Lookup_Lists!$D$150,MIN(100,ROUND((IFERROR(INDEX(KOL_Database!$W$20:KOL_Database!$AA$20,1,MATCH(Brand_Profile!$F$16,Lookup_Lists!$F$6:$F$10,0)),0)+0.5*IFERROR(INDEX(KOL_Database!$W$20:KOL_Database!$AA$20,1,MATCH(Brand_Profile!$F$17,Lookup_Lists!$F$6:$F$10,0)),0))/Lookup_Lists!$D$142*100,0)))</f>
      </c>
      <c r="P81" s="47">
        <f>IF(OR(Brand_Profile!$F$18="",Brand_Profile!$F$18="Any"),100,IF(Brand_Profile!$F$18="Female",MIN(100,ROUND(KOL_Database!$AB$20/Lookup_Lists!$D$143*100,0)),IF(Brand_Profile!$F$18="Male",MIN(100,ROUND(KOL_Database!$AC$20/Lookup_Lists!$D$143*100,0)),MAX(0,ROUND(100-ABS(KOL_Database!$AB$20-50)*2,0)))))</f>
      </c>
      <c r="Q81" s="47">
        <f>ROUND((IF(Brand_Profile!$F$19="",100,IF(KOL_Database!$AD$20=Brand_Profile!$F$19,100,Lookup_Lists!$D$151))*Lookup_Lists!$D$118+IF(OR(Brand_Profile!$F$20="",Brand_Profile!$F$20="Nasional"),100,IF(KOL_Database!$AE$20="",Lookup_Lists!$D$150,IF(KOL_Database!$AE$20=Brand_Profile!$F$20,100,IF(KOL_Database!$AD$20=Brand_Profile!$F$19,40,Lookup_Lists!$D$151))))*Lookup_Lists!$D$119+IF(OR(Brand_Profile!$F$21="",Brand_Profile!$F$21="Nasional"),100,IF(KOL_Database!$AF$20="",Lookup_Lists!$D$150,IF(KOL_Database!$AF$20=Brand_Profile!$F$21,100,IF(KOL_Database!$AE$20=Brand_Profile!$F$20,60,Lookup_Lists!$D$151))))*Lookup_Lists!$D$120)/(Lookup_Lists!$D$118+Lookup_Lists!$D$119+Lookup_Lists!$D$120),0)</f>
      </c>
      <c r="R81" s="47">
        <f>IF(Brand_Profile!$F$68=0,Lookup_Lists!$D$150,ROUND((IF(Brand_Profile!$F$63="",0,IF(ISNUMBER(SEARCH(Brand_Profile!$F$63,KOL_Database!$AG$20)),1,0))+IF(Brand_Profile!$F$64="",0,IF(ISNUMBER(SEARCH(Brand_Profile!$F$64,KOL_Database!$AG$20)),1,0))+IF(Brand_Profile!$F$65="",0,IF(ISNUMBER(SEARCH(Brand_Profile!$F$65,KOL_Database!$AG$20)),1,0))+IF(Brand_Profile!$F$66="",0,IF(ISNUMBER(SEARCH(Brand_Profile!$F$66,KOL_Database!$AG$20)),1,0))+IF(Brand_Profile!$F$67="",0,IF(ISNUMBER(SEARCH(Brand_Profile!$F$67,KOL_Database!$AG$20)),1,0)))/Brand_Profile!$F$68*100,0))</f>
      </c>
      <c r="S81" s="47">
        <f>ROUND((Matching_Engine!$O$81*Brand_Profile!$F$96+Matching_Engine!$P$81*Brand_Profile!$F$97+Matching_Engine!$Q$81*Brand_Profile!$F$98+Matching_Engine!$R$81*Brand_Profile!$F$99)/MAX(1,Brand_Profile!$F$96+Brand_Profile!$F$97+Brand_Profile!$F$98+Brand_Profile!$F$99),0)</f>
      </c>
      <c r="T81" s="47">
        <f>IF(Brand_Profile!$F$33="",Lookup_Lists!$D$150,Matching_Engine!$BD$81)</f>
      </c>
      <c r="U81" s="47">
        <f>IF(Brand_Profile!$F$34="",Lookup_Lists!$D$150,IF(Brand_Profile!$F$34=KOL_Database!$F$20,100,IF(Matching_Engine!$BE$81=KOL_Database!$E$20,75,IF(Matching_Engine!$BD$81&gt;=80,Lookup_Lists!$D$150,IF(Matching_Engine!$BD$81&gt;=60,35,Lookup_Lists!$D$151)))))</f>
      </c>
      <c r="V81" s="47">
        <f>IF(Brand_Profile!$F$86=0,Lookup_Lists!$D$150,ROUND((IF(Brand_Profile!$F$81="",0,IF(ISNUMBER(SEARCH(Brand_Profile!$F$81,Matching_Engine!$BG$81)),1,0))+IF(Brand_Profile!$F$82="",0,IF(ISNUMBER(SEARCH(Brand_Profile!$F$82,Matching_Engine!$BG$81)),1,0))+IF(Brand_Profile!$F$83="",0,IF(ISNUMBER(SEARCH(Brand_Profile!$F$83,Matching_Engine!$BG$81)),1,0))+IF(Brand_Profile!$F$84="",0,IF(ISNUMBER(SEARCH(Brand_Profile!$F$84,Matching_Engine!$BG$81)),1,0))+IF(Brand_Profile!$F$85="",0,IF(ISNUMBER(SEARCH(Brand_Profile!$F$85,Matching_Engine!$BG$81)),1,0)))/Brand_Profile!$F$86*100,0))</f>
      </c>
      <c r="W81" s="47">
        <f>IF(Brand_Profile!$F$39="",Lookup_Lists!$D$150,IFERROR(INDEX(Lookup_Lists!$B$237:$K$246,MATCH(Brand_Profile!$F$39,Lookup_Lists!$A$237:$A$246,0),MATCH(KOL_Database!$AJ$20,Lookup_Lists!$B$236:$K$236,0)),45))</f>
      </c>
      <c r="X81" s="47">
        <f>ROUND((Matching_Engine!$T$81*Lookup_Lists!$D$121+Matching_Engine!$U$81*Lookup_Lists!$D$122+Matching_Engine!$V$81*Lookup_Lists!$D$123+Matching_Engine!$W$81*Lookup_Lists!$D$124)/(Lookup_Lists!$D$121+Lookup_Lists!$D$122+Lookup_Lists!$D$123+Lookup_Lists!$D$124),0)</f>
      </c>
      <c r="Y81" s="47">
        <f>MIN(100,MAX(IFERROR(INDEX(Lookup_Lists!$B$202:$M$211,MATCH(Brand_Profile!$F$25,Lookup_Lists!$A$202:$A$211,0),MATCH(KOL_Database!$AK$20,Lookup_Lists!$B$201:$M$201,0)),40),IF(KOL_Database!$AK$20=Brand_Profile!$F$41,95,0)))</f>
      </c>
      <c r="Z81" s="47">
        <f>IFERROR(INDEX(Lookup_Lists!$B$215:$K$222,MATCH(Brand_Profile!$F$27,Lookup_Lists!$A$215:$A$222,0),MATCH(KOL_Database!$AJ$20,Lookup_Lists!$B$214:$K$214,0)),45)</f>
      </c>
      <c r="AA81" s="47">
        <f>ROUND((IF(Brand_Profile!$F$80=0,Lookup_Lists!$D$150,ROUND((IF(Brand_Profile!$F$75="",0,IF(ISNUMBER(SEARCH(Brand_Profile!$F$75,KOL_Database!$AL$20)),1,0))+IF(Brand_Profile!$F$76="",0,IF(ISNUMBER(SEARCH(Brand_Profile!$F$76,KOL_Database!$AL$20)),1,0))+IF(Brand_Profile!$F$77="",0,IF(ISNUMBER(SEARCH(Brand_Profile!$F$77,KOL_Database!$AL$20)),1,0))+IF(Brand_Profile!$F$78="",0,IF(ISNUMBER(SEARCH(Brand_Profile!$F$78,KOL_Database!$AL$20)),1,0))+IF(Brand_Profile!$F$79="",0,IF(ISNUMBER(SEARCH(Brand_Profile!$F$79,KOL_Database!$AL$20)),1,0)))/Brand_Profile!$F$80*100,0))+IF(Brand_Profile!$F$92=0,Lookup_Lists!$D$150,ROUND((IF(Brand_Profile!$F$87="",0,IF(ISNUMBER(SEARCH(Brand_Profile!$F$87,KOL_Database!$AL$20)),1,0))+IF(Brand_Profile!$F$88="",0,IF(ISNUMBER(SEARCH(Brand_Profile!$F$88,KOL_Database!$AL$20)),1,0))+IF(Brand_Profile!$F$89="",0,IF(ISNUMBER(SEARCH(Brand_Profile!$F$89,KOL_Database!$AL$20)),1,0))+IF(Brand_Profile!$F$90="",0,IF(ISNUMBER(SEARCH(Brand_Profile!$F$90,KOL_Database!$AL$20)),1,0))+IF(Brand_Profile!$F$91="",0,IF(ISNUMBER(SEARCH(Brand_Profile!$F$91,KOL_Database!$AL$20)),1,0)))/Brand_Profile!$F$92*100,0)))/2,0)</f>
      </c>
      <c r="AB81" s="47">
        <f>IFERROR(INDEX(Lookup_Lists!$B$226:$K$233,MATCH(Brand_Profile!$F$30,Lookup_Lists!$A$226:$A$233,0),MATCH(KOL_Database!$AJ$20,Lookup_Lists!$B$225:$K$225,0)),45)</f>
      </c>
      <c r="AC81" s="47">
        <f>ROUND((Matching_Engine!$Y$81*Lookup_Lists!$D$125+Matching_Engine!$Z$81*Lookup_Lists!$D$126+Matching_Engine!$AA$81*Lookup_Lists!$D$127+Matching_Engine!$AB$81*Lookup_Lists!$D$128)/(Lookup_Lists!$D$125+Lookup_Lists!$D$126+Lookup_Lists!$D$127+Lookup_Lists!$D$128),0)</f>
      </c>
      <c r="AD81" s="47">
        <f>IF(KOL_Database!$K$20="",0,MIN(100,ROUND(KOL_Database!$K$20/Lookup_Lists!$D$141*100,0)))</f>
      </c>
      <c r="AE81" s="47">
        <f>IF(KOL_Database!$R$20="",0,MIN(100,MAX(0,KOL_Database!$R$20)))</f>
      </c>
      <c r="AF81" s="47">
        <f>IF(KOL_Database!$P$20="",0,MIN(100,MAX(0,KOL_Database!$P$20)))</f>
      </c>
      <c r="AG81" s="47">
        <f>IF(KOL_Database!$Q$20="",0,MIN(100,MAX(0,KOL_Database!$Q$20)))</f>
      </c>
      <c r="AH81" s="47">
        <f>IF(OR(KOL_Database!$J$20="",KOL_Database!$J$20=0,KOL_Database!$L$20=""),0,MIN(100,ROUND(KOL_Database!$L$20/KOL_Database!$J$20/Lookup_Lists!$D$144*100,0)))</f>
      </c>
      <c r="AI81" s="47">
        <f>IF(KOL_Database!$N$20="",0,MIN(100,MAX(0,ROUND((KOL_Database!$N$20+2)/(Lookup_Lists!$D$145+2)*100,0))))</f>
      </c>
      <c r="AJ81" s="47">
        <f>ROUND((Matching_Engine!$AD$81*Lookup_Lists!$D$129+Matching_Engine!$AE$81*Lookup_Lists!$D$130+Matching_Engine!$AF$81*Lookup_Lists!$D$131+Matching_Engine!$AG$81*Lookup_Lists!$D$132+Matching_Engine!$AH$81*Lookup_Lists!$D$133+Matching_Engine!$AI$81*Lookup_Lists!$D$134)/(Lookup_Lists!$D$129+Lookup_Lists!$D$130+Lookup_Lists!$D$131+Lookup_Lists!$D$132+Lookup_Lists!$D$133+Lookup_Lists!$D$134),0)</f>
      </c>
      <c r="AK81" s="47">
        <f>IF(KOL_Database!$AT$20="",0,MIN(100,MAX(0,KOL_Database!$AT$20)))</f>
      </c>
      <c r="AL81" s="47">
        <f>IF(KOL_Database!$AU$20="",0,KOL_Database!$AU$20)</f>
      </c>
      <c r="AM81" s="44">
        <f>IF(KOL_Database!$AV$20="","None",KOL_Database!$AV$20)</f>
      </c>
      <c r="AN81" s="48">
        <f>IF(Matching_Engine!$AM$81="High",Lookup_Lists!$D$137,IF(Matching_Engine!$AM$81="Medium",Lookup_Lists!$D$138,IF(Matching_Engine!$AM$81="Low",Lookup_Lists!$D$139,Lookup_Lists!$D$140)))</f>
      </c>
      <c r="AO81" s="47">
        <f>ROUND(MIN(100,MAX(0,(Matching_Engine!$AK$81*Lookup_Lists!$D$135+(100-Matching_Engine!$AL$81)*Lookup_Lists!$D$136)/(Lookup_Lists!$D$135+Lookup_Lists!$D$136)*Matching_Engine!$AN$81)),0)</f>
      </c>
      <c r="AP81" s="49">
        <f>ROUND((Matching_Engine!$N$81*Lookup_Lists!$D$104+Matching_Engine!$S$81*Lookup_Lists!$D$105+Matching_Engine!$X$81*Lookup_Lists!$D$106+Matching_Engine!$AC$81*Lookup_Lists!$D$107+Matching_Engine!$AJ$81*Lookup_Lists!$D$108+Matching_Engine!$AO$81*Lookup_Lists!$D$109)/MAX(1,(Lookup_Lists!$D$104+Lookup_Lists!$D$105+Lookup_Lists!$D$106+Lookup_Lists!$D$107+Lookup_Lists!$D$108+Lookup_Lists!$D$109)),0)</f>
      </c>
      <c r="AQ81" s="44">
        <f>IF(Matching_Engine!$AP$81&gt;=Lookup_Lists!$D$152,"Excellent Match",IF(Matching_Engine!$AP$81&gt;=Lookup_Lists!$D$153,"Strong Match",IF(Matching_Engine!$AP$81&gt;=Lookup_Lists!$D$154,"Good Match",IF(Matching_Engine!$AP$81&gt;=Lookup_Lists!$D$155,"Moderate Match","Low Match"))))</f>
      </c>
      <c r="AR81" s="47">
        <f>KOL_Database!$BE$20</f>
      </c>
      <c r="AS81" s="44">
        <f>IF(Matching_Engine!$AR$81&gt;=Lookup_Lists!$D$159,"High",IF(Matching_Engine!$AR$81&gt;=Lookup_Lists!$D$160,"Medium","Limited Data"))</f>
      </c>
      <c r="AT81" s="47">
        <f>ROUND((Matching_Engine!$N$81+Matching_Engine!$X$81+Matching_Engine!$AC$81)/3,0)</f>
      </c>
      <c r="AU81" s="47">
        <f>ROUND(((100-Matching_Engine!$AL$81)*Lookup_Lists!$D$162+IF(KOL_Database!$BD$20="",Lookup_Lists!$D$150,KOL_Database!$BD$20)*Lookup_Lists!$D$163+Matching_Engine!$AI$81*Lookup_Lists!$D$164+Matching_Engine!$AD$81*Lookup_Lists!$D$165)/(Lookup_Lists!$D$162+Lookup_Lists!$D$163+Lookup_Lists!$D$164+Lookup_Lists!$D$165),0)</f>
      </c>
      <c r="AV81" s="44">
        <f>IF(Matching_Engine!$AW$81="","PASS","EXCLUDED")</f>
      </c>
      <c r="AW81" s="44">
        <f>IF(ISERROR(SEARCH(KOL_Database!$D$20,Brand_Profile!$F$32)),"Platform not in Preferred Platform",IF(AND(Brand_Profile!$F$36&gt;0,KOL_Database!$J$20&lt;Brand_Profile!$F$36),"Followers below Preferred Follower Range",IF(AND(Brand_Profile!$F$37&gt;0,KOL_Database!$J$20&gt;Brand_Profile!$F$37),"Followers above Preferred Follower Range",IF(AND(Brand_Profile!$F$38&gt;0,IF(KOL_Database!$K$20="",0,KOL_Database!$K$20)&lt;Brand_Profile!$F$38),"Engagement Rate below Minimum Engagement Rate",IF(ISERROR(SEARCH(KOL_Database!$G$20,Brand_Profile!$F$35)),"Tier not in Preferred Tier",IF(AND(Brand_Profile!$F$43&gt;0,Matching_Engine!$AE$81&lt;Brand_Profile!$F$43),"Audience Quality below Minimum Audience Quality",IF(AND(Brand_Profile!$F$44&gt;0,Matching_Engine!$AK$81&lt;Brand_Profile!$F$44),"Brand Safety below Minimum Brand Safety",IF(AND(Brand_Profile!$F$47="Yes",KOL_Database!$AD$20&lt;&gt;Brand_Profile!$F$19),"Audience Country does not match Target Country",IF(AND(Brand_Profile!$F$46="Yes",KOL_Database!$E$20&lt;&gt;Brand_Profile!$F$33),"Category is not the Preferred Category",IF(AND(Brand_Profile!$F$48&gt;0,Matching_Engine!$AL$81&gt;Brand_Profile!$F$48),"Competitor Saturation above Max Competitor Saturation",IF(AND(Brand_Profile!$F$50="Yes",KOL_Database!$AW$20="Yes"),"Already Selected",IF(AND(Brand_Profile!$F$51="Yes",KOL_Database!$AX$20="Yes"),"Already in Cart",IF(AND(Brand_Profile!$F$52="Yes",KOL_Database!$AY$20="Yes"),"Existing Partner",IF(AND(Brand_Profile!$F$53="Yes",KOL_Database!$AZ$20="Yes"),"Excluded Creator",IF(AND(Brand_Profile!$F$49&gt;0,Matching_Engine!$AP$81&lt;Brand_Profile!$F$49),"Brand Match below Minimum Brand Match","")))))))))))))))</f>
      </c>
      <c r="AX81" s="44">
        <f>IF(Matching_Engine!$AV$81="EXCLUDED","Excluded",IF(Matching_Engine!$AP$81&gt;=Lookup_Lists!$D$156,"Highly Recommended",IF(Matching_Engine!$AP$81&gt;=Lookup_Lists!$D$157,"Recommended",IF(Matching_Engine!$AP$81&gt;=Lookup_Lists!$D$158,"Consider","Low Priority"))))</f>
      </c>
      <c r="AY81" s="47">
        <f>IF(Matching_Engine!$AV$81="PASS",Matching_Engine!$AP$81,"")</f>
      </c>
      <c r="AZ81" s="44">
        <f>Matching_Engine!$A$81&amp;"|"&amp;Matching_Engine!$C$81</f>
      </c>
      <c r="BA81" s="44">
        <f>IFERROR(INDEX(Lookup_Lists!$B$51:$B$92,MATCH(Brand_Profile!$F$12,Lookup_Lists!$A$51:$A$92,0)),"")</f>
      </c>
      <c r="BB81" s="44">
        <f>IFERROR(INDEX(Lookup_Lists!$B$51:$B$92,MATCH(KOL_Database!$F$20,Lookup_Lists!$A$51:$A$92,0)),"")</f>
      </c>
      <c r="BC81" s="47">
        <f>IFERROR(INDEX(Lookup_Lists!$B$185:$O$198,MATCH(Matching_Engine!$BA$81,Lookup_Lists!$A$185:$A$198,0),MATCH(KOL_Database!$E$20,Lookup_Lists!$B$184:$O$184,0)),Lookup_Lists!$D$151)</f>
      </c>
      <c r="BD81" s="47">
        <f>IFERROR(INDEX(Lookup_Lists!$B$185:$O$198,MATCH(Brand_Profile!$F$33,Lookup_Lists!$A$185:$A$198,0),MATCH(KOL_Database!$E$20,Lookup_Lists!$B$184:$O$184,0)),Lookup_Lists!$D$151)</f>
      </c>
      <c r="BE81" s="44">
        <f>IFERROR(INDEX(Lookup_Lists!$B$51:$B$92,MATCH(Brand_Profile!$F$34,Lookup_Lists!$A$51:$A$92,0)),"")</f>
      </c>
      <c r="BF81" s="44">
        <f>KOL_Database!$AI$20&amp;", "&amp;KOL_Database!$AG$20&amp;", "&amp;KOL_Database!$F$20&amp;", "&amp;KOL_Database!$E$20</f>
      </c>
      <c r="BG81" s="44">
        <f>KOL_Database!$AI$20&amp;", "&amp;KOL_Database!$AG$20</f>
      </c>
    </row>
    <row r="82" spans="1:59" x14ac:dyDescent="0.25">
      <c r="A82" s="43" t="s">
        <v>77</v>
      </c>
      <c r="B82" s="44">
        <f>Brand_Profile!$F$9</f>
      </c>
      <c r="C82" s="44">
        <f>KOL_Database!$A$21</f>
      </c>
      <c r="D82" s="44">
        <f>KOL_Database!$B$21</f>
      </c>
      <c r="E82" s="44">
        <f>KOL_Database!$C$21</f>
      </c>
      <c r="F82" s="44">
        <f>KOL_Database!$D$21</f>
      </c>
      <c r="G82" s="44">
        <f>KOL_Database!$E$21</f>
      </c>
      <c r="H82" s="44">
        <f>KOL_Database!$G$21</f>
      </c>
      <c r="I82" s="45">
        <f>KOL_Database!$J$21</f>
      </c>
      <c r="J82" s="46">
        <f>KOL_Database!$K$21</f>
      </c>
      <c r="K82" s="47">
        <f>IFERROR(INDEX(Lookup_Lists!$B$170:$O$181,MATCH(Brand_Profile!$F$10,Lookup_Lists!$A$170:$A$181,0),MATCH(KOL_Database!$E$21,Lookup_Lists!$B$169:$O$169,0)),Lookup_Lists!$D$151)</f>
      </c>
      <c r="L82" s="47">
        <f>IF(KOL_Database!$F$21="",Matching_Engine!$BC$82,IF(Brand_Profile!$F$12=KOL_Database!$F$21,100,IF(Matching_Engine!$BA$82=KOL_Database!$E$21,80,IF(Matching_Engine!$BC$82&gt;=80,60,IF(Matching_Engine!$BC$82&gt;=60,40,Lookup_Lists!$D$151)))))</f>
      </c>
      <c r="M82" s="47">
        <f>ROUND((IF(Brand_Profile!$F$62=0,Lookup_Lists!$D$150,ROUND((IF(Brand_Profile!$F$57="",0,IF(ISNUMBER(SEARCH(Brand_Profile!$F$57,Matching_Engine!$BF$82)),1,0))+IF(Brand_Profile!$F$58="",0,IF(ISNUMBER(SEARCH(Brand_Profile!$F$58,Matching_Engine!$BF$82)),1,0))+IF(Brand_Profile!$F$59="",0,IF(ISNUMBER(SEARCH(Brand_Profile!$F$59,Matching_Engine!$BF$82)),1,0))+IF(Brand_Profile!$F$60="",0,IF(ISNUMBER(SEARCH(Brand_Profile!$F$60,Matching_Engine!$BF$82)),1,0))+IF(Brand_Profile!$F$61="",0,IF(ISNUMBER(SEARCH(Brand_Profile!$F$61,Matching_Engine!$BF$82)),1,0)))/Brand_Profile!$F$62*100,0))+IF(Brand_Profile!$F$74=0,Lookup_Lists!$D$150,ROUND((IF(Brand_Profile!$F$69="",0,IF(ISNUMBER(SEARCH(Brand_Profile!$F$69,Matching_Engine!$BF$82)),1,0))+IF(Brand_Profile!$F$70="",0,IF(ISNUMBER(SEARCH(Brand_Profile!$F$70,Matching_Engine!$BF$82)),1,0))+IF(Brand_Profile!$F$71="",0,IF(ISNUMBER(SEARCH(Brand_Profile!$F$71,Matching_Engine!$BF$82)),1,0))+IF(Brand_Profile!$F$72="",0,IF(ISNUMBER(SEARCH(Brand_Profile!$F$72,Matching_Engine!$BF$82)),1,0))+IF(Brand_Profile!$F$73="",0,IF(ISNUMBER(SEARCH(Brand_Profile!$F$73,Matching_Engine!$BF$82)),1,0)))/Brand_Profile!$F$74*100,0)))/2,0)</f>
      </c>
      <c r="N82" s="47">
        <f>ROUND((Matching_Engine!$K$82*Lookup_Lists!$D$110+Matching_Engine!$L$82*Lookup_Lists!$D$111+Matching_Engine!$M$82*Lookup_Lists!$D$112)/(Lookup_Lists!$D$110+Lookup_Lists!$D$111+Lookup_Lists!$D$112),0)</f>
      </c>
      <c r="O82" s="47">
        <f>IF(Brand_Profile!$F$16="",Lookup_Lists!$D$150,MIN(100,ROUND((IFERROR(INDEX(KOL_Database!$W$21:KOL_Database!$AA$21,1,MATCH(Brand_Profile!$F$16,Lookup_Lists!$F$6:$F$10,0)),0)+0.5*IFERROR(INDEX(KOL_Database!$W$21:KOL_Database!$AA$21,1,MATCH(Brand_Profile!$F$17,Lookup_Lists!$F$6:$F$10,0)),0))/Lookup_Lists!$D$142*100,0)))</f>
      </c>
      <c r="P82" s="47">
        <f>IF(OR(Brand_Profile!$F$18="",Brand_Profile!$F$18="Any"),100,IF(Brand_Profile!$F$18="Female",MIN(100,ROUND(KOL_Database!$AB$21/Lookup_Lists!$D$143*100,0)),IF(Brand_Profile!$F$18="Male",MIN(100,ROUND(KOL_Database!$AC$21/Lookup_Lists!$D$143*100,0)),MAX(0,ROUND(100-ABS(KOL_Database!$AB$21-50)*2,0)))))</f>
      </c>
      <c r="Q82" s="47">
        <f>ROUND((IF(Brand_Profile!$F$19="",100,IF(KOL_Database!$AD$21=Brand_Profile!$F$19,100,Lookup_Lists!$D$151))*Lookup_Lists!$D$118+IF(OR(Brand_Profile!$F$20="",Brand_Profile!$F$20="Nasional"),100,IF(KOL_Database!$AE$21="",Lookup_Lists!$D$150,IF(KOL_Database!$AE$21=Brand_Profile!$F$20,100,IF(KOL_Database!$AD$21=Brand_Profile!$F$19,40,Lookup_Lists!$D$151))))*Lookup_Lists!$D$119+IF(OR(Brand_Profile!$F$21="",Brand_Profile!$F$21="Nasional"),100,IF(KOL_Database!$AF$21="",Lookup_Lists!$D$150,IF(KOL_Database!$AF$21=Brand_Profile!$F$21,100,IF(KOL_Database!$AE$21=Brand_Profile!$F$20,60,Lookup_Lists!$D$151))))*Lookup_Lists!$D$120)/(Lookup_Lists!$D$118+Lookup_Lists!$D$119+Lookup_Lists!$D$120),0)</f>
      </c>
      <c r="R82" s="47">
        <f>IF(Brand_Profile!$F$68=0,Lookup_Lists!$D$150,ROUND((IF(Brand_Profile!$F$63="",0,IF(ISNUMBER(SEARCH(Brand_Profile!$F$63,KOL_Database!$AG$21)),1,0))+IF(Brand_Profile!$F$64="",0,IF(ISNUMBER(SEARCH(Brand_Profile!$F$64,KOL_Database!$AG$21)),1,0))+IF(Brand_Profile!$F$65="",0,IF(ISNUMBER(SEARCH(Brand_Profile!$F$65,KOL_Database!$AG$21)),1,0))+IF(Brand_Profile!$F$66="",0,IF(ISNUMBER(SEARCH(Brand_Profile!$F$66,KOL_Database!$AG$21)),1,0))+IF(Brand_Profile!$F$67="",0,IF(ISNUMBER(SEARCH(Brand_Profile!$F$67,KOL_Database!$AG$21)),1,0)))/Brand_Profile!$F$68*100,0))</f>
      </c>
      <c r="S82" s="47">
        <f>ROUND((Matching_Engine!$O$82*Brand_Profile!$F$96+Matching_Engine!$P$82*Brand_Profile!$F$97+Matching_Engine!$Q$82*Brand_Profile!$F$98+Matching_Engine!$R$82*Brand_Profile!$F$99)/MAX(1,Brand_Profile!$F$96+Brand_Profile!$F$97+Brand_Profile!$F$98+Brand_Profile!$F$99),0)</f>
      </c>
      <c r="T82" s="47">
        <f>IF(Brand_Profile!$F$33="",Lookup_Lists!$D$150,Matching_Engine!$BD$82)</f>
      </c>
      <c r="U82" s="47">
        <f>IF(Brand_Profile!$F$34="",Lookup_Lists!$D$150,IF(Brand_Profile!$F$34=KOL_Database!$F$21,100,IF(Matching_Engine!$BE$82=KOL_Database!$E$21,75,IF(Matching_Engine!$BD$82&gt;=80,Lookup_Lists!$D$150,IF(Matching_Engine!$BD$82&gt;=60,35,Lookup_Lists!$D$151)))))</f>
      </c>
      <c r="V82" s="47">
        <f>IF(Brand_Profile!$F$86=0,Lookup_Lists!$D$150,ROUND((IF(Brand_Profile!$F$81="",0,IF(ISNUMBER(SEARCH(Brand_Profile!$F$81,Matching_Engine!$BG$82)),1,0))+IF(Brand_Profile!$F$82="",0,IF(ISNUMBER(SEARCH(Brand_Profile!$F$82,Matching_Engine!$BG$82)),1,0))+IF(Brand_Profile!$F$83="",0,IF(ISNUMBER(SEARCH(Brand_Profile!$F$83,Matching_Engine!$BG$82)),1,0))+IF(Brand_Profile!$F$84="",0,IF(ISNUMBER(SEARCH(Brand_Profile!$F$84,Matching_Engine!$BG$82)),1,0))+IF(Brand_Profile!$F$85="",0,IF(ISNUMBER(SEARCH(Brand_Profile!$F$85,Matching_Engine!$BG$82)),1,0)))/Brand_Profile!$F$86*100,0))</f>
      </c>
      <c r="W82" s="47">
        <f>IF(Brand_Profile!$F$39="",Lookup_Lists!$D$150,IFERROR(INDEX(Lookup_Lists!$B$237:$K$246,MATCH(Brand_Profile!$F$39,Lookup_Lists!$A$237:$A$246,0),MATCH(KOL_Database!$AJ$21,Lookup_Lists!$B$236:$K$236,0)),45))</f>
      </c>
      <c r="X82" s="47">
        <f>ROUND((Matching_Engine!$T$82*Lookup_Lists!$D$121+Matching_Engine!$U$82*Lookup_Lists!$D$122+Matching_Engine!$V$82*Lookup_Lists!$D$123+Matching_Engine!$W$82*Lookup_Lists!$D$124)/(Lookup_Lists!$D$121+Lookup_Lists!$D$122+Lookup_Lists!$D$123+Lookup_Lists!$D$124),0)</f>
      </c>
      <c r="Y82" s="47">
        <f>MIN(100,MAX(IFERROR(INDEX(Lookup_Lists!$B$202:$M$211,MATCH(Brand_Profile!$F$25,Lookup_Lists!$A$202:$A$211,0),MATCH(KOL_Database!$AK$21,Lookup_Lists!$B$201:$M$201,0)),40),IF(KOL_Database!$AK$21=Brand_Profile!$F$41,95,0)))</f>
      </c>
      <c r="Z82" s="47">
        <f>IFERROR(INDEX(Lookup_Lists!$B$215:$K$222,MATCH(Brand_Profile!$F$27,Lookup_Lists!$A$215:$A$222,0),MATCH(KOL_Database!$AJ$21,Lookup_Lists!$B$214:$K$214,0)),45)</f>
      </c>
      <c r="AA82" s="47">
        <f>ROUND((IF(Brand_Profile!$F$80=0,Lookup_Lists!$D$150,ROUND((IF(Brand_Profile!$F$75="",0,IF(ISNUMBER(SEARCH(Brand_Profile!$F$75,KOL_Database!$AL$21)),1,0))+IF(Brand_Profile!$F$76="",0,IF(ISNUMBER(SEARCH(Brand_Profile!$F$76,KOL_Database!$AL$21)),1,0))+IF(Brand_Profile!$F$77="",0,IF(ISNUMBER(SEARCH(Brand_Profile!$F$77,KOL_Database!$AL$21)),1,0))+IF(Brand_Profile!$F$78="",0,IF(ISNUMBER(SEARCH(Brand_Profile!$F$78,KOL_Database!$AL$21)),1,0))+IF(Brand_Profile!$F$79="",0,IF(ISNUMBER(SEARCH(Brand_Profile!$F$79,KOL_Database!$AL$21)),1,0)))/Brand_Profile!$F$80*100,0))+IF(Brand_Profile!$F$92=0,Lookup_Lists!$D$150,ROUND((IF(Brand_Profile!$F$87="",0,IF(ISNUMBER(SEARCH(Brand_Profile!$F$87,KOL_Database!$AL$21)),1,0))+IF(Brand_Profile!$F$88="",0,IF(ISNUMBER(SEARCH(Brand_Profile!$F$88,KOL_Database!$AL$21)),1,0))+IF(Brand_Profile!$F$89="",0,IF(ISNUMBER(SEARCH(Brand_Profile!$F$89,KOL_Database!$AL$21)),1,0))+IF(Brand_Profile!$F$90="",0,IF(ISNUMBER(SEARCH(Brand_Profile!$F$90,KOL_Database!$AL$21)),1,0))+IF(Brand_Profile!$F$91="",0,IF(ISNUMBER(SEARCH(Brand_Profile!$F$91,KOL_Database!$AL$21)),1,0)))/Brand_Profile!$F$92*100,0)))/2,0)</f>
      </c>
      <c r="AB82" s="47">
        <f>IFERROR(INDEX(Lookup_Lists!$B$226:$K$233,MATCH(Brand_Profile!$F$30,Lookup_Lists!$A$226:$A$233,0),MATCH(KOL_Database!$AJ$21,Lookup_Lists!$B$225:$K$225,0)),45)</f>
      </c>
      <c r="AC82" s="47">
        <f>ROUND((Matching_Engine!$Y$82*Lookup_Lists!$D$125+Matching_Engine!$Z$82*Lookup_Lists!$D$126+Matching_Engine!$AA$82*Lookup_Lists!$D$127+Matching_Engine!$AB$82*Lookup_Lists!$D$128)/(Lookup_Lists!$D$125+Lookup_Lists!$D$126+Lookup_Lists!$D$127+Lookup_Lists!$D$128),0)</f>
      </c>
      <c r="AD82" s="47">
        <f>IF(KOL_Database!$K$21="",0,MIN(100,ROUND(KOL_Database!$K$21/Lookup_Lists!$D$141*100,0)))</f>
      </c>
      <c r="AE82" s="47">
        <f>IF(KOL_Database!$R$21="",0,MIN(100,MAX(0,KOL_Database!$R$21)))</f>
      </c>
      <c r="AF82" s="47">
        <f>IF(KOL_Database!$P$21="",0,MIN(100,MAX(0,KOL_Database!$P$21)))</f>
      </c>
      <c r="AG82" s="47">
        <f>IF(KOL_Database!$Q$21="",0,MIN(100,MAX(0,KOL_Database!$Q$21)))</f>
      </c>
      <c r="AH82" s="47">
        <f>IF(OR(KOL_Database!$J$21="",KOL_Database!$J$21=0,KOL_Database!$L$21=""),0,MIN(100,ROUND(KOL_Database!$L$21/KOL_Database!$J$21/Lookup_Lists!$D$144*100,0)))</f>
      </c>
      <c r="AI82" s="47">
        <f>IF(KOL_Database!$N$21="",0,MIN(100,MAX(0,ROUND((KOL_Database!$N$21+2)/(Lookup_Lists!$D$145+2)*100,0))))</f>
      </c>
      <c r="AJ82" s="47">
        <f>ROUND((Matching_Engine!$AD$82*Lookup_Lists!$D$129+Matching_Engine!$AE$82*Lookup_Lists!$D$130+Matching_Engine!$AF$82*Lookup_Lists!$D$131+Matching_Engine!$AG$82*Lookup_Lists!$D$132+Matching_Engine!$AH$82*Lookup_Lists!$D$133+Matching_Engine!$AI$82*Lookup_Lists!$D$134)/(Lookup_Lists!$D$129+Lookup_Lists!$D$130+Lookup_Lists!$D$131+Lookup_Lists!$D$132+Lookup_Lists!$D$133+Lookup_Lists!$D$134),0)</f>
      </c>
      <c r="AK82" s="47">
        <f>IF(KOL_Database!$AT$21="",0,MIN(100,MAX(0,KOL_Database!$AT$21)))</f>
      </c>
      <c r="AL82" s="47">
        <f>IF(KOL_Database!$AU$21="",0,KOL_Database!$AU$21)</f>
      </c>
      <c r="AM82" s="44">
        <f>IF(KOL_Database!$AV$21="","None",KOL_Database!$AV$21)</f>
      </c>
      <c r="AN82" s="48">
        <f>IF(Matching_Engine!$AM$82="High",Lookup_Lists!$D$137,IF(Matching_Engine!$AM$82="Medium",Lookup_Lists!$D$138,IF(Matching_Engine!$AM$82="Low",Lookup_Lists!$D$139,Lookup_Lists!$D$140)))</f>
      </c>
      <c r="AO82" s="47">
        <f>ROUND(MIN(100,MAX(0,(Matching_Engine!$AK$82*Lookup_Lists!$D$135+(100-Matching_Engine!$AL$82)*Lookup_Lists!$D$136)/(Lookup_Lists!$D$135+Lookup_Lists!$D$136)*Matching_Engine!$AN$82)),0)</f>
      </c>
      <c r="AP82" s="49">
        <f>ROUND((Matching_Engine!$N$82*Lookup_Lists!$D$104+Matching_Engine!$S$82*Lookup_Lists!$D$105+Matching_Engine!$X$82*Lookup_Lists!$D$106+Matching_Engine!$AC$82*Lookup_Lists!$D$107+Matching_Engine!$AJ$82*Lookup_Lists!$D$108+Matching_Engine!$AO$82*Lookup_Lists!$D$109)/MAX(1,(Lookup_Lists!$D$104+Lookup_Lists!$D$105+Lookup_Lists!$D$106+Lookup_Lists!$D$107+Lookup_Lists!$D$108+Lookup_Lists!$D$109)),0)</f>
      </c>
      <c r="AQ82" s="44">
        <f>IF(Matching_Engine!$AP$82&gt;=Lookup_Lists!$D$152,"Excellent Match",IF(Matching_Engine!$AP$82&gt;=Lookup_Lists!$D$153,"Strong Match",IF(Matching_Engine!$AP$82&gt;=Lookup_Lists!$D$154,"Good Match",IF(Matching_Engine!$AP$82&gt;=Lookup_Lists!$D$155,"Moderate Match","Low Match"))))</f>
      </c>
      <c r="AR82" s="47">
        <f>KOL_Database!$BE$21</f>
      </c>
      <c r="AS82" s="44">
        <f>IF(Matching_Engine!$AR$82&gt;=Lookup_Lists!$D$159,"High",IF(Matching_Engine!$AR$82&gt;=Lookup_Lists!$D$160,"Medium","Limited Data"))</f>
      </c>
      <c r="AT82" s="47">
        <f>ROUND((Matching_Engine!$N$82+Matching_Engine!$X$82+Matching_Engine!$AC$82)/3,0)</f>
      </c>
      <c r="AU82" s="47">
        <f>ROUND(((100-Matching_Engine!$AL$82)*Lookup_Lists!$D$162+IF(KOL_Database!$BD$21="",Lookup_Lists!$D$150,KOL_Database!$BD$21)*Lookup_Lists!$D$163+Matching_Engine!$AI$82*Lookup_Lists!$D$164+Matching_Engine!$AD$82*Lookup_Lists!$D$165)/(Lookup_Lists!$D$162+Lookup_Lists!$D$163+Lookup_Lists!$D$164+Lookup_Lists!$D$165),0)</f>
      </c>
      <c r="AV82" s="44">
        <f>IF(Matching_Engine!$AW$82="","PASS","EXCLUDED")</f>
      </c>
      <c r="AW82" s="44">
        <f>IF(ISERROR(SEARCH(KOL_Database!$D$21,Brand_Profile!$F$32)),"Platform not in Preferred Platform",IF(AND(Brand_Profile!$F$36&gt;0,KOL_Database!$J$21&lt;Brand_Profile!$F$36),"Followers below Preferred Follower Range",IF(AND(Brand_Profile!$F$37&gt;0,KOL_Database!$J$21&gt;Brand_Profile!$F$37),"Followers above Preferred Follower Range",IF(AND(Brand_Profile!$F$38&gt;0,IF(KOL_Database!$K$21="",0,KOL_Database!$K$21)&lt;Brand_Profile!$F$38),"Engagement Rate below Minimum Engagement Rate",IF(ISERROR(SEARCH(KOL_Database!$G$21,Brand_Profile!$F$35)),"Tier not in Preferred Tier",IF(AND(Brand_Profile!$F$43&gt;0,Matching_Engine!$AE$82&lt;Brand_Profile!$F$43),"Audience Quality below Minimum Audience Quality",IF(AND(Brand_Profile!$F$44&gt;0,Matching_Engine!$AK$82&lt;Brand_Profile!$F$44),"Brand Safety below Minimum Brand Safety",IF(AND(Brand_Profile!$F$47="Yes",KOL_Database!$AD$21&lt;&gt;Brand_Profile!$F$19),"Audience Country does not match Target Country",IF(AND(Brand_Profile!$F$46="Yes",KOL_Database!$E$21&lt;&gt;Brand_Profile!$F$33),"Category is not the Preferred Category",IF(AND(Brand_Profile!$F$48&gt;0,Matching_Engine!$AL$82&gt;Brand_Profile!$F$48),"Competitor Saturation above Max Competitor Saturation",IF(AND(Brand_Profile!$F$50="Yes",KOL_Database!$AW$21="Yes"),"Already Selected",IF(AND(Brand_Profile!$F$51="Yes",KOL_Database!$AX$21="Yes"),"Already in Cart",IF(AND(Brand_Profile!$F$52="Yes",KOL_Database!$AY$21="Yes"),"Existing Partner",IF(AND(Brand_Profile!$F$53="Yes",KOL_Database!$AZ$21="Yes"),"Excluded Creator",IF(AND(Brand_Profile!$F$49&gt;0,Matching_Engine!$AP$82&lt;Brand_Profile!$F$49),"Brand Match below Minimum Brand Match","")))))))))))))))</f>
      </c>
      <c r="AX82" s="44">
        <f>IF(Matching_Engine!$AV$82="EXCLUDED","Excluded",IF(Matching_Engine!$AP$82&gt;=Lookup_Lists!$D$156,"Highly Recommended",IF(Matching_Engine!$AP$82&gt;=Lookup_Lists!$D$157,"Recommended",IF(Matching_Engine!$AP$82&gt;=Lookup_Lists!$D$158,"Consider","Low Priority"))))</f>
      </c>
      <c r="AY82" s="47">
        <f>IF(Matching_Engine!$AV$82="PASS",Matching_Engine!$AP$82,"")</f>
      </c>
      <c r="AZ82" s="44">
        <f>Matching_Engine!$A$82&amp;"|"&amp;Matching_Engine!$C$82</f>
      </c>
      <c r="BA82" s="44">
        <f>IFERROR(INDEX(Lookup_Lists!$B$51:$B$92,MATCH(Brand_Profile!$F$12,Lookup_Lists!$A$51:$A$92,0)),"")</f>
      </c>
      <c r="BB82" s="44">
        <f>IFERROR(INDEX(Lookup_Lists!$B$51:$B$92,MATCH(KOL_Database!$F$21,Lookup_Lists!$A$51:$A$92,0)),"")</f>
      </c>
      <c r="BC82" s="47">
        <f>IFERROR(INDEX(Lookup_Lists!$B$185:$O$198,MATCH(Matching_Engine!$BA$82,Lookup_Lists!$A$185:$A$198,0),MATCH(KOL_Database!$E$21,Lookup_Lists!$B$184:$O$184,0)),Lookup_Lists!$D$151)</f>
      </c>
      <c r="BD82" s="47">
        <f>IFERROR(INDEX(Lookup_Lists!$B$185:$O$198,MATCH(Brand_Profile!$F$33,Lookup_Lists!$A$185:$A$198,0),MATCH(KOL_Database!$E$21,Lookup_Lists!$B$184:$O$184,0)),Lookup_Lists!$D$151)</f>
      </c>
      <c r="BE82" s="44">
        <f>IFERROR(INDEX(Lookup_Lists!$B$51:$B$92,MATCH(Brand_Profile!$F$34,Lookup_Lists!$A$51:$A$92,0)),"")</f>
      </c>
      <c r="BF82" s="44">
        <f>KOL_Database!$AI$21&amp;", "&amp;KOL_Database!$AG$21&amp;", "&amp;KOL_Database!$F$21&amp;", "&amp;KOL_Database!$E$21</f>
      </c>
      <c r="BG82" s="44">
        <f>KOL_Database!$AI$21&amp;", "&amp;KOL_Database!$AG$21</f>
      </c>
    </row>
    <row r="83" spans="1:59" x14ac:dyDescent="0.25">
      <c r="A83" s="43" t="s">
        <v>77</v>
      </c>
      <c r="B83" s="44">
        <f>Brand_Profile!$F$9</f>
      </c>
      <c r="C83" s="44">
        <f>KOL_Database!$A$22</f>
      </c>
      <c r="D83" s="44">
        <f>KOL_Database!$B$22</f>
      </c>
      <c r="E83" s="44">
        <f>KOL_Database!$C$22</f>
      </c>
      <c r="F83" s="44">
        <f>KOL_Database!$D$22</f>
      </c>
      <c r="G83" s="44">
        <f>KOL_Database!$E$22</f>
      </c>
      <c r="H83" s="44">
        <f>KOL_Database!$G$22</f>
      </c>
      <c r="I83" s="45">
        <f>KOL_Database!$J$22</f>
      </c>
      <c r="J83" s="46">
        <f>KOL_Database!$K$22</f>
      </c>
      <c r="K83" s="47">
        <f>IFERROR(INDEX(Lookup_Lists!$B$170:$O$181,MATCH(Brand_Profile!$F$10,Lookup_Lists!$A$170:$A$181,0),MATCH(KOL_Database!$E$22,Lookup_Lists!$B$169:$O$169,0)),Lookup_Lists!$D$151)</f>
      </c>
      <c r="L83" s="47">
        <f>IF(KOL_Database!$F$22="",Matching_Engine!$BC$83,IF(Brand_Profile!$F$12=KOL_Database!$F$22,100,IF(Matching_Engine!$BA$83=KOL_Database!$E$22,80,IF(Matching_Engine!$BC$83&gt;=80,60,IF(Matching_Engine!$BC$83&gt;=60,40,Lookup_Lists!$D$151)))))</f>
      </c>
      <c r="M83" s="47">
        <f>ROUND((IF(Brand_Profile!$F$62=0,Lookup_Lists!$D$150,ROUND((IF(Brand_Profile!$F$57="",0,IF(ISNUMBER(SEARCH(Brand_Profile!$F$57,Matching_Engine!$BF$83)),1,0))+IF(Brand_Profile!$F$58="",0,IF(ISNUMBER(SEARCH(Brand_Profile!$F$58,Matching_Engine!$BF$83)),1,0))+IF(Brand_Profile!$F$59="",0,IF(ISNUMBER(SEARCH(Brand_Profile!$F$59,Matching_Engine!$BF$83)),1,0))+IF(Brand_Profile!$F$60="",0,IF(ISNUMBER(SEARCH(Brand_Profile!$F$60,Matching_Engine!$BF$83)),1,0))+IF(Brand_Profile!$F$61="",0,IF(ISNUMBER(SEARCH(Brand_Profile!$F$61,Matching_Engine!$BF$83)),1,0)))/Brand_Profile!$F$62*100,0))+IF(Brand_Profile!$F$74=0,Lookup_Lists!$D$150,ROUND((IF(Brand_Profile!$F$69="",0,IF(ISNUMBER(SEARCH(Brand_Profile!$F$69,Matching_Engine!$BF$83)),1,0))+IF(Brand_Profile!$F$70="",0,IF(ISNUMBER(SEARCH(Brand_Profile!$F$70,Matching_Engine!$BF$83)),1,0))+IF(Brand_Profile!$F$71="",0,IF(ISNUMBER(SEARCH(Brand_Profile!$F$71,Matching_Engine!$BF$83)),1,0))+IF(Brand_Profile!$F$72="",0,IF(ISNUMBER(SEARCH(Brand_Profile!$F$72,Matching_Engine!$BF$83)),1,0))+IF(Brand_Profile!$F$73="",0,IF(ISNUMBER(SEARCH(Brand_Profile!$F$73,Matching_Engine!$BF$83)),1,0)))/Brand_Profile!$F$74*100,0)))/2,0)</f>
      </c>
      <c r="N83" s="47">
        <f>ROUND((Matching_Engine!$K$83*Lookup_Lists!$D$110+Matching_Engine!$L$83*Lookup_Lists!$D$111+Matching_Engine!$M$83*Lookup_Lists!$D$112)/(Lookup_Lists!$D$110+Lookup_Lists!$D$111+Lookup_Lists!$D$112),0)</f>
      </c>
      <c r="O83" s="47">
        <f>IF(Brand_Profile!$F$16="",Lookup_Lists!$D$150,MIN(100,ROUND((IFERROR(INDEX(KOL_Database!$W$22:KOL_Database!$AA$22,1,MATCH(Brand_Profile!$F$16,Lookup_Lists!$F$6:$F$10,0)),0)+0.5*IFERROR(INDEX(KOL_Database!$W$22:KOL_Database!$AA$22,1,MATCH(Brand_Profile!$F$17,Lookup_Lists!$F$6:$F$10,0)),0))/Lookup_Lists!$D$142*100,0)))</f>
      </c>
      <c r="P83" s="47">
        <f>IF(OR(Brand_Profile!$F$18="",Brand_Profile!$F$18="Any"),100,IF(Brand_Profile!$F$18="Female",MIN(100,ROUND(KOL_Database!$AB$22/Lookup_Lists!$D$143*100,0)),IF(Brand_Profile!$F$18="Male",MIN(100,ROUND(KOL_Database!$AC$22/Lookup_Lists!$D$143*100,0)),MAX(0,ROUND(100-ABS(KOL_Database!$AB$22-50)*2,0)))))</f>
      </c>
      <c r="Q83" s="47">
        <f>ROUND((IF(Brand_Profile!$F$19="",100,IF(KOL_Database!$AD$22=Brand_Profile!$F$19,100,Lookup_Lists!$D$151))*Lookup_Lists!$D$118+IF(OR(Brand_Profile!$F$20="",Brand_Profile!$F$20="Nasional"),100,IF(KOL_Database!$AE$22="",Lookup_Lists!$D$150,IF(KOL_Database!$AE$22=Brand_Profile!$F$20,100,IF(KOL_Database!$AD$22=Brand_Profile!$F$19,40,Lookup_Lists!$D$151))))*Lookup_Lists!$D$119+IF(OR(Brand_Profile!$F$21="",Brand_Profile!$F$21="Nasional"),100,IF(KOL_Database!$AF$22="",Lookup_Lists!$D$150,IF(KOL_Database!$AF$22=Brand_Profile!$F$21,100,IF(KOL_Database!$AE$22=Brand_Profile!$F$20,60,Lookup_Lists!$D$151))))*Lookup_Lists!$D$120)/(Lookup_Lists!$D$118+Lookup_Lists!$D$119+Lookup_Lists!$D$120),0)</f>
      </c>
      <c r="R83" s="47">
        <f>IF(Brand_Profile!$F$68=0,Lookup_Lists!$D$150,ROUND((IF(Brand_Profile!$F$63="",0,IF(ISNUMBER(SEARCH(Brand_Profile!$F$63,KOL_Database!$AG$22)),1,0))+IF(Brand_Profile!$F$64="",0,IF(ISNUMBER(SEARCH(Brand_Profile!$F$64,KOL_Database!$AG$22)),1,0))+IF(Brand_Profile!$F$65="",0,IF(ISNUMBER(SEARCH(Brand_Profile!$F$65,KOL_Database!$AG$22)),1,0))+IF(Brand_Profile!$F$66="",0,IF(ISNUMBER(SEARCH(Brand_Profile!$F$66,KOL_Database!$AG$22)),1,0))+IF(Brand_Profile!$F$67="",0,IF(ISNUMBER(SEARCH(Brand_Profile!$F$67,KOL_Database!$AG$22)),1,0)))/Brand_Profile!$F$68*100,0))</f>
      </c>
      <c r="S83" s="47">
        <f>ROUND((Matching_Engine!$O$83*Brand_Profile!$F$96+Matching_Engine!$P$83*Brand_Profile!$F$97+Matching_Engine!$Q$83*Brand_Profile!$F$98+Matching_Engine!$R$83*Brand_Profile!$F$99)/MAX(1,Brand_Profile!$F$96+Brand_Profile!$F$97+Brand_Profile!$F$98+Brand_Profile!$F$99),0)</f>
      </c>
      <c r="T83" s="47">
        <f>IF(Brand_Profile!$F$33="",Lookup_Lists!$D$150,Matching_Engine!$BD$83)</f>
      </c>
      <c r="U83" s="47">
        <f>IF(Brand_Profile!$F$34="",Lookup_Lists!$D$150,IF(Brand_Profile!$F$34=KOL_Database!$F$22,100,IF(Matching_Engine!$BE$83=KOL_Database!$E$22,75,IF(Matching_Engine!$BD$83&gt;=80,Lookup_Lists!$D$150,IF(Matching_Engine!$BD$83&gt;=60,35,Lookup_Lists!$D$151)))))</f>
      </c>
      <c r="V83" s="47">
        <f>IF(Brand_Profile!$F$86=0,Lookup_Lists!$D$150,ROUND((IF(Brand_Profile!$F$81="",0,IF(ISNUMBER(SEARCH(Brand_Profile!$F$81,Matching_Engine!$BG$83)),1,0))+IF(Brand_Profile!$F$82="",0,IF(ISNUMBER(SEARCH(Brand_Profile!$F$82,Matching_Engine!$BG$83)),1,0))+IF(Brand_Profile!$F$83="",0,IF(ISNUMBER(SEARCH(Brand_Profile!$F$83,Matching_Engine!$BG$83)),1,0))+IF(Brand_Profile!$F$84="",0,IF(ISNUMBER(SEARCH(Brand_Profile!$F$84,Matching_Engine!$BG$83)),1,0))+IF(Brand_Profile!$F$85="",0,IF(ISNUMBER(SEARCH(Brand_Profile!$F$85,Matching_Engine!$BG$83)),1,0)))/Brand_Profile!$F$86*100,0))</f>
      </c>
      <c r="W83" s="47">
        <f>IF(Brand_Profile!$F$39="",Lookup_Lists!$D$150,IFERROR(INDEX(Lookup_Lists!$B$237:$K$246,MATCH(Brand_Profile!$F$39,Lookup_Lists!$A$237:$A$246,0),MATCH(KOL_Database!$AJ$22,Lookup_Lists!$B$236:$K$236,0)),45))</f>
      </c>
      <c r="X83" s="47">
        <f>ROUND((Matching_Engine!$T$83*Lookup_Lists!$D$121+Matching_Engine!$U$83*Lookup_Lists!$D$122+Matching_Engine!$V$83*Lookup_Lists!$D$123+Matching_Engine!$W$83*Lookup_Lists!$D$124)/(Lookup_Lists!$D$121+Lookup_Lists!$D$122+Lookup_Lists!$D$123+Lookup_Lists!$D$124),0)</f>
      </c>
      <c r="Y83" s="47">
        <f>MIN(100,MAX(IFERROR(INDEX(Lookup_Lists!$B$202:$M$211,MATCH(Brand_Profile!$F$25,Lookup_Lists!$A$202:$A$211,0),MATCH(KOL_Database!$AK$22,Lookup_Lists!$B$201:$M$201,0)),40),IF(KOL_Database!$AK$22=Brand_Profile!$F$41,95,0)))</f>
      </c>
      <c r="Z83" s="47">
        <f>IFERROR(INDEX(Lookup_Lists!$B$215:$K$222,MATCH(Brand_Profile!$F$27,Lookup_Lists!$A$215:$A$222,0),MATCH(KOL_Database!$AJ$22,Lookup_Lists!$B$214:$K$214,0)),45)</f>
      </c>
      <c r="AA83" s="47">
        <f>ROUND((IF(Brand_Profile!$F$80=0,Lookup_Lists!$D$150,ROUND((IF(Brand_Profile!$F$75="",0,IF(ISNUMBER(SEARCH(Brand_Profile!$F$75,KOL_Database!$AL$22)),1,0))+IF(Brand_Profile!$F$76="",0,IF(ISNUMBER(SEARCH(Brand_Profile!$F$76,KOL_Database!$AL$22)),1,0))+IF(Brand_Profile!$F$77="",0,IF(ISNUMBER(SEARCH(Brand_Profile!$F$77,KOL_Database!$AL$22)),1,0))+IF(Brand_Profile!$F$78="",0,IF(ISNUMBER(SEARCH(Brand_Profile!$F$78,KOL_Database!$AL$22)),1,0))+IF(Brand_Profile!$F$79="",0,IF(ISNUMBER(SEARCH(Brand_Profile!$F$79,KOL_Database!$AL$22)),1,0)))/Brand_Profile!$F$80*100,0))+IF(Brand_Profile!$F$92=0,Lookup_Lists!$D$150,ROUND((IF(Brand_Profile!$F$87="",0,IF(ISNUMBER(SEARCH(Brand_Profile!$F$87,KOL_Database!$AL$22)),1,0))+IF(Brand_Profile!$F$88="",0,IF(ISNUMBER(SEARCH(Brand_Profile!$F$88,KOL_Database!$AL$22)),1,0))+IF(Brand_Profile!$F$89="",0,IF(ISNUMBER(SEARCH(Brand_Profile!$F$89,KOL_Database!$AL$22)),1,0))+IF(Brand_Profile!$F$90="",0,IF(ISNUMBER(SEARCH(Brand_Profile!$F$90,KOL_Database!$AL$22)),1,0))+IF(Brand_Profile!$F$91="",0,IF(ISNUMBER(SEARCH(Brand_Profile!$F$91,KOL_Database!$AL$22)),1,0)))/Brand_Profile!$F$92*100,0)))/2,0)</f>
      </c>
      <c r="AB83" s="47">
        <f>IFERROR(INDEX(Lookup_Lists!$B$226:$K$233,MATCH(Brand_Profile!$F$30,Lookup_Lists!$A$226:$A$233,0),MATCH(KOL_Database!$AJ$22,Lookup_Lists!$B$225:$K$225,0)),45)</f>
      </c>
      <c r="AC83" s="47">
        <f>ROUND((Matching_Engine!$Y$83*Lookup_Lists!$D$125+Matching_Engine!$Z$83*Lookup_Lists!$D$126+Matching_Engine!$AA$83*Lookup_Lists!$D$127+Matching_Engine!$AB$83*Lookup_Lists!$D$128)/(Lookup_Lists!$D$125+Lookup_Lists!$D$126+Lookup_Lists!$D$127+Lookup_Lists!$D$128),0)</f>
      </c>
      <c r="AD83" s="47">
        <f>IF(KOL_Database!$K$22="",0,MIN(100,ROUND(KOL_Database!$K$22/Lookup_Lists!$D$141*100,0)))</f>
      </c>
      <c r="AE83" s="47">
        <f>IF(KOL_Database!$R$22="",0,MIN(100,MAX(0,KOL_Database!$R$22)))</f>
      </c>
      <c r="AF83" s="47">
        <f>IF(KOL_Database!$P$22="",0,MIN(100,MAX(0,KOL_Database!$P$22)))</f>
      </c>
      <c r="AG83" s="47">
        <f>IF(KOL_Database!$Q$22="",0,MIN(100,MAX(0,KOL_Database!$Q$22)))</f>
      </c>
      <c r="AH83" s="47">
        <f>IF(OR(KOL_Database!$J$22="",KOL_Database!$J$22=0,KOL_Database!$L$22=""),0,MIN(100,ROUND(KOL_Database!$L$22/KOL_Database!$J$22/Lookup_Lists!$D$144*100,0)))</f>
      </c>
      <c r="AI83" s="47">
        <f>IF(KOL_Database!$N$22="",0,MIN(100,MAX(0,ROUND((KOL_Database!$N$22+2)/(Lookup_Lists!$D$145+2)*100,0))))</f>
      </c>
      <c r="AJ83" s="47">
        <f>ROUND((Matching_Engine!$AD$83*Lookup_Lists!$D$129+Matching_Engine!$AE$83*Lookup_Lists!$D$130+Matching_Engine!$AF$83*Lookup_Lists!$D$131+Matching_Engine!$AG$83*Lookup_Lists!$D$132+Matching_Engine!$AH$83*Lookup_Lists!$D$133+Matching_Engine!$AI$83*Lookup_Lists!$D$134)/(Lookup_Lists!$D$129+Lookup_Lists!$D$130+Lookup_Lists!$D$131+Lookup_Lists!$D$132+Lookup_Lists!$D$133+Lookup_Lists!$D$134),0)</f>
      </c>
      <c r="AK83" s="47">
        <f>IF(KOL_Database!$AT$22="",0,MIN(100,MAX(0,KOL_Database!$AT$22)))</f>
      </c>
      <c r="AL83" s="47">
        <f>IF(KOL_Database!$AU$22="",0,KOL_Database!$AU$22)</f>
      </c>
      <c r="AM83" s="44">
        <f>IF(KOL_Database!$AV$22="","None",KOL_Database!$AV$22)</f>
      </c>
      <c r="AN83" s="48">
        <f>IF(Matching_Engine!$AM$83="High",Lookup_Lists!$D$137,IF(Matching_Engine!$AM$83="Medium",Lookup_Lists!$D$138,IF(Matching_Engine!$AM$83="Low",Lookup_Lists!$D$139,Lookup_Lists!$D$140)))</f>
      </c>
      <c r="AO83" s="47">
        <f>ROUND(MIN(100,MAX(0,(Matching_Engine!$AK$83*Lookup_Lists!$D$135+(100-Matching_Engine!$AL$83)*Lookup_Lists!$D$136)/(Lookup_Lists!$D$135+Lookup_Lists!$D$136)*Matching_Engine!$AN$83)),0)</f>
      </c>
      <c r="AP83" s="49">
        <f>ROUND((Matching_Engine!$N$83*Lookup_Lists!$D$104+Matching_Engine!$S$83*Lookup_Lists!$D$105+Matching_Engine!$X$83*Lookup_Lists!$D$106+Matching_Engine!$AC$83*Lookup_Lists!$D$107+Matching_Engine!$AJ$83*Lookup_Lists!$D$108+Matching_Engine!$AO$83*Lookup_Lists!$D$109)/MAX(1,(Lookup_Lists!$D$104+Lookup_Lists!$D$105+Lookup_Lists!$D$106+Lookup_Lists!$D$107+Lookup_Lists!$D$108+Lookup_Lists!$D$109)),0)</f>
      </c>
      <c r="AQ83" s="44">
        <f>IF(Matching_Engine!$AP$83&gt;=Lookup_Lists!$D$152,"Excellent Match",IF(Matching_Engine!$AP$83&gt;=Lookup_Lists!$D$153,"Strong Match",IF(Matching_Engine!$AP$83&gt;=Lookup_Lists!$D$154,"Good Match",IF(Matching_Engine!$AP$83&gt;=Lookup_Lists!$D$155,"Moderate Match","Low Match"))))</f>
      </c>
      <c r="AR83" s="47">
        <f>KOL_Database!$BE$22</f>
      </c>
      <c r="AS83" s="44">
        <f>IF(Matching_Engine!$AR$83&gt;=Lookup_Lists!$D$159,"High",IF(Matching_Engine!$AR$83&gt;=Lookup_Lists!$D$160,"Medium","Limited Data"))</f>
      </c>
      <c r="AT83" s="47">
        <f>ROUND((Matching_Engine!$N$83+Matching_Engine!$X$83+Matching_Engine!$AC$83)/3,0)</f>
      </c>
      <c r="AU83" s="47">
        <f>ROUND(((100-Matching_Engine!$AL$83)*Lookup_Lists!$D$162+IF(KOL_Database!$BD$22="",Lookup_Lists!$D$150,KOL_Database!$BD$22)*Lookup_Lists!$D$163+Matching_Engine!$AI$83*Lookup_Lists!$D$164+Matching_Engine!$AD$83*Lookup_Lists!$D$165)/(Lookup_Lists!$D$162+Lookup_Lists!$D$163+Lookup_Lists!$D$164+Lookup_Lists!$D$165),0)</f>
      </c>
      <c r="AV83" s="44">
        <f>IF(Matching_Engine!$AW$83="","PASS","EXCLUDED")</f>
      </c>
      <c r="AW83" s="44">
        <f>IF(ISERROR(SEARCH(KOL_Database!$D$22,Brand_Profile!$F$32)),"Platform not in Preferred Platform",IF(AND(Brand_Profile!$F$36&gt;0,KOL_Database!$J$22&lt;Brand_Profile!$F$36),"Followers below Preferred Follower Range",IF(AND(Brand_Profile!$F$37&gt;0,KOL_Database!$J$22&gt;Brand_Profile!$F$37),"Followers above Preferred Follower Range",IF(AND(Brand_Profile!$F$38&gt;0,IF(KOL_Database!$K$22="",0,KOL_Database!$K$22)&lt;Brand_Profile!$F$38),"Engagement Rate below Minimum Engagement Rate",IF(ISERROR(SEARCH(KOL_Database!$G$22,Brand_Profile!$F$35)),"Tier not in Preferred Tier",IF(AND(Brand_Profile!$F$43&gt;0,Matching_Engine!$AE$83&lt;Brand_Profile!$F$43),"Audience Quality below Minimum Audience Quality",IF(AND(Brand_Profile!$F$44&gt;0,Matching_Engine!$AK$83&lt;Brand_Profile!$F$44),"Brand Safety below Minimum Brand Safety",IF(AND(Brand_Profile!$F$47="Yes",KOL_Database!$AD$22&lt;&gt;Brand_Profile!$F$19),"Audience Country does not match Target Country",IF(AND(Brand_Profile!$F$46="Yes",KOL_Database!$E$22&lt;&gt;Brand_Profile!$F$33),"Category is not the Preferred Category",IF(AND(Brand_Profile!$F$48&gt;0,Matching_Engine!$AL$83&gt;Brand_Profile!$F$48),"Competitor Saturation above Max Competitor Saturation",IF(AND(Brand_Profile!$F$50="Yes",KOL_Database!$AW$22="Yes"),"Already Selected",IF(AND(Brand_Profile!$F$51="Yes",KOL_Database!$AX$22="Yes"),"Already in Cart",IF(AND(Brand_Profile!$F$52="Yes",KOL_Database!$AY$22="Yes"),"Existing Partner",IF(AND(Brand_Profile!$F$53="Yes",KOL_Database!$AZ$22="Yes"),"Excluded Creator",IF(AND(Brand_Profile!$F$49&gt;0,Matching_Engine!$AP$83&lt;Brand_Profile!$F$49),"Brand Match below Minimum Brand Match","")))))))))))))))</f>
      </c>
      <c r="AX83" s="44">
        <f>IF(Matching_Engine!$AV$83="EXCLUDED","Excluded",IF(Matching_Engine!$AP$83&gt;=Lookup_Lists!$D$156,"Highly Recommended",IF(Matching_Engine!$AP$83&gt;=Lookup_Lists!$D$157,"Recommended",IF(Matching_Engine!$AP$83&gt;=Lookup_Lists!$D$158,"Consider","Low Priority"))))</f>
      </c>
      <c r="AY83" s="47">
        <f>IF(Matching_Engine!$AV$83="PASS",Matching_Engine!$AP$83,"")</f>
      </c>
      <c r="AZ83" s="44">
        <f>Matching_Engine!$A$83&amp;"|"&amp;Matching_Engine!$C$83</f>
      </c>
      <c r="BA83" s="44">
        <f>IFERROR(INDEX(Lookup_Lists!$B$51:$B$92,MATCH(Brand_Profile!$F$12,Lookup_Lists!$A$51:$A$92,0)),"")</f>
      </c>
      <c r="BB83" s="44">
        <f>IFERROR(INDEX(Lookup_Lists!$B$51:$B$92,MATCH(KOL_Database!$F$22,Lookup_Lists!$A$51:$A$92,0)),"")</f>
      </c>
      <c r="BC83" s="47">
        <f>IFERROR(INDEX(Lookup_Lists!$B$185:$O$198,MATCH(Matching_Engine!$BA$83,Lookup_Lists!$A$185:$A$198,0),MATCH(KOL_Database!$E$22,Lookup_Lists!$B$184:$O$184,0)),Lookup_Lists!$D$151)</f>
      </c>
      <c r="BD83" s="47">
        <f>IFERROR(INDEX(Lookup_Lists!$B$185:$O$198,MATCH(Brand_Profile!$F$33,Lookup_Lists!$A$185:$A$198,0),MATCH(KOL_Database!$E$22,Lookup_Lists!$B$184:$O$184,0)),Lookup_Lists!$D$151)</f>
      </c>
      <c r="BE83" s="44">
        <f>IFERROR(INDEX(Lookup_Lists!$B$51:$B$92,MATCH(Brand_Profile!$F$34,Lookup_Lists!$A$51:$A$92,0)),"")</f>
      </c>
      <c r="BF83" s="44">
        <f>KOL_Database!$AI$22&amp;", "&amp;KOL_Database!$AG$22&amp;", "&amp;KOL_Database!$F$22&amp;", "&amp;KOL_Database!$E$22</f>
      </c>
      <c r="BG83" s="44">
        <f>KOL_Database!$AI$22&amp;", "&amp;KOL_Database!$AG$22</f>
      </c>
    </row>
    <row r="84" spans="1:59" x14ac:dyDescent="0.25">
      <c r="A84" s="43" t="s">
        <v>77</v>
      </c>
      <c r="B84" s="44">
        <f>Brand_Profile!$F$9</f>
      </c>
      <c r="C84" s="44">
        <f>KOL_Database!$A$23</f>
      </c>
      <c r="D84" s="44">
        <f>KOL_Database!$B$23</f>
      </c>
      <c r="E84" s="44">
        <f>KOL_Database!$C$23</f>
      </c>
      <c r="F84" s="44">
        <f>KOL_Database!$D$23</f>
      </c>
      <c r="G84" s="44">
        <f>KOL_Database!$E$23</f>
      </c>
      <c r="H84" s="44">
        <f>KOL_Database!$G$23</f>
      </c>
      <c r="I84" s="45">
        <f>KOL_Database!$J$23</f>
      </c>
      <c r="J84" s="46">
        <f>KOL_Database!$K$23</f>
      </c>
      <c r="K84" s="47">
        <f>IFERROR(INDEX(Lookup_Lists!$B$170:$O$181,MATCH(Brand_Profile!$F$10,Lookup_Lists!$A$170:$A$181,0),MATCH(KOL_Database!$E$23,Lookup_Lists!$B$169:$O$169,0)),Lookup_Lists!$D$151)</f>
      </c>
      <c r="L84" s="47">
        <f>IF(KOL_Database!$F$23="",Matching_Engine!$BC$84,IF(Brand_Profile!$F$12=KOL_Database!$F$23,100,IF(Matching_Engine!$BA$84=KOL_Database!$E$23,80,IF(Matching_Engine!$BC$84&gt;=80,60,IF(Matching_Engine!$BC$84&gt;=60,40,Lookup_Lists!$D$151)))))</f>
      </c>
      <c r="M84" s="47">
        <f>ROUND((IF(Brand_Profile!$F$62=0,Lookup_Lists!$D$150,ROUND((IF(Brand_Profile!$F$57="",0,IF(ISNUMBER(SEARCH(Brand_Profile!$F$57,Matching_Engine!$BF$84)),1,0))+IF(Brand_Profile!$F$58="",0,IF(ISNUMBER(SEARCH(Brand_Profile!$F$58,Matching_Engine!$BF$84)),1,0))+IF(Brand_Profile!$F$59="",0,IF(ISNUMBER(SEARCH(Brand_Profile!$F$59,Matching_Engine!$BF$84)),1,0))+IF(Brand_Profile!$F$60="",0,IF(ISNUMBER(SEARCH(Brand_Profile!$F$60,Matching_Engine!$BF$84)),1,0))+IF(Brand_Profile!$F$61="",0,IF(ISNUMBER(SEARCH(Brand_Profile!$F$61,Matching_Engine!$BF$84)),1,0)))/Brand_Profile!$F$62*100,0))+IF(Brand_Profile!$F$74=0,Lookup_Lists!$D$150,ROUND((IF(Brand_Profile!$F$69="",0,IF(ISNUMBER(SEARCH(Brand_Profile!$F$69,Matching_Engine!$BF$84)),1,0))+IF(Brand_Profile!$F$70="",0,IF(ISNUMBER(SEARCH(Brand_Profile!$F$70,Matching_Engine!$BF$84)),1,0))+IF(Brand_Profile!$F$71="",0,IF(ISNUMBER(SEARCH(Brand_Profile!$F$71,Matching_Engine!$BF$84)),1,0))+IF(Brand_Profile!$F$72="",0,IF(ISNUMBER(SEARCH(Brand_Profile!$F$72,Matching_Engine!$BF$84)),1,0))+IF(Brand_Profile!$F$73="",0,IF(ISNUMBER(SEARCH(Brand_Profile!$F$73,Matching_Engine!$BF$84)),1,0)))/Brand_Profile!$F$74*100,0)))/2,0)</f>
      </c>
      <c r="N84" s="47">
        <f>ROUND((Matching_Engine!$K$84*Lookup_Lists!$D$110+Matching_Engine!$L$84*Lookup_Lists!$D$111+Matching_Engine!$M$84*Lookup_Lists!$D$112)/(Lookup_Lists!$D$110+Lookup_Lists!$D$111+Lookup_Lists!$D$112),0)</f>
      </c>
      <c r="O84" s="47">
        <f>IF(Brand_Profile!$F$16="",Lookup_Lists!$D$150,MIN(100,ROUND((IFERROR(INDEX(KOL_Database!$W$23:KOL_Database!$AA$23,1,MATCH(Brand_Profile!$F$16,Lookup_Lists!$F$6:$F$10,0)),0)+0.5*IFERROR(INDEX(KOL_Database!$W$23:KOL_Database!$AA$23,1,MATCH(Brand_Profile!$F$17,Lookup_Lists!$F$6:$F$10,0)),0))/Lookup_Lists!$D$142*100,0)))</f>
      </c>
      <c r="P84" s="47">
        <f>IF(OR(Brand_Profile!$F$18="",Brand_Profile!$F$18="Any"),100,IF(Brand_Profile!$F$18="Female",MIN(100,ROUND(KOL_Database!$AB$23/Lookup_Lists!$D$143*100,0)),IF(Brand_Profile!$F$18="Male",MIN(100,ROUND(KOL_Database!$AC$23/Lookup_Lists!$D$143*100,0)),MAX(0,ROUND(100-ABS(KOL_Database!$AB$23-50)*2,0)))))</f>
      </c>
      <c r="Q84" s="47">
        <f>ROUND((IF(Brand_Profile!$F$19="",100,IF(KOL_Database!$AD$23=Brand_Profile!$F$19,100,Lookup_Lists!$D$151))*Lookup_Lists!$D$118+IF(OR(Brand_Profile!$F$20="",Brand_Profile!$F$20="Nasional"),100,IF(KOL_Database!$AE$23="",Lookup_Lists!$D$150,IF(KOL_Database!$AE$23=Brand_Profile!$F$20,100,IF(KOL_Database!$AD$23=Brand_Profile!$F$19,40,Lookup_Lists!$D$151))))*Lookup_Lists!$D$119+IF(OR(Brand_Profile!$F$21="",Brand_Profile!$F$21="Nasional"),100,IF(KOL_Database!$AF$23="",Lookup_Lists!$D$150,IF(KOL_Database!$AF$23=Brand_Profile!$F$21,100,IF(KOL_Database!$AE$23=Brand_Profile!$F$20,60,Lookup_Lists!$D$151))))*Lookup_Lists!$D$120)/(Lookup_Lists!$D$118+Lookup_Lists!$D$119+Lookup_Lists!$D$120),0)</f>
      </c>
      <c r="R84" s="47">
        <f>IF(Brand_Profile!$F$68=0,Lookup_Lists!$D$150,ROUND((IF(Brand_Profile!$F$63="",0,IF(ISNUMBER(SEARCH(Brand_Profile!$F$63,KOL_Database!$AG$23)),1,0))+IF(Brand_Profile!$F$64="",0,IF(ISNUMBER(SEARCH(Brand_Profile!$F$64,KOL_Database!$AG$23)),1,0))+IF(Brand_Profile!$F$65="",0,IF(ISNUMBER(SEARCH(Brand_Profile!$F$65,KOL_Database!$AG$23)),1,0))+IF(Brand_Profile!$F$66="",0,IF(ISNUMBER(SEARCH(Brand_Profile!$F$66,KOL_Database!$AG$23)),1,0))+IF(Brand_Profile!$F$67="",0,IF(ISNUMBER(SEARCH(Brand_Profile!$F$67,KOL_Database!$AG$23)),1,0)))/Brand_Profile!$F$68*100,0))</f>
      </c>
      <c r="S84" s="47">
        <f>ROUND((Matching_Engine!$O$84*Brand_Profile!$F$96+Matching_Engine!$P$84*Brand_Profile!$F$97+Matching_Engine!$Q$84*Brand_Profile!$F$98+Matching_Engine!$R$84*Brand_Profile!$F$99)/MAX(1,Brand_Profile!$F$96+Brand_Profile!$F$97+Brand_Profile!$F$98+Brand_Profile!$F$99),0)</f>
      </c>
      <c r="T84" s="47">
        <f>IF(Brand_Profile!$F$33="",Lookup_Lists!$D$150,Matching_Engine!$BD$84)</f>
      </c>
      <c r="U84" s="47">
        <f>IF(Brand_Profile!$F$34="",Lookup_Lists!$D$150,IF(Brand_Profile!$F$34=KOL_Database!$F$23,100,IF(Matching_Engine!$BE$84=KOL_Database!$E$23,75,IF(Matching_Engine!$BD$84&gt;=80,Lookup_Lists!$D$150,IF(Matching_Engine!$BD$84&gt;=60,35,Lookup_Lists!$D$151)))))</f>
      </c>
      <c r="V84" s="47">
        <f>IF(Brand_Profile!$F$86=0,Lookup_Lists!$D$150,ROUND((IF(Brand_Profile!$F$81="",0,IF(ISNUMBER(SEARCH(Brand_Profile!$F$81,Matching_Engine!$BG$84)),1,0))+IF(Brand_Profile!$F$82="",0,IF(ISNUMBER(SEARCH(Brand_Profile!$F$82,Matching_Engine!$BG$84)),1,0))+IF(Brand_Profile!$F$83="",0,IF(ISNUMBER(SEARCH(Brand_Profile!$F$83,Matching_Engine!$BG$84)),1,0))+IF(Brand_Profile!$F$84="",0,IF(ISNUMBER(SEARCH(Brand_Profile!$F$84,Matching_Engine!$BG$84)),1,0))+IF(Brand_Profile!$F$85="",0,IF(ISNUMBER(SEARCH(Brand_Profile!$F$85,Matching_Engine!$BG$84)),1,0)))/Brand_Profile!$F$86*100,0))</f>
      </c>
      <c r="W84" s="47">
        <f>IF(Brand_Profile!$F$39="",Lookup_Lists!$D$150,IFERROR(INDEX(Lookup_Lists!$B$237:$K$246,MATCH(Brand_Profile!$F$39,Lookup_Lists!$A$237:$A$246,0),MATCH(KOL_Database!$AJ$23,Lookup_Lists!$B$236:$K$236,0)),45))</f>
      </c>
      <c r="X84" s="47">
        <f>ROUND((Matching_Engine!$T$84*Lookup_Lists!$D$121+Matching_Engine!$U$84*Lookup_Lists!$D$122+Matching_Engine!$V$84*Lookup_Lists!$D$123+Matching_Engine!$W$84*Lookup_Lists!$D$124)/(Lookup_Lists!$D$121+Lookup_Lists!$D$122+Lookup_Lists!$D$123+Lookup_Lists!$D$124),0)</f>
      </c>
      <c r="Y84" s="47">
        <f>MIN(100,MAX(IFERROR(INDEX(Lookup_Lists!$B$202:$M$211,MATCH(Brand_Profile!$F$25,Lookup_Lists!$A$202:$A$211,0),MATCH(KOL_Database!$AK$23,Lookup_Lists!$B$201:$M$201,0)),40),IF(KOL_Database!$AK$23=Brand_Profile!$F$41,95,0)))</f>
      </c>
      <c r="Z84" s="47">
        <f>IFERROR(INDEX(Lookup_Lists!$B$215:$K$222,MATCH(Brand_Profile!$F$27,Lookup_Lists!$A$215:$A$222,0),MATCH(KOL_Database!$AJ$23,Lookup_Lists!$B$214:$K$214,0)),45)</f>
      </c>
      <c r="AA84" s="47">
        <f>ROUND((IF(Brand_Profile!$F$80=0,Lookup_Lists!$D$150,ROUND((IF(Brand_Profile!$F$75="",0,IF(ISNUMBER(SEARCH(Brand_Profile!$F$75,KOL_Database!$AL$23)),1,0))+IF(Brand_Profile!$F$76="",0,IF(ISNUMBER(SEARCH(Brand_Profile!$F$76,KOL_Database!$AL$23)),1,0))+IF(Brand_Profile!$F$77="",0,IF(ISNUMBER(SEARCH(Brand_Profile!$F$77,KOL_Database!$AL$23)),1,0))+IF(Brand_Profile!$F$78="",0,IF(ISNUMBER(SEARCH(Brand_Profile!$F$78,KOL_Database!$AL$23)),1,0))+IF(Brand_Profile!$F$79="",0,IF(ISNUMBER(SEARCH(Brand_Profile!$F$79,KOL_Database!$AL$23)),1,0)))/Brand_Profile!$F$80*100,0))+IF(Brand_Profile!$F$92=0,Lookup_Lists!$D$150,ROUND((IF(Brand_Profile!$F$87="",0,IF(ISNUMBER(SEARCH(Brand_Profile!$F$87,KOL_Database!$AL$23)),1,0))+IF(Brand_Profile!$F$88="",0,IF(ISNUMBER(SEARCH(Brand_Profile!$F$88,KOL_Database!$AL$23)),1,0))+IF(Brand_Profile!$F$89="",0,IF(ISNUMBER(SEARCH(Brand_Profile!$F$89,KOL_Database!$AL$23)),1,0))+IF(Brand_Profile!$F$90="",0,IF(ISNUMBER(SEARCH(Brand_Profile!$F$90,KOL_Database!$AL$23)),1,0))+IF(Brand_Profile!$F$91="",0,IF(ISNUMBER(SEARCH(Brand_Profile!$F$91,KOL_Database!$AL$23)),1,0)))/Brand_Profile!$F$92*100,0)))/2,0)</f>
      </c>
      <c r="AB84" s="47">
        <f>IFERROR(INDEX(Lookup_Lists!$B$226:$K$233,MATCH(Brand_Profile!$F$30,Lookup_Lists!$A$226:$A$233,0),MATCH(KOL_Database!$AJ$23,Lookup_Lists!$B$225:$K$225,0)),45)</f>
      </c>
      <c r="AC84" s="47">
        <f>ROUND((Matching_Engine!$Y$84*Lookup_Lists!$D$125+Matching_Engine!$Z$84*Lookup_Lists!$D$126+Matching_Engine!$AA$84*Lookup_Lists!$D$127+Matching_Engine!$AB$84*Lookup_Lists!$D$128)/(Lookup_Lists!$D$125+Lookup_Lists!$D$126+Lookup_Lists!$D$127+Lookup_Lists!$D$128),0)</f>
      </c>
      <c r="AD84" s="47">
        <f>IF(KOL_Database!$K$23="",0,MIN(100,ROUND(KOL_Database!$K$23/Lookup_Lists!$D$141*100,0)))</f>
      </c>
      <c r="AE84" s="47">
        <f>IF(KOL_Database!$R$23="",0,MIN(100,MAX(0,KOL_Database!$R$23)))</f>
      </c>
      <c r="AF84" s="47">
        <f>IF(KOL_Database!$P$23="",0,MIN(100,MAX(0,KOL_Database!$P$23)))</f>
      </c>
      <c r="AG84" s="47">
        <f>IF(KOL_Database!$Q$23="",0,MIN(100,MAX(0,KOL_Database!$Q$23)))</f>
      </c>
      <c r="AH84" s="47">
        <f>IF(OR(KOL_Database!$J$23="",KOL_Database!$J$23=0,KOL_Database!$L$23=""),0,MIN(100,ROUND(KOL_Database!$L$23/KOL_Database!$J$23/Lookup_Lists!$D$144*100,0)))</f>
      </c>
      <c r="AI84" s="47">
        <f>IF(KOL_Database!$N$23="",0,MIN(100,MAX(0,ROUND((KOL_Database!$N$23+2)/(Lookup_Lists!$D$145+2)*100,0))))</f>
      </c>
      <c r="AJ84" s="47">
        <f>ROUND((Matching_Engine!$AD$84*Lookup_Lists!$D$129+Matching_Engine!$AE$84*Lookup_Lists!$D$130+Matching_Engine!$AF$84*Lookup_Lists!$D$131+Matching_Engine!$AG$84*Lookup_Lists!$D$132+Matching_Engine!$AH$84*Lookup_Lists!$D$133+Matching_Engine!$AI$84*Lookup_Lists!$D$134)/(Lookup_Lists!$D$129+Lookup_Lists!$D$130+Lookup_Lists!$D$131+Lookup_Lists!$D$132+Lookup_Lists!$D$133+Lookup_Lists!$D$134),0)</f>
      </c>
      <c r="AK84" s="47">
        <f>IF(KOL_Database!$AT$23="",0,MIN(100,MAX(0,KOL_Database!$AT$23)))</f>
      </c>
      <c r="AL84" s="47">
        <f>IF(KOL_Database!$AU$23="",0,KOL_Database!$AU$23)</f>
      </c>
      <c r="AM84" s="44">
        <f>IF(KOL_Database!$AV$23="","None",KOL_Database!$AV$23)</f>
      </c>
      <c r="AN84" s="48">
        <f>IF(Matching_Engine!$AM$84="High",Lookup_Lists!$D$137,IF(Matching_Engine!$AM$84="Medium",Lookup_Lists!$D$138,IF(Matching_Engine!$AM$84="Low",Lookup_Lists!$D$139,Lookup_Lists!$D$140)))</f>
      </c>
      <c r="AO84" s="47">
        <f>ROUND(MIN(100,MAX(0,(Matching_Engine!$AK$84*Lookup_Lists!$D$135+(100-Matching_Engine!$AL$84)*Lookup_Lists!$D$136)/(Lookup_Lists!$D$135+Lookup_Lists!$D$136)*Matching_Engine!$AN$84)),0)</f>
      </c>
      <c r="AP84" s="49">
        <f>ROUND((Matching_Engine!$N$84*Lookup_Lists!$D$104+Matching_Engine!$S$84*Lookup_Lists!$D$105+Matching_Engine!$X$84*Lookup_Lists!$D$106+Matching_Engine!$AC$84*Lookup_Lists!$D$107+Matching_Engine!$AJ$84*Lookup_Lists!$D$108+Matching_Engine!$AO$84*Lookup_Lists!$D$109)/MAX(1,(Lookup_Lists!$D$104+Lookup_Lists!$D$105+Lookup_Lists!$D$106+Lookup_Lists!$D$107+Lookup_Lists!$D$108+Lookup_Lists!$D$109)),0)</f>
      </c>
      <c r="AQ84" s="44">
        <f>IF(Matching_Engine!$AP$84&gt;=Lookup_Lists!$D$152,"Excellent Match",IF(Matching_Engine!$AP$84&gt;=Lookup_Lists!$D$153,"Strong Match",IF(Matching_Engine!$AP$84&gt;=Lookup_Lists!$D$154,"Good Match",IF(Matching_Engine!$AP$84&gt;=Lookup_Lists!$D$155,"Moderate Match","Low Match"))))</f>
      </c>
      <c r="AR84" s="47">
        <f>KOL_Database!$BE$23</f>
      </c>
      <c r="AS84" s="44">
        <f>IF(Matching_Engine!$AR$84&gt;=Lookup_Lists!$D$159,"High",IF(Matching_Engine!$AR$84&gt;=Lookup_Lists!$D$160,"Medium","Limited Data"))</f>
      </c>
      <c r="AT84" s="47">
        <f>ROUND((Matching_Engine!$N$84+Matching_Engine!$X$84+Matching_Engine!$AC$84)/3,0)</f>
      </c>
      <c r="AU84" s="47">
        <f>ROUND(((100-Matching_Engine!$AL$84)*Lookup_Lists!$D$162+IF(KOL_Database!$BD$23="",Lookup_Lists!$D$150,KOL_Database!$BD$23)*Lookup_Lists!$D$163+Matching_Engine!$AI$84*Lookup_Lists!$D$164+Matching_Engine!$AD$84*Lookup_Lists!$D$165)/(Lookup_Lists!$D$162+Lookup_Lists!$D$163+Lookup_Lists!$D$164+Lookup_Lists!$D$165),0)</f>
      </c>
      <c r="AV84" s="44">
        <f>IF(Matching_Engine!$AW$84="","PASS","EXCLUDED")</f>
      </c>
      <c r="AW84" s="44">
        <f>IF(ISERROR(SEARCH(KOL_Database!$D$23,Brand_Profile!$F$32)),"Platform not in Preferred Platform",IF(AND(Brand_Profile!$F$36&gt;0,KOL_Database!$J$23&lt;Brand_Profile!$F$36),"Followers below Preferred Follower Range",IF(AND(Brand_Profile!$F$37&gt;0,KOL_Database!$J$23&gt;Brand_Profile!$F$37),"Followers above Preferred Follower Range",IF(AND(Brand_Profile!$F$38&gt;0,IF(KOL_Database!$K$23="",0,KOL_Database!$K$23)&lt;Brand_Profile!$F$38),"Engagement Rate below Minimum Engagement Rate",IF(ISERROR(SEARCH(KOL_Database!$G$23,Brand_Profile!$F$35)),"Tier not in Preferred Tier",IF(AND(Brand_Profile!$F$43&gt;0,Matching_Engine!$AE$84&lt;Brand_Profile!$F$43),"Audience Quality below Minimum Audience Quality",IF(AND(Brand_Profile!$F$44&gt;0,Matching_Engine!$AK$84&lt;Brand_Profile!$F$44),"Brand Safety below Minimum Brand Safety",IF(AND(Brand_Profile!$F$47="Yes",KOL_Database!$AD$23&lt;&gt;Brand_Profile!$F$19),"Audience Country does not match Target Country",IF(AND(Brand_Profile!$F$46="Yes",KOL_Database!$E$23&lt;&gt;Brand_Profile!$F$33),"Category is not the Preferred Category",IF(AND(Brand_Profile!$F$48&gt;0,Matching_Engine!$AL$84&gt;Brand_Profile!$F$48),"Competitor Saturation above Max Competitor Saturation",IF(AND(Brand_Profile!$F$50="Yes",KOL_Database!$AW$23="Yes"),"Already Selected",IF(AND(Brand_Profile!$F$51="Yes",KOL_Database!$AX$23="Yes"),"Already in Cart",IF(AND(Brand_Profile!$F$52="Yes",KOL_Database!$AY$23="Yes"),"Existing Partner",IF(AND(Brand_Profile!$F$53="Yes",KOL_Database!$AZ$23="Yes"),"Excluded Creator",IF(AND(Brand_Profile!$F$49&gt;0,Matching_Engine!$AP$84&lt;Brand_Profile!$F$49),"Brand Match below Minimum Brand Match","")))))))))))))))</f>
      </c>
      <c r="AX84" s="44">
        <f>IF(Matching_Engine!$AV$84="EXCLUDED","Excluded",IF(Matching_Engine!$AP$84&gt;=Lookup_Lists!$D$156,"Highly Recommended",IF(Matching_Engine!$AP$84&gt;=Lookup_Lists!$D$157,"Recommended",IF(Matching_Engine!$AP$84&gt;=Lookup_Lists!$D$158,"Consider","Low Priority"))))</f>
      </c>
      <c r="AY84" s="47">
        <f>IF(Matching_Engine!$AV$84="PASS",Matching_Engine!$AP$84,"")</f>
      </c>
      <c r="AZ84" s="44">
        <f>Matching_Engine!$A$84&amp;"|"&amp;Matching_Engine!$C$84</f>
      </c>
      <c r="BA84" s="44">
        <f>IFERROR(INDEX(Lookup_Lists!$B$51:$B$92,MATCH(Brand_Profile!$F$12,Lookup_Lists!$A$51:$A$92,0)),"")</f>
      </c>
      <c r="BB84" s="44">
        <f>IFERROR(INDEX(Lookup_Lists!$B$51:$B$92,MATCH(KOL_Database!$F$23,Lookup_Lists!$A$51:$A$92,0)),"")</f>
      </c>
      <c r="BC84" s="47">
        <f>IFERROR(INDEX(Lookup_Lists!$B$185:$O$198,MATCH(Matching_Engine!$BA$84,Lookup_Lists!$A$185:$A$198,0),MATCH(KOL_Database!$E$23,Lookup_Lists!$B$184:$O$184,0)),Lookup_Lists!$D$151)</f>
      </c>
      <c r="BD84" s="47">
        <f>IFERROR(INDEX(Lookup_Lists!$B$185:$O$198,MATCH(Brand_Profile!$F$33,Lookup_Lists!$A$185:$A$198,0),MATCH(KOL_Database!$E$23,Lookup_Lists!$B$184:$O$184,0)),Lookup_Lists!$D$151)</f>
      </c>
      <c r="BE84" s="44">
        <f>IFERROR(INDEX(Lookup_Lists!$B$51:$B$92,MATCH(Brand_Profile!$F$34,Lookup_Lists!$A$51:$A$92,0)),"")</f>
      </c>
      <c r="BF84" s="44">
        <f>KOL_Database!$AI$23&amp;", "&amp;KOL_Database!$AG$23&amp;", "&amp;KOL_Database!$F$23&amp;", "&amp;KOL_Database!$E$23</f>
      </c>
      <c r="BG84" s="44">
        <f>KOL_Database!$AI$23&amp;", "&amp;KOL_Database!$AG$23</f>
      </c>
    </row>
    <row r="85" spans="1:59" x14ac:dyDescent="0.25">
      <c r="A85" s="43" t="s">
        <v>77</v>
      </c>
      <c r="B85" s="44">
        <f>Brand_Profile!$F$9</f>
      </c>
      <c r="C85" s="44">
        <f>KOL_Database!$A$24</f>
      </c>
      <c r="D85" s="44">
        <f>KOL_Database!$B$24</f>
      </c>
      <c r="E85" s="44">
        <f>KOL_Database!$C$24</f>
      </c>
      <c r="F85" s="44">
        <f>KOL_Database!$D$24</f>
      </c>
      <c r="G85" s="44">
        <f>KOL_Database!$E$24</f>
      </c>
      <c r="H85" s="44">
        <f>KOL_Database!$G$24</f>
      </c>
      <c r="I85" s="45">
        <f>KOL_Database!$J$24</f>
      </c>
      <c r="J85" s="46">
        <f>KOL_Database!$K$24</f>
      </c>
      <c r="K85" s="47">
        <f>IFERROR(INDEX(Lookup_Lists!$B$170:$O$181,MATCH(Brand_Profile!$F$10,Lookup_Lists!$A$170:$A$181,0),MATCH(KOL_Database!$E$24,Lookup_Lists!$B$169:$O$169,0)),Lookup_Lists!$D$151)</f>
      </c>
      <c r="L85" s="47">
        <f>IF(KOL_Database!$F$24="",Matching_Engine!$BC$85,IF(Brand_Profile!$F$12=KOL_Database!$F$24,100,IF(Matching_Engine!$BA$85=KOL_Database!$E$24,80,IF(Matching_Engine!$BC$85&gt;=80,60,IF(Matching_Engine!$BC$85&gt;=60,40,Lookup_Lists!$D$151)))))</f>
      </c>
      <c r="M85" s="47">
        <f>ROUND((IF(Brand_Profile!$F$62=0,Lookup_Lists!$D$150,ROUND((IF(Brand_Profile!$F$57="",0,IF(ISNUMBER(SEARCH(Brand_Profile!$F$57,Matching_Engine!$BF$85)),1,0))+IF(Brand_Profile!$F$58="",0,IF(ISNUMBER(SEARCH(Brand_Profile!$F$58,Matching_Engine!$BF$85)),1,0))+IF(Brand_Profile!$F$59="",0,IF(ISNUMBER(SEARCH(Brand_Profile!$F$59,Matching_Engine!$BF$85)),1,0))+IF(Brand_Profile!$F$60="",0,IF(ISNUMBER(SEARCH(Brand_Profile!$F$60,Matching_Engine!$BF$85)),1,0))+IF(Brand_Profile!$F$61="",0,IF(ISNUMBER(SEARCH(Brand_Profile!$F$61,Matching_Engine!$BF$85)),1,0)))/Brand_Profile!$F$62*100,0))+IF(Brand_Profile!$F$74=0,Lookup_Lists!$D$150,ROUND((IF(Brand_Profile!$F$69="",0,IF(ISNUMBER(SEARCH(Brand_Profile!$F$69,Matching_Engine!$BF$85)),1,0))+IF(Brand_Profile!$F$70="",0,IF(ISNUMBER(SEARCH(Brand_Profile!$F$70,Matching_Engine!$BF$85)),1,0))+IF(Brand_Profile!$F$71="",0,IF(ISNUMBER(SEARCH(Brand_Profile!$F$71,Matching_Engine!$BF$85)),1,0))+IF(Brand_Profile!$F$72="",0,IF(ISNUMBER(SEARCH(Brand_Profile!$F$72,Matching_Engine!$BF$85)),1,0))+IF(Brand_Profile!$F$73="",0,IF(ISNUMBER(SEARCH(Brand_Profile!$F$73,Matching_Engine!$BF$85)),1,0)))/Brand_Profile!$F$74*100,0)))/2,0)</f>
      </c>
      <c r="N85" s="47">
        <f>ROUND((Matching_Engine!$K$85*Lookup_Lists!$D$110+Matching_Engine!$L$85*Lookup_Lists!$D$111+Matching_Engine!$M$85*Lookup_Lists!$D$112)/(Lookup_Lists!$D$110+Lookup_Lists!$D$111+Lookup_Lists!$D$112),0)</f>
      </c>
      <c r="O85" s="47">
        <f>IF(Brand_Profile!$F$16="",Lookup_Lists!$D$150,MIN(100,ROUND((IFERROR(INDEX(KOL_Database!$W$24:KOL_Database!$AA$24,1,MATCH(Brand_Profile!$F$16,Lookup_Lists!$F$6:$F$10,0)),0)+0.5*IFERROR(INDEX(KOL_Database!$W$24:KOL_Database!$AA$24,1,MATCH(Brand_Profile!$F$17,Lookup_Lists!$F$6:$F$10,0)),0))/Lookup_Lists!$D$142*100,0)))</f>
      </c>
      <c r="P85" s="47">
        <f>IF(OR(Brand_Profile!$F$18="",Brand_Profile!$F$18="Any"),100,IF(Brand_Profile!$F$18="Female",MIN(100,ROUND(KOL_Database!$AB$24/Lookup_Lists!$D$143*100,0)),IF(Brand_Profile!$F$18="Male",MIN(100,ROUND(KOL_Database!$AC$24/Lookup_Lists!$D$143*100,0)),MAX(0,ROUND(100-ABS(KOL_Database!$AB$24-50)*2,0)))))</f>
      </c>
      <c r="Q85" s="47">
        <f>ROUND((IF(Brand_Profile!$F$19="",100,IF(KOL_Database!$AD$24=Brand_Profile!$F$19,100,Lookup_Lists!$D$151))*Lookup_Lists!$D$118+IF(OR(Brand_Profile!$F$20="",Brand_Profile!$F$20="Nasional"),100,IF(KOL_Database!$AE$24="",Lookup_Lists!$D$150,IF(KOL_Database!$AE$24=Brand_Profile!$F$20,100,IF(KOL_Database!$AD$24=Brand_Profile!$F$19,40,Lookup_Lists!$D$151))))*Lookup_Lists!$D$119+IF(OR(Brand_Profile!$F$21="",Brand_Profile!$F$21="Nasional"),100,IF(KOL_Database!$AF$24="",Lookup_Lists!$D$150,IF(KOL_Database!$AF$24=Brand_Profile!$F$21,100,IF(KOL_Database!$AE$24=Brand_Profile!$F$20,60,Lookup_Lists!$D$151))))*Lookup_Lists!$D$120)/(Lookup_Lists!$D$118+Lookup_Lists!$D$119+Lookup_Lists!$D$120),0)</f>
      </c>
      <c r="R85" s="47">
        <f>IF(Brand_Profile!$F$68=0,Lookup_Lists!$D$150,ROUND((IF(Brand_Profile!$F$63="",0,IF(ISNUMBER(SEARCH(Brand_Profile!$F$63,KOL_Database!$AG$24)),1,0))+IF(Brand_Profile!$F$64="",0,IF(ISNUMBER(SEARCH(Brand_Profile!$F$64,KOL_Database!$AG$24)),1,0))+IF(Brand_Profile!$F$65="",0,IF(ISNUMBER(SEARCH(Brand_Profile!$F$65,KOL_Database!$AG$24)),1,0))+IF(Brand_Profile!$F$66="",0,IF(ISNUMBER(SEARCH(Brand_Profile!$F$66,KOL_Database!$AG$24)),1,0))+IF(Brand_Profile!$F$67="",0,IF(ISNUMBER(SEARCH(Brand_Profile!$F$67,KOL_Database!$AG$24)),1,0)))/Brand_Profile!$F$68*100,0))</f>
      </c>
      <c r="S85" s="47">
        <f>ROUND((Matching_Engine!$O$85*Brand_Profile!$F$96+Matching_Engine!$P$85*Brand_Profile!$F$97+Matching_Engine!$Q$85*Brand_Profile!$F$98+Matching_Engine!$R$85*Brand_Profile!$F$99)/MAX(1,Brand_Profile!$F$96+Brand_Profile!$F$97+Brand_Profile!$F$98+Brand_Profile!$F$99),0)</f>
      </c>
      <c r="T85" s="47">
        <f>IF(Brand_Profile!$F$33="",Lookup_Lists!$D$150,Matching_Engine!$BD$85)</f>
      </c>
      <c r="U85" s="47">
        <f>IF(Brand_Profile!$F$34="",Lookup_Lists!$D$150,IF(Brand_Profile!$F$34=KOL_Database!$F$24,100,IF(Matching_Engine!$BE$85=KOL_Database!$E$24,75,IF(Matching_Engine!$BD$85&gt;=80,Lookup_Lists!$D$150,IF(Matching_Engine!$BD$85&gt;=60,35,Lookup_Lists!$D$151)))))</f>
      </c>
      <c r="V85" s="47">
        <f>IF(Brand_Profile!$F$86=0,Lookup_Lists!$D$150,ROUND((IF(Brand_Profile!$F$81="",0,IF(ISNUMBER(SEARCH(Brand_Profile!$F$81,Matching_Engine!$BG$85)),1,0))+IF(Brand_Profile!$F$82="",0,IF(ISNUMBER(SEARCH(Brand_Profile!$F$82,Matching_Engine!$BG$85)),1,0))+IF(Brand_Profile!$F$83="",0,IF(ISNUMBER(SEARCH(Brand_Profile!$F$83,Matching_Engine!$BG$85)),1,0))+IF(Brand_Profile!$F$84="",0,IF(ISNUMBER(SEARCH(Brand_Profile!$F$84,Matching_Engine!$BG$85)),1,0))+IF(Brand_Profile!$F$85="",0,IF(ISNUMBER(SEARCH(Brand_Profile!$F$85,Matching_Engine!$BG$85)),1,0)))/Brand_Profile!$F$86*100,0))</f>
      </c>
      <c r="W85" s="47">
        <f>IF(Brand_Profile!$F$39="",Lookup_Lists!$D$150,IFERROR(INDEX(Lookup_Lists!$B$237:$K$246,MATCH(Brand_Profile!$F$39,Lookup_Lists!$A$237:$A$246,0),MATCH(KOL_Database!$AJ$24,Lookup_Lists!$B$236:$K$236,0)),45))</f>
      </c>
      <c r="X85" s="47">
        <f>ROUND((Matching_Engine!$T$85*Lookup_Lists!$D$121+Matching_Engine!$U$85*Lookup_Lists!$D$122+Matching_Engine!$V$85*Lookup_Lists!$D$123+Matching_Engine!$W$85*Lookup_Lists!$D$124)/(Lookup_Lists!$D$121+Lookup_Lists!$D$122+Lookup_Lists!$D$123+Lookup_Lists!$D$124),0)</f>
      </c>
      <c r="Y85" s="47">
        <f>MIN(100,MAX(IFERROR(INDEX(Lookup_Lists!$B$202:$M$211,MATCH(Brand_Profile!$F$25,Lookup_Lists!$A$202:$A$211,0),MATCH(KOL_Database!$AK$24,Lookup_Lists!$B$201:$M$201,0)),40),IF(KOL_Database!$AK$24=Brand_Profile!$F$41,95,0)))</f>
      </c>
      <c r="Z85" s="47">
        <f>IFERROR(INDEX(Lookup_Lists!$B$215:$K$222,MATCH(Brand_Profile!$F$27,Lookup_Lists!$A$215:$A$222,0),MATCH(KOL_Database!$AJ$24,Lookup_Lists!$B$214:$K$214,0)),45)</f>
      </c>
      <c r="AA85" s="47">
        <f>ROUND((IF(Brand_Profile!$F$80=0,Lookup_Lists!$D$150,ROUND((IF(Brand_Profile!$F$75="",0,IF(ISNUMBER(SEARCH(Brand_Profile!$F$75,KOL_Database!$AL$24)),1,0))+IF(Brand_Profile!$F$76="",0,IF(ISNUMBER(SEARCH(Brand_Profile!$F$76,KOL_Database!$AL$24)),1,0))+IF(Brand_Profile!$F$77="",0,IF(ISNUMBER(SEARCH(Brand_Profile!$F$77,KOL_Database!$AL$24)),1,0))+IF(Brand_Profile!$F$78="",0,IF(ISNUMBER(SEARCH(Brand_Profile!$F$78,KOL_Database!$AL$24)),1,0))+IF(Brand_Profile!$F$79="",0,IF(ISNUMBER(SEARCH(Brand_Profile!$F$79,KOL_Database!$AL$24)),1,0)))/Brand_Profile!$F$80*100,0))+IF(Brand_Profile!$F$92=0,Lookup_Lists!$D$150,ROUND((IF(Brand_Profile!$F$87="",0,IF(ISNUMBER(SEARCH(Brand_Profile!$F$87,KOL_Database!$AL$24)),1,0))+IF(Brand_Profile!$F$88="",0,IF(ISNUMBER(SEARCH(Brand_Profile!$F$88,KOL_Database!$AL$24)),1,0))+IF(Brand_Profile!$F$89="",0,IF(ISNUMBER(SEARCH(Brand_Profile!$F$89,KOL_Database!$AL$24)),1,0))+IF(Brand_Profile!$F$90="",0,IF(ISNUMBER(SEARCH(Brand_Profile!$F$90,KOL_Database!$AL$24)),1,0))+IF(Brand_Profile!$F$91="",0,IF(ISNUMBER(SEARCH(Brand_Profile!$F$91,KOL_Database!$AL$24)),1,0)))/Brand_Profile!$F$92*100,0)))/2,0)</f>
      </c>
      <c r="AB85" s="47">
        <f>IFERROR(INDEX(Lookup_Lists!$B$226:$K$233,MATCH(Brand_Profile!$F$30,Lookup_Lists!$A$226:$A$233,0),MATCH(KOL_Database!$AJ$24,Lookup_Lists!$B$225:$K$225,0)),45)</f>
      </c>
      <c r="AC85" s="47">
        <f>ROUND((Matching_Engine!$Y$85*Lookup_Lists!$D$125+Matching_Engine!$Z$85*Lookup_Lists!$D$126+Matching_Engine!$AA$85*Lookup_Lists!$D$127+Matching_Engine!$AB$85*Lookup_Lists!$D$128)/(Lookup_Lists!$D$125+Lookup_Lists!$D$126+Lookup_Lists!$D$127+Lookup_Lists!$D$128),0)</f>
      </c>
      <c r="AD85" s="47">
        <f>IF(KOL_Database!$K$24="",0,MIN(100,ROUND(KOL_Database!$K$24/Lookup_Lists!$D$141*100,0)))</f>
      </c>
      <c r="AE85" s="47">
        <f>IF(KOL_Database!$R$24="",0,MIN(100,MAX(0,KOL_Database!$R$24)))</f>
      </c>
      <c r="AF85" s="47">
        <f>IF(KOL_Database!$P$24="",0,MIN(100,MAX(0,KOL_Database!$P$24)))</f>
      </c>
      <c r="AG85" s="47">
        <f>IF(KOL_Database!$Q$24="",0,MIN(100,MAX(0,KOL_Database!$Q$24)))</f>
      </c>
      <c r="AH85" s="47">
        <f>IF(OR(KOL_Database!$J$24="",KOL_Database!$J$24=0,KOL_Database!$L$24=""),0,MIN(100,ROUND(KOL_Database!$L$24/KOL_Database!$J$24/Lookup_Lists!$D$144*100,0)))</f>
      </c>
      <c r="AI85" s="47">
        <f>IF(KOL_Database!$N$24="",0,MIN(100,MAX(0,ROUND((KOL_Database!$N$24+2)/(Lookup_Lists!$D$145+2)*100,0))))</f>
      </c>
      <c r="AJ85" s="47">
        <f>ROUND((Matching_Engine!$AD$85*Lookup_Lists!$D$129+Matching_Engine!$AE$85*Lookup_Lists!$D$130+Matching_Engine!$AF$85*Lookup_Lists!$D$131+Matching_Engine!$AG$85*Lookup_Lists!$D$132+Matching_Engine!$AH$85*Lookup_Lists!$D$133+Matching_Engine!$AI$85*Lookup_Lists!$D$134)/(Lookup_Lists!$D$129+Lookup_Lists!$D$130+Lookup_Lists!$D$131+Lookup_Lists!$D$132+Lookup_Lists!$D$133+Lookup_Lists!$D$134),0)</f>
      </c>
      <c r="AK85" s="47">
        <f>IF(KOL_Database!$AT$24="",0,MIN(100,MAX(0,KOL_Database!$AT$24)))</f>
      </c>
      <c r="AL85" s="47">
        <f>IF(KOL_Database!$AU$24="",0,KOL_Database!$AU$24)</f>
      </c>
      <c r="AM85" s="44">
        <f>IF(KOL_Database!$AV$24="","None",KOL_Database!$AV$24)</f>
      </c>
      <c r="AN85" s="48">
        <f>IF(Matching_Engine!$AM$85="High",Lookup_Lists!$D$137,IF(Matching_Engine!$AM$85="Medium",Lookup_Lists!$D$138,IF(Matching_Engine!$AM$85="Low",Lookup_Lists!$D$139,Lookup_Lists!$D$140)))</f>
      </c>
      <c r="AO85" s="47">
        <f>ROUND(MIN(100,MAX(0,(Matching_Engine!$AK$85*Lookup_Lists!$D$135+(100-Matching_Engine!$AL$85)*Lookup_Lists!$D$136)/(Lookup_Lists!$D$135+Lookup_Lists!$D$136)*Matching_Engine!$AN$85)),0)</f>
      </c>
      <c r="AP85" s="49">
        <f>ROUND((Matching_Engine!$N$85*Lookup_Lists!$D$104+Matching_Engine!$S$85*Lookup_Lists!$D$105+Matching_Engine!$X$85*Lookup_Lists!$D$106+Matching_Engine!$AC$85*Lookup_Lists!$D$107+Matching_Engine!$AJ$85*Lookup_Lists!$D$108+Matching_Engine!$AO$85*Lookup_Lists!$D$109)/MAX(1,(Lookup_Lists!$D$104+Lookup_Lists!$D$105+Lookup_Lists!$D$106+Lookup_Lists!$D$107+Lookup_Lists!$D$108+Lookup_Lists!$D$109)),0)</f>
      </c>
      <c r="AQ85" s="44">
        <f>IF(Matching_Engine!$AP$85&gt;=Lookup_Lists!$D$152,"Excellent Match",IF(Matching_Engine!$AP$85&gt;=Lookup_Lists!$D$153,"Strong Match",IF(Matching_Engine!$AP$85&gt;=Lookup_Lists!$D$154,"Good Match",IF(Matching_Engine!$AP$85&gt;=Lookup_Lists!$D$155,"Moderate Match","Low Match"))))</f>
      </c>
      <c r="AR85" s="47">
        <f>KOL_Database!$BE$24</f>
      </c>
      <c r="AS85" s="44">
        <f>IF(Matching_Engine!$AR$85&gt;=Lookup_Lists!$D$159,"High",IF(Matching_Engine!$AR$85&gt;=Lookup_Lists!$D$160,"Medium","Limited Data"))</f>
      </c>
      <c r="AT85" s="47">
        <f>ROUND((Matching_Engine!$N$85+Matching_Engine!$X$85+Matching_Engine!$AC$85)/3,0)</f>
      </c>
      <c r="AU85" s="47">
        <f>ROUND(((100-Matching_Engine!$AL$85)*Lookup_Lists!$D$162+IF(KOL_Database!$BD$24="",Lookup_Lists!$D$150,KOL_Database!$BD$24)*Lookup_Lists!$D$163+Matching_Engine!$AI$85*Lookup_Lists!$D$164+Matching_Engine!$AD$85*Lookup_Lists!$D$165)/(Lookup_Lists!$D$162+Lookup_Lists!$D$163+Lookup_Lists!$D$164+Lookup_Lists!$D$165),0)</f>
      </c>
      <c r="AV85" s="44">
        <f>IF(Matching_Engine!$AW$85="","PASS","EXCLUDED")</f>
      </c>
      <c r="AW85" s="44">
        <f>IF(ISERROR(SEARCH(KOL_Database!$D$24,Brand_Profile!$F$32)),"Platform not in Preferred Platform",IF(AND(Brand_Profile!$F$36&gt;0,KOL_Database!$J$24&lt;Brand_Profile!$F$36),"Followers below Preferred Follower Range",IF(AND(Brand_Profile!$F$37&gt;0,KOL_Database!$J$24&gt;Brand_Profile!$F$37),"Followers above Preferred Follower Range",IF(AND(Brand_Profile!$F$38&gt;0,IF(KOL_Database!$K$24="",0,KOL_Database!$K$24)&lt;Brand_Profile!$F$38),"Engagement Rate below Minimum Engagement Rate",IF(ISERROR(SEARCH(KOL_Database!$G$24,Brand_Profile!$F$35)),"Tier not in Preferred Tier",IF(AND(Brand_Profile!$F$43&gt;0,Matching_Engine!$AE$85&lt;Brand_Profile!$F$43),"Audience Quality below Minimum Audience Quality",IF(AND(Brand_Profile!$F$44&gt;0,Matching_Engine!$AK$85&lt;Brand_Profile!$F$44),"Brand Safety below Minimum Brand Safety",IF(AND(Brand_Profile!$F$47="Yes",KOL_Database!$AD$24&lt;&gt;Brand_Profile!$F$19),"Audience Country does not match Target Country",IF(AND(Brand_Profile!$F$46="Yes",KOL_Database!$E$24&lt;&gt;Brand_Profile!$F$33),"Category is not the Preferred Category",IF(AND(Brand_Profile!$F$48&gt;0,Matching_Engine!$AL$85&gt;Brand_Profile!$F$48),"Competitor Saturation above Max Competitor Saturation",IF(AND(Brand_Profile!$F$50="Yes",KOL_Database!$AW$24="Yes"),"Already Selected",IF(AND(Brand_Profile!$F$51="Yes",KOL_Database!$AX$24="Yes"),"Already in Cart",IF(AND(Brand_Profile!$F$52="Yes",KOL_Database!$AY$24="Yes"),"Existing Partner",IF(AND(Brand_Profile!$F$53="Yes",KOL_Database!$AZ$24="Yes"),"Excluded Creator",IF(AND(Brand_Profile!$F$49&gt;0,Matching_Engine!$AP$85&lt;Brand_Profile!$F$49),"Brand Match below Minimum Brand Match","")))))))))))))))</f>
      </c>
      <c r="AX85" s="44">
        <f>IF(Matching_Engine!$AV$85="EXCLUDED","Excluded",IF(Matching_Engine!$AP$85&gt;=Lookup_Lists!$D$156,"Highly Recommended",IF(Matching_Engine!$AP$85&gt;=Lookup_Lists!$D$157,"Recommended",IF(Matching_Engine!$AP$85&gt;=Lookup_Lists!$D$158,"Consider","Low Priority"))))</f>
      </c>
      <c r="AY85" s="47">
        <f>IF(Matching_Engine!$AV$85="PASS",Matching_Engine!$AP$85,"")</f>
      </c>
      <c r="AZ85" s="44">
        <f>Matching_Engine!$A$85&amp;"|"&amp;Matching_Engine!$C$85</f>
      </c>
      <c r="BA85" s="44">
        <f>IFERROR(INDEX(Lookup_Lists!$B$51:$B$92,MATCH(Brand_Profile!$F$12,Lookup_Lists!$A$51:$A$92,0)),"")</f>
      </c>
      <c r="BB85" s="44">
        <f>IFERROR(INDEX(Lookup_Lists!$B$51:$B$92,MATCH(KOL_Database!$F$24,Lookup_Lists!$A$51:$A$92,0)),"")</f>
      </c>
      <c r="BC85" s="47">
        <f>IFERROR(INDEX(Lookup_Lists!$B$185:$O$198,MATCH(Matching_Engine!$BA$85,Lookup_Lists!$A$185:$A$198,0),MATCH(KOL_Database!$E$24,Lookup_Lists!$B$184:$O$184,0)),Lookup_Lists!$D$151)</f>
      </c>
      <c r="BD85" s="47">
        <f>IFERROR(INDEX(Lookup_Lists!$B$185:$O$198,MATCH(Brand_Profile!$F$33,Lookup_Lists!$A$185:$A$198,0),MATCH(KOL_Database!$E$24,Lookup_Lists!$B$184:$O$184,0)),Lookup_Lists!$D$151)</f>
      </c>
      <c r="BE85" s="44">
        <f>IFERROR(INDEX(Lookup_Lists!$B$51:$B$92,MATCH(Brand_Profile!$F$34,Lookup_Lists!$A$51:$A$92,0)),"")</f>
      </c>
      <c r="BF85" s="44">
        <f>KOL_Database!$AI$24&amp;", "&amp;KOL_Database!$AG$24&amp;", "&amp;KOL_Database!$F$24&amp;", "&amp;KOL_Database!$E$24</f>
      </c>
      <c r="BG85" s="44">
        <f>KOL_Database!$AI$24&amp;", "&amp;KOL_Database!$AG$24</f>
      </c>
    </row>
    <row r="86" spans="1:59" x14ac:dyDescent="0.25">
      <c r="A86" s="43" t="s">
        <v>77</v>
      </c>
      <c r="B86" s="44">
        <f>Brand_Profile!$F$9</f>
      </c>
      <c r="C86" s="44">
        <f>KOL_Database!$A$25</f>
      </c>
      <c r="D86" s="44">
        <f>KOL_Database!$B$25</f>
      </c>
      <c r="E86" s="44">
        <f>KOL_Database!$C$25</f>
      </c>
      <c r="F86" s="44">
        <f>KOL_Database!$D$25</f>
      </c>
      <c r="G86" s="44">
        <f>KOL_Database!$E$25</f>
      </c>
      <c r="H86" s="44">
        <f>KOL_Database!$G$25</f>
      </c>
      <c r="I86" s="45">
        <f>KOL_Database!$J$25</f>
      </c>
      <c r="J86" s="46">
        <f>KOL_Database!$K$25</f>
      </c>
      <c r="K86" s="47">
        <f>IFERROR(INDEX(Lookup_Lists!$B$170:$O$181,MATCH(Brand_Profile!$F$10,Lookup_Lists!$A$170:$A$181,0),MATCH(KOL_Database!$E$25,Lookup_Lists!$B$169:$O$169,0)),Lookup_Lists!$D$151)</f>
      </c>
      <c r="L86" s="47">
        <f>IF(KOL_Database!$F$25="",Matching_Engine!$BC$86,IF(Brand_Profile!$F$12=KOL_Database!$F$25,100,IF(Matching_Engine!$BA$86=KOL_Database!$E$25,80,IF(Matching_Engine!$BC$86&gt;=80,60,IF(Matching_Engine!$BC$86&gt;=60,40,Lookup_Lists!$D$151)))))</f>
      </c>
      <c r="M86" s="47">
        <f>ROUND((IF(Brand_Profile!$F$62=0,Lookup_Lists!$D$150,ROUND((IF(Brand_Profile!$F$57="",0,IF(ISNUMBER(SEARCH(Brand_Profile!$F$57,Matching_Engine!$BF$86)),1,0))+IF(Brand_Profile!$F$58="",0,IF(ISNUMBER(SEARCH(Brand_Profile!$F$58,Matching_Engine!$BF$86)),1,0))+IF(Brand_Profile!$F$59="",0,IF(ISNUMBER(SEARCH(Brand_Profile!$F$59,Matching_Engine!$BF$86)),1,0))+IF(Brand_Profile!$F$60="",0,IF(ISNUMBER(SEARCH(Brand_Profile!$F$60,Matching_Engine!$BF$86)),1,0))+IF(Brand_Profile!$F$61="",0,IF(ISNUMBER(SEARCH(Brand_Profile!$F$61,Matching_Engine!$BF$86)),1,0)))/Brand_Profile!$F$62*100,0))+IF(Brand_Profile!$F$74=0,Lookup_Lists!$D$150,ROUND((IF(Brand_Profile!$F$69="",0,IF(ISNUMBER(SEARCH(Brand_Profile!$F$69,Matching_Engine!$BF$86)),1,0))+IF(Brand_Profile!$F$70="",0,IF(ISNUMBER(SEARCH(Brand_Profile!$F$70,Matching_Engine!$BF$86)),1,0))+IF(Brand_Profile!$F$71="",0,IF(ISNUMBER(SEARCH(Brand_Profile!$F$71,Matching_Engine!$BF$86)),1,0))+IF(Brand_Profile!$F$72="",0,IF(ISNUMBER(SEARCH(Brand_Profile!$F$72,Matching_Engine!$BF$86)),1,0))+IF(Brand_Profile!$F$73="",0,IF(ISNUMBER(SEARCH(Brand_Profile!$F$73,Matching_Engine!$BF$86)),1,0)))/Brand_Profile!$F$74*100,0)))/2,0)</f>
      </c>
      <c r="N86" s="47">
        <f>ROUND((Matching_Engine!$K$86*Lookup_Lists!$D$110+Matching_Engine!$L$86*Lookup_Lists!$D$111+Matching_Engine!$M$86*Lookup_Lists!$D$112)/(Lookup_Lists!$D$110+Lookup_Lists!$D$111+Lookup_Lists!$D$112),0)</f>
      </c>
      <c r="O86" s="47">
        <f>IF(Brand_Profile!$F$16="",Lookup_Lists!$D$150,MIN(100,ROUND((IFERROR(INDEX(KOL_Database!$W$25:KOL_Database!$AA$25,1,MATCH(Brand_Profile!$F$16,Lookup_Lists!$F$6:$F$10,0)),0)+0.5*IFERROR(INDEX(KOL_Database!$W$25:KOL_Database!$AA$25,1,MATCH(Brand_Profile!$F$17,Lookup_Lists!$F$6:$F$10,0)),0))/Lookup_Lists!$D$142*100,0)))</f>
      </c>
      <c r="P86" s="47">
        <f>IF(OR(Brand_Profile!$F$18="",Brand_Profile!$F$18="Any"),100,IF(Brand_Profile!$F$18="Female",MIN(100,ROUND(KOL_Database!$AB$25/Lookup_Lists!$D$143*100,0)),IF(Brand_Profile!$F$18="Male",MIN(100,ROUND(KOL_Database!$AC$25/Lookup_Lists!$D$143*100,0)),MAX(0,ROUND(100-ABS(KOL_Database!$AB$25-50)*2,0)))))</f>
      </c>
      <c r="Q86" s="47">
        <f>ROUND((IF(Brand_Profile!$F$19="",100,IF(KOL_Database!$AD$25=Brand_Profile!$F$19,100,Lookup_Lists!$D$151))*Lookup_Lists!$D$118+IF(OR(Brand_Profile!$F$20="",Brand_Profile!$F$20="Nasional"),100,IF(KOL_Database!$AE$25="",Lookup_Lists!$D$150,IF(KOL_Database!$AE$25=Brand_Profile!$F$20,100,IF(KOL_Database!$AD$25=Brand_Profile!$F$19,40,Lookup_Lists!$D$151))))*Lookup_Lists!$D$119+IF(OR(Brand_Profile!$F$21="",Brand_Profile!$F$21="Nasional"),100,IF(KOL_Database!$AF$25="",Lookup_Lists!$D$150,IF(KOL_Database!$AF$25=Brand_Profile!$F$21,100,IF(KOL_Database!$AE$25=Brand_Profile!$F$20,60,Lookup_Lists!$D$151))))*Lookup_Lists!$D$120)/(Lookup_Lists!$D$118+Lookup_Lists!$D$119+Lookup_Lists!$D$120),0)</f>
      </c>
      <c r="R86" s="47">
        <f>IF(Brand_Profile!$F$68=0,Lookup_Lists!$D$150,ROUND((IF(Brand_Profile!$F$63="",0,IF(ISNUMBER(SEARCH(Brand_Profile!$F$63,KOL_Database!$AG$25)),1,0))+IF(Brand_Profile!$F$64="",0,IF(ISNUMBER(SEARCH(Brand_Profile!$F$64,KOL_Database!$AG$25)),1,0))+IF(Brand_Profile!$F$65="",0,IF(ISNUMBER(SEARCH(Brand_Profile!$F$65,KOL_Database!$AG$25)),1,0))+IF(Brand_Profile!$F$66="",0,IF(ISNUMBER(SEARCH(Brand_Profile!$F$66,KOL_Database!$AG$25)),1,0))+IF(Brand_Profile!$F$67="",0,IF(ISNUMBER(SEARCH(Brand_Profile!$F$67,KOL_Database!$AG$25)),1,0)))/Brand_Profile!$F$68*100,0))</f>
      </c>
      <c r="S86" s="47">
        <f>ROUND((Matching_Engine!$O$86*Brand_Profile!$F$96+Matching_Engine!$P$86*Brand_Profile!$F$97+Matching_Engine!$Q$86*Brand_Profile!$F$98+Matching_Engine!$R$86*Brand_Profile!$F$99)/MAX(1,Brand_Profile!$F$96+Brand_Profile!$F$97+Brand_Profile!$F$98+Brand_Profile!$F$99),0)</f>
      </c>
      <c r="T86" s="47">
        <f>IF(Brand_Profile!$F$33="",Lookup_Lists!$D$150,Matching_Engine!$BD$86)</f>
      </c>
      <c r="U86" s="47">
        <f>IF(Brand_Profile!$F$34="",Lookup_Lists!$D$150,IF(Brand_Profile!$F$34=KOL_Database!$F$25,100,IF(Matching_Engine!$BE$86=KOL_Database!$E$25,75,IF(Matching_Engine!$BD$86&gt;=80,Lookup_Lists!$D$150,IF(Matching_Engine!$BD$86&gt;=60,35,Lookup_Lists!$D$151)))))</f>
      </c>
      <c r="V86" s="47">
        <f>IF(Brand_Profile!$F$86=0,Lookup_Lists!$D$150,ROUND((IF(Brand_Profile!$F$81="",0,IF(ISNUMBER(SEARCH(Brand_Profile!$F$81,Matching_Engine!$BG$86)),1,0))+IF(Brand_Profile!$F$82="",0,IF(ISNUMBER(SEARCH(Brand_Profile!$F$82,Matching_Engine!$BG$86)),1,0))+IF(Brand_Profile!$F$83="",0,IF(ISNUMBER(SEARCH(Brand_Profile!$F$83,Matching_Engine!$BG$86)),1,0))+IF(Brand_Profile!$F$84="",0,IF(ISNUMBER(SEARCH(Brand_Profile!$F$84,Matching_Engine!$BG$86)),1,0))+IF(Brand_Profile!$F$85="",0,IF(ISNUMBER(SEARCH(Brand_Profile!$F$85,Matching_Engine!$BG$86)),1,0)))/Brand_Profile!$F$86*100,0))</f>
      </c>
      <c r="W86" s="47">
        <f>IF(Brand_Profile!$F$39="",Lookup_Lists!$D$150,IFERROR(INDEX(Lookup_Lists!$B$237:$K$246,MATCH(Brand_Profile!$F$39,Lookup_Lists!$A$237:$A$246,0),MATCH(KOL_Database!$AJ$25,Lookup_Lists!$B$236:$K$236,0)),45))</f>
      </c>
      <c r="X86" s="47">
        <f>ROUND((Matching_Engine!$T$86*Lookup_Lists!$D$121+Matching_Engine!$U$86*Lookup_Lists!$D$122+Matching_Engine!$V$86*Lookup_Lists!$D$123+Matching_Engine!$W$86*Lookup_Lists!$D$124)/(Lookup_Lists!$D$121+Lookup_Lists!$D$122+Lookup_Lists!$D$123+Lookup_Lists!$D$124),0)</f>
      </c>
      <c r="Y86" s="47">
        <f>MIN(100,MAX(IFERROR(INDEX(Lookup_Lists!$B$202:$M$211,MATCH(Brand_Profile!$F$25,Lookup_Lists!$A$202:$A$211,0),MATCH(KOL_Database!$AK$25,Lookup_Lists!$B$201:$M$201,0)),40),IF(KOL_Database!$AK$25=Brand_Profile!$F$41,95,0)))</f>
      </c>
      <c r="Z86" s="47">
        <f>IFERROR(INDEX(Lookup_Lists!$B$215:$K$222,MATCH(Brand_Profile!$F$27,Lookup_Lists!$A$215:$A$222,0),MATCH(KOL_Database!$AJ$25,Lookup_Lists!$B$214:$K$214,0)),45)</f>
      </c>
      <c r="AA86" s="47">
        <f>ROUND((IF(Brand_Profile!$F$80=0,Lookup_Lists!$D$150,ROUND((IF(Brand_Profile!$F$75="",0,IF(ISNUMBER(SEARCH(Brand_Profile!$F$75,KOL_Database!$AL$25)),1,0))+IF(Brand_Profile!$F$76="",0,IF(ISNUMBER(SEARCH(Brand_Profile!$F$76,KOL_Database!$AL$25)),1,0))+IF(Brand_Profile!$F$77="",0,IF(ISNUMBER(SEARCH(Brand_Profile!$F$77,KOL_Database!$AL$25)),1,0))+IF(Brand_Profile!$F$78="",0,IF(ISNUMBER(SEARCH(Brand_Profile!$F$78,KOL_Database!$AL$25)),1,0))+IF(Brand_Profile!$F$79="",0,IF(ISNUMBER(SEARCH(Brand_Profile!$F$79,KOL_Database!$AL$25)),1,0)))/Brand_Profile!$F$80*100,0))+IF(Brand_Profile!$F$92=0,Lookup_Lists!$D$150,ROUND((IF(Brand_Profile!$F$87="",0,IF(ISNUMBER(SEARCH(Brand_Profile!$F$87,KOL_Database!$AL$25)),1,0))+IF(Brand_Profile!$F$88="",0,IF(ISNUMBER(SEARCH(Brand_Profile!$F$88,KOL_Database!$AL$25)),1,0))+IF(Brand_Profile!$F$89="",0,IF(ISNUMBER(SEARCH(Brand_Profile!$F$89,KOL_Database!$AL$25)),1,0))+IF(Brand_Profile!$F$90="",0,IF(ISNUMBER(SEARCH(Brand_Profile!$F$90,KOL_Database!$AL$25)),1,0))+IF(Brand_Profile!$F$91="",0,IF(ISNUMBER(SEARCH(Brand_Profile!$F$91,KOL_Database!$AL$25)),1,0)))/Brand_Profile!$F$92*100,0)))/2,0)</f>
      </c>
      <c r="AB86" s="47">
        <f>IFERROR(INDEX(Lookup_Lists!$B$226:$K$233,MATCH(Brand_Profile!$F$30,Lookup_Lists!$A$226:$A$233,0),MATCH(KOL_Database!$AJ$25,Lookup_Lists!$B$225:$K$225,0)),45)</f>
      </c>
      <c r="AC86" s="47">
        <f>ROUND((Matching_Engine!$Y$86*Lookup_Lists!$D$125+Matching_Engine!$Z$86*Lookup_Lists!$D$126+Matching_Engine!$AA$86*Lookup_Lists!$D$127+Matching_Engine!$AB$86*Lookup_Lists!$D$128)/(Lookup_Lists!$D$125+Lookup_Lists!$D$126+Lookup_Lists!$D$127+Lookup_Lists!$D$128),0)</f>
      </c>
      <c r="AD86" s="47">
        <f>IF(KOL_Database!$K$25="",0,MIN(100,ROUND(KOL_Database!$K$25/Lookup_Lists!$D$141*100,0)))</f>
      </c>
      <c r="AE86" s="47">
        <f>IF(KOL_Database!$R$25="",0,MIN(100,MAX(0,KOL_Database!$R$25)))</f>
      </c>
      <c r="AF86" s="47">
        <f>IF(KOL_Database!$P$25="",0,MIN(100,MAX(0,KOL_Database!$P$25)))</f>
      </c>
      <c r="AG86" s="47">
        <f>IF(KOL_Database!$Q$25="",0,MIN(100,MAX(0,KOL_Database!$Q$25)))</f>
      </c>
      <c r="AH86" s="47">
        <f>IF(OR(KOL_Database!$J$25="",KOL_Database!$J$25=0,KOL_Database!$L$25=""),0,MIN(100,ROUND(KOL_Database!$L$25/KOL_Database!$J$25/Lookup_Lists!$D$144*100,0)))</f>
      </c>
      <c r="AI86" s="47">
        <f>IF(KOL_Database!$N$25="",0,MIN(100,MAX(0,ROUND((KOL_Database!$N$25+2)/(Lookup_Lists!$D$145+2)*100,0))))</f>
      </c>
      <c r="AJ86" s="47">
        <f>ROUND((Matching_Engine!$AD$86*Lookup_Lists!$D$129+Matching_Engine!$AE$86*Lookup_Lists!$D$130+Matching_Engine!$AF$86*Lookup_Lists!$D$131+Matching_Engine!$AG$86*Lookup_Lists!$D$132+Matching_Engine!$AH$86*Lookup_Lists!$D$133+Matching_Engine!$AI$86*Lookup_Lists!$D$134)/(Lookup_Lists!$D$129+Lookup_Lists!$D$130+Lookup_Lists!$D$131+Lookup_Lists!$D$132+Lookup_Lists!$D$133+Lookup_Lists!$D$134),0)</f>
      </c>
      <c r="AK86" s="47">
        <f>IF(KOL_Database!$AT$25="",0,MIN(100,MAX(0,KOL_Database!$AT$25)))</f>
      </c>
      <c r="AL86" s="47">
        <f>IF(KOL_Database!$AU$25="",0,KOL_Database!$AU$25)</f>
      </c>
      <c r="AM86" s="44">
        <f>IF(KOL_Database!$AV$25="","None",KOL_Database!$AV$25)</f>
      </c>
      <c r="AN86" s="48">
        <f>IF(Matching_Engine!$AM$86="High",Lookup_Lists!$D$137,IF(Matching_Engine!$AM$86="Medium",Lookup_Lists!$D$138,IF(Matching_Engine!$AM$86="Low",Lookup_Lists!$D$139,Lookup_Lists!$D$140)))</f>
      </c>
      <c r="AO86" s="47">
        <f>ROUND(MIN(100,MAX(0,(Matching_Engine!$AK$86*Lookup_Lists!$D$135+(100-Matching_Engine!$AL$86)*Lookup_Lists!$D$136)/(Lookup_Lists!$D$135+Lookup_Lists!$D$136)*Matching_Engine!$AN$86)),0)</f>
      </c>
      <c r="AP86" s="49">
        <f>ROUND((Matching_Engine!$N$86*Lookup_Lists!$D$104+Matching_Engine!$S$86*Lookup_Lists!$D$105+Matching_Engine!$X$86*Lookup_Lists!$D$106+Matching_Engine!$AC$86*Lookup_Lists!$D$107+Matching_Engine!$AJ$86*Lookup_Lists!$D$108+Matching_Engine!$AO$86*Lookup_Lists!$D$109)/MAX(1,(Lookup_Lists!$D$104+Lookup_Lists!$D$105+Lookup_Lists!$D$106+Lookup_Lists!$D$107+Lookup_Lists!$D$108+Lookup_Lists!$D$109)),0)</f>
      </c>
      <c r="AQ86" s="44">
        <f>IF(Matching_Engine!$AP$86&gt;=Lookup_Lists!$D$152,"Excellent Match",IF(Matching_Engine!$AP$86&gt;=Lookup_Lists!$D$153,"Strong Match",IF(Matching_Engine!$AP$86&gt;=Lookup_Lists!$D$154,"Good Match",IF(Matching_Engine!$AP$86&gt;=Lookup_Lists!$D$155,"Moderate Match","Low Match"))))</f>
      </c>
      <c r="AR86" s="47">
        <f>KOL_Database!$BE$25</f>
      </c>
      <c r="AS86" s="44">
        <f>IF(Matching_Engine!$AR$86&gt;=Lookup_Lists!$D$159,"High",IF(Matching_Engine!$AR$86&gt;=Lookup_Lists!$D$160,"Medium","Limited Data"))</f>
      </c>
      <c r="AT86" s="47">
        <f>ROUND((Matching_Engine!$N$86+Matching_Engine!$X$86+Matching_Engine!$AC$86)/3,0)</f>
      </c>
      <c r="AU86" s="47">
        <f>ROUND(((100-Matching_Engine!$AL$86)*Lookup_Lists!$D$162+IF(KOL_Database!$BD$25="",Lookup_Lists!$D$150,KOL_Database!$BD$25)*Lookup_Lists!$D$163+Matching_Engine!$AI$86*Lookup_Lists!$D$164+Matching_Engine!$AD$86*Lookup_Lists!$D$165)/(Lookup_Lists!$D$162+Lookup_Lists!$D$163+Lookup_Lists!$D$164+Lookup_Lists!$D$165),0)</f>
      </c>
      <c r="AV86" s="44">
        <f>IF(Matching_Engine!$AW$86="","PASS","EXCLUDED")</f>
      </c>
      <c r="AW86" s="44">
        <f>IF(ISERROR(SEARCH(KOL_Database!$D$25,Brand_Profile!$F$32)),"Platform not in Preferred Platform",IF(AND(Brand_Profile!$F$36&gt;0,KOL_Database!$J$25&lt;Brand_Profile!$F$36),"Followers below Preferred Follower Range",IF(AND(Brand_Profile!$F$37&gt;0,KOL_Database!$J$25&gt;Brand_Profile!$F$37),"Followers above Preferred Follower Range",IF(AND(Brand_Profile!$F$38&gt;0,IF(KOL_Database!$K$25="",0,KOL_Database!$K$25)&lt;Brand_Profile!$F$38),"Engagement Rate below Minimum Engagement Rate",IF(ISERROR(SEARCH(KOL_Database!$G$25,Brand_Profile!$F$35)),"Tier not in Preferred Tier",IF(AND(Brand_Profile!$F$43&gt;0,Matching_Engine!$AE$86&lt;Brand_Profile!$F$43),"Audience Quality below Minimum Audience Quality",IF(AND(Brand_Profile!$F$44&gt;0,Matching_Engine!$AK$86&lt;Brand_Profile!$F$44),"Brand Safety below Minimum Brand Safety",IF(AND(Brand_Profile!$F$47="Yes",KOL_Database!$AD$25&lt;&gt;Brand_Profile!$F$19),"Audience Country does not match Target Country",IF(AND(Brand_Profile!$F$46="Yes",KOL_Database!$E$25&lt;&gt;Brand_Profile!$F$33),"Category is not the Preferred Category",IF(AND(Brand_Profile!$F$48&gt;0,Matching_Engine!$AL$86&gt;Brand_Profile!$F$48),"Competitor Saturation above Max Competitor Saturation",IF(AND(Brand_Profile!$F$50="Yes",KOL_Database!$AW$25="Yes"),"Already Selected",IF(AND(Brand_Profile!$F$51="Yes",KOL_Database!$AX$25="Yes"),"Already in Cart",IF(AND(Brand_Profile!$F$52="Yes",KOL_Database!$AY$25="Yes"),"Existing Partner",IF(AND(Brand_Profile!$F$53="Yes",KOL_Database!$AZ$25="Yes"),"Excluded Creator",IF(AND(Brand_Profile!$F$49&gt;0,Matching_Engine!$AP$86&lt;Brand_Profile!$F$49),"Brand Match below Minimum Brand Match","")))))))))))))))</f>
      </c>
      <c r="AX86" s="44">
        <f>IF(Matching_Engine!$AV$86="EXCLUDED","Excluded",IF(Matching_Engine!$AP$86&gt;=Lookup_Lists!$D$156,"Highly Recommended",IF(Matching_Engine!$AP$86&gt;=Lookup_Lists!$D$157,"Recommended",IF(Matching_Engine!$AP$86&gt;=Lookup_Lists!$D$158,"Consider","Low Priority"))))</f>
      </c>
      <c r="AY86" s="47">
        <f>IF(Matching_Engine!$AV$86="PASS",Matching_Engine!$AP$86,"")</f>
      </c>
      <c r="AZ86" s="44">
        <f>Matching_Engine!$A$86&amp;"|"&amp;Matching_Engine!$C$86</f>
      </c>
      <c r="BA86" s="44">
        <f>IFERROR(INDEX(Lookup_Lists!$B$51:$B$92,MATCH(Brand_Profile!$F$12,Lookup_Lists!$A$51:$A$92,0)),"")</f>
      </c>
      <c r="BB86" s="44">
        <f>IFERROR(INDEX(Lookup_Lists!$B$51:$B$92,MATCH(KOL_Database!$F$25,Lookup_Lists!$A$51:$A$92,0)),"")</f>
      </c>
      <c r="BC86" s="47">
        <f>IFERROR(INDEX(Lookup_Lists!$B$185:$O$198,MATCH(Matching_Engine!$BA$86,Lookup_Lists!$A$185:$A$198,0),MATCH(KOL_Database!$E$25,Lookup_Lists!$B$184:$O$184,0)),Lookup_Lists!$D$151)</f>
      </c>
      <c r="BD86" s="47">
        <f>IFERROR(INDEX(Lookup_Lists!$B$185:$O$198,MATCH(Brand_Profile!$F$33,Lookup_Lists!$A$185:$A$198,0),MATCH(KOL_Database!$E$25,Lookup_Lists!$B$184:$O$184,0)),Lookup_Lists!$D$151)</f>
      </c>
      <c r="BE86" s="44">
        <f>IFERROR(INDEX(Lookup_Lists!$B$51:$B$92,MATCH(Brand_Profile!$F$34,Lookup_Lists!$A$51:$A$92,0)),"")</f>
      </c>
      <c r="BF86" s="44">
        <f>KOL_Database!$AI$25&amp;", "&amp;KOL_Database!$AG$25&amp;", "&amp;KOL_Database!$F$25&amp;", "&amp;KOL_Database!$E$25</f>
      </c>
      <c r="BG86" s="44">
        <f>KOL_Database!$AI$25&amp;", "&amp;KOL_Database!$AG$25</f>
      </c>
    </row>
    <row r="87" spans="1:59" x14ac:dyDescent="0.25">
      <c r="A87" s="43" t="s">
        <v>77</v>
      </c>
      <c r="B87" s="44">
        <f>Brand_Profile!$F$9</f>
      </c>
      <c r="C87" s="44">
        <f>KOL_Database!$A$26</f>
      </c>
      <c r="D87" s="44">
        <f>KOL_Database!$B$26</f>
      </c>
      <c r="E87" s="44">
        <f>KOL_Database!$C$26</f>
      </c>
      <c r="F87" s="44">
        <f>KOL_Database!$D$26</f>
      </c>
      <c r="G87" s="44">
        <f>KOL_Database!$E$26</f>
      </c>
      <c r="H87" s="44">
        <f>KOL_Database!$G$26</f>
      </c>
      <c r="I87" s="45">
        <f>KOL_Database!$J$26</f>
      </c>
      <c r="J87" s="46">
        <f>KOL_Database!$K$26</f>
      </c>
      <c r="K87" s="47">
        <f>IFERROR(INDEX(Lookup_Lists!$B$170:$O$181,MATCH(Brand_Profile!$F$10,Lookup_Lists!$A$170:$A$181,0),MATCH(KOL_Database!$E$26,Lookup_Lists!$B$169:$O$169,0)),Lookup_Lists!$D$151)</f>
      </c>
      <c r="L87" s="47">
        <f>IF(KOL_Database!$F$26="",Matching_Engine!$BC$87,IF(Brand_Profile!$F$12=KOL_Database!$F$26,100,IF(Matching_Engine!$BA$87=KOL_Database!$E$26,80,IF(Matching_Engine!$BC$87&gt;=80,60,IF(Matching_Engine!$BC$87&gt;=60,40,Lookup_Lists!$D$151)))))</f>
      </c>
      <c r="M87" s="47">
        <f>ROUND((IF(Brand_Profile!$F$62=0,Lookup_Lists!$D$150,ROUND((IF(Brand_Profile!$F$57="",0,IF(ISNUMBER(SEARCH(Brand_Profile!$F$57,Matching_Engine!$BF$87)),1,0))+IF(Brand_Profile!$F$58="",0,IF(ISNUMBER(SEARCH(Brand_Profile!$F$58,Matching_Engine!$BF$87)),1,0))+IF(Brand_Profile!$F$59="",0,IF(ISNUMBER(SEARCH(Brand_Profile!$F$59,Matching_Engine!$BF$87)),1,0))+IF(Brand_Profile!$F$60="",0,IF(ISNUMBER(SEARCH(Brand_Profile!$F$60,Matching_Engine!$BF$87)),1,0))+IF(Brand_Profile!$F$61="",0,IF(ISNUMBER(SEARCH(Brand_Profile!$F$61,Matching_Engine!$BF$87)),1,0)))/Brand_Profile!$F$62*100,0))+IF(Brand_Profile!$F$74=0,Lookup_Lists!$D$150,ROUND((IF(Brand_Profile!$F$69="",0,IF(ISNUMBER(SEARCH(Brand_Profile!$F$69,Matching_Engine!$BF$87)),1,0))+IF(Brand_Profile!$F$70="",0,IF(ISNUMBER(SEARCH(Brand_Profile!$F$70,Matching_Engine!$BF$87)),1,0))+IF(Brand_Profile!$F$71="",0,IF(ISNUMBER(SEARCH(Brand_Profile!$F$71,Matching_Engine!$BF$87)),1,0))+IF(Brand_Profile!$F$72="",0,IF(ISNUMBER(SEARCH(Brand_Profile!$F$72,Matching_Engine!$BF$87)),1,0))+IF(Brand_Profile!$F$73="",0,IF(ISNUMBER(SEARCH(Brand_Profile!$F$73,Matching_Engine!$BF$87)),1,0)))/Brand_Profile!$F$74*100,0)))/2,0)</f>
      </c>
      <c r="N87" s="47">
        <f>ROUND((Matching_Engine!$K$87*Lookup_Lists!$D$110+Matching_Engine!$L$87*Lookup_Lists!$D$111+Matching_Engine!$M$87*Lookup_Lists!$D$112)/(Lookup_Lists!$D$110+Lookup_Lists!$D$111+Lookup_Lists!$D$112),0)</f>
      </c>
      <c r="O87" s="47">
        <f>IF(Brand_Profile!$F$16="",Lookup_Lists!$D$150,MIN(100,ROUND((IFERROR(INDEX(KOL_Database!$W$26:KOL_Database!$AA$26,1,MATCH(Brand_Profile!$F$16,Lookup_Lists!$F$6:$F$10,0)),0)+0.5*IFERROR(INDEX(KOL_Database!$W$26:KOL_Database!$AA$26,1,MATCH(Brand_Profile!$F$17,Lookup_Lists!$F$6:$F$10,0)),0))/Lookup_Lists!$D$142*100,0)))</f>
      </c>
      <c r="P87" s="47">
        <f>IF(OR(Brand_Profile!$F$18="",Brand_Profile!$F$18="Any"),100,IF(Brand_Profile!$F$18="Female",MIN(100,ROUND(KOL_Database!$AB$26/Lookup_Lists!$D$143*100,0)),IF(Brand_Profile!$F$18="Male",MIN(100,ROUND(KOL_Database!$AC$26/Lookup_Lists!$D$143*100,0)),MAX(0,ROUND(100-ABS(KOL_Database!$AB$26-50)*2,0)))))</f>
      </c>
      <c r="Q87" s="47">
        <f>ROUND((IF(Brand_Profile!$F$19="",100,IF(KOL_Database!$AD$26=Brand_Profile!$F$19,100,Lookup_Lists!$D$151))*Lookup_Lists!$D$118+IF(OR(Brand_Profile!$F$20="",Brand_Profile!$F$20="Nasional"),100,IF(KOL_Database!$AE$26="",Lookup_Lists!$D$150,IF(KOL_Database!$AE$26=Brand_Profile!$F$20,100,IF(KOL_Database!$AD$26=Brand_Profile!$F$19,40,Lookup_Lists!$D$151))))*Lookup_Lists!$D$119+IF(OR(Brand_Profile!$F$21="",Brand_Profile!$F$21="Nasional"),100,IF(KOL_Database!$AF$26="",Lookup_Lists!$D$150,IF(KOL_Database!$AF$26=Brand_Profile!$F$21,100,IF(KOL_Database!$AE$26=Brand_Profile!$F$20,60,Lookup_Lists!$D$151))))*Lookup_Lists!$D$120)/(Lookup_Lists!$D$118+Lookup_Lists!$D$119+Lookup_Lists!$D$120),0)</f>
      </c>
      <c r="R87" s="47">
        <f>IF(Brand_Profile!$F$68=0,Lookup_Lists!$D$150,ROUND((IF(Brand_Profile!$F$63="",0,IF(ISNUMBER(SEARCH(Brand_Profile!$F$63,KOL_Database!$AG$26)),1,0))+IF(Brand_Profile!$F$64="",0,IF(ISNUMBER(SEARCH(Brand_Profile!$F$64,KOL_Database!$AG$26)),1,0))+IF(Brand_Profile!$F$65="",0,IF(ISNUMBER(SEARCH(Brand_Profile!$F$65,KOL_Database!$AG$26)),1,0))+IF(Brand_Profile!$F$66="",0,IF(ISNUMBER(SEARCH(Brand_Profile!$F$66,KOL_Database!$AG$26)),1,0))+IF(Brand_Profile!$F$67="",0,IF(ISNUMBER(SEARCH(Brand_Profile!$F$67,KOL_Database!$AG$26)),1,0)))/Brand_Profile!$F$68*100,0))</f>
      </c>
      <c r="S87" s="47">
        <f>ROUND((Matching_Engine!$O$87*Brand_Profile!$F$96+Matching_Engine!$P$87*Brand_Profile!$F$97+Matching_Engine!$Q$87*Brand_Profile!$F$98+Matching_Engine!$R$87*Brand_Profile!$F$99)/MAX(1,Brand_Profile!$F$96+Brand_Profile!$F$97+Brand_Profile!$F$98+Brand_Profile!$F$99),0)</f>
      </c>
      <c r="T87" s="47">
        <f>IF(Brand_Profile!$F$33="",Lookup_Lists!$D$150,Matching_Engine!$BD$87)</f>
      </c>
      <c r="U87" s="47">
        <f>IF(Brand_Profile!$F$34="",Lookup_Lists!$D$150,IF(Brand_Profile!$F$34=KOL_Database!$F$26,100,IF(Matching_Engine!$BE$87=KOL_Database!$E$26,75,IF(Matching_Engine!$BD$87&gt;=80,Lookup_Lists!$D$150,IF(Matching_Engine!$BD$87&gt;=60,35,Lookup_Lists!$D$151)))))</f>
      </c>
      <c r="V87" s="47">
        <f>IF(Brand_Profile!$F$86=0,Lookup_Lists!$D$150,ROUND((IF(Brand_Profile!$F$81="",0,IF(ISNUMBER(SEARCH(Brand_Profile!$F$81,Matching_Engine!$BG$87)),1,0))+IF(Brand_Profile!$F$82="",0,IF(ISNUMBER(SEARCH(Brand_Profile!$F$82,Matching_Engine!$BG$87)),1,0))+IF(Brand_Profile!$F$83="",0,IF(ISNUMBER(SEARCH(Brand_Profile!$F$83,Matching_Engine!$BG$87)),1,0))+IF(Brand_Profile!$F$84="",0,IF(ISNUMBER(SEARCH(Brand_Profile!$F$84,Matching_Engine!$BG$87)),1,0))+IF(Brand_Profile!$F$85="",0,IF(ISNUMBER(SEARCH(Brand_Profile!$F$85,Matching_Engine!$BG$87)),1,0)))/Brand_Profile!$F$86*100,0))</f>
      </c>
      <c r="W87" s="47">
        <f>IF(Brand_Profile!$F$39="",Lookup_Lists!$D$150,IFERROR(INDEX(Lookup_Lists!$B$237:$K$246,MATCH(Brand_Profile!$F$39,Lookup_Lists!$A$237:$A$246,0),MATCH(KOL_Database!$AJ$26,Lookup_Lists!$B$236:$K$236,0)),45))</f>
      </c>
      <c r="X87" s="47">
        <f>ROUND((Matching_Engine!$T$87*Lookup_Lists!$D$121+Matching_Engine!$U$87*Lookup_Lists!$D$122+Matching_Engine!$V$87*Lookup_Lists!$D$123+Matching_Engine!$W$87*Lookup_Lists!$D$124)/(Lookup_Lists!$D$121+Lookup_Lists!$D$122+Lookup_Lists!$D$123+Lookup_Lists!$D$124),0)</f>
      </c>
      <c r="Y87" s="47">
        <f>MIN(100,MAX(IFERROR(INDEX(Lookup_Lists!$B$202:$M$211,MATCH(Brand_Profile!$F$25,Lookup_Lists!$A$202:$A$211,0),MATCH(KOL_Database!$AK$26,Lookup_Lists!$B$201:$M$201,0)),40),IF(KOL_Database!$AK$26=Brand_Profile!$F$41,95,0)))</f>
      </c>
      <c r="Z87" s="47">
        <f>IFERROR(INDEX(Lookup_Lists!$B$215:$K$222,MATCH(Brand_Profile!$F$27,Lookup_Lists!$A$215:$A$222,0),MATCH(KOL_Database!$AJ$26,Lookup_Lists!$B$214:$K$214,0)),45)</f>
      </c>
      <c r="AA87" s="47">
        <f>ROUND((IF(Brand_Profile!$F$80=0,Lookup_Lists!$D$150,ROUND((IF(Brand_Profile!$F$75="",0,IF(ISNUMBER(SEARCH(Brand_Profile!$F$75,KOL_Database!$AL$26)),1,0))+IF(Brand_Profile!$F$76="",0,IF(ISNUMBER(SEARCH(Brand_Profile!$F$76,KOL_Database!$AL$26)),1,0))+IF(Brand_Profile!$F$77="",0,IF(ISNUMBER(SEARCH(Brand_Profile!$F$77,KOL_Database!$AL$26)),1,0))+IF(Brand_Profile!$F$78="",0,IF(ISNUMBER(SEARCH(Brand_Profile!$F$78,KOL_Database!$AL$26)),1,0))+IF(Brand_Profile!$F$79="",0,IF(ISNUMBER(SEARCH(Brand_Profile!$F$79,KOL_Database!$AL$26)),1,0)))/Brand_Profile!$F$80*100,0))+IF(Brand_Profile!$F$92=0,Lookup_Lists!$D$150,ROUND((IF(Brand_Profile!$F$87="",0,IF(ISNUMBER(SEARCH(Brand_Profile!$F$87,KOL_Database!$AL$26)),1,0))+IF(Brand_Profile!$F$88="",0,IF(ISNUMBER(SEARCH(Brand_Profile!$F$88,KOL_Database!$AL$26)),1,0))+IF(Brand_Profile!$F$89="",0,IF(ISNUMBER(SEARCH(Brand_Profile!$F$89,KOL_Database!$AL$26)),1,0))+IF(Brand_Profile!$F$90="",0,IF(ISNUMBER(SEARCH(Brand_Profile!$F$90,KOL_Database!$AL$26)),1,0))+IF(Brand_Profile!$F$91="",0,IF(ISNUMBER(SEARCH(Brand_Profile!$F$91,KOL_Database!$AL$26)),1,0)))/Brand_Profile!$F$92*100,0)))/2,0)</f>
      </c>
      <c r="AB87" s="47">
        <f>IFERROR(INDEX(Lookup_Lists!$B$226:$K$233,MATCH(Brand_Profile!$F$30,Lookup_Lists!$A$226:$A$233,0),MATCH(KOL_Database!$AJ$26,Lookup_Lists!$B$225:$K$225,0)),45)</f>
      </c>
      <c r="AC87" s="47">
        <f>ROUND((Matching_Engine!$Y$87*Lookup_Lists!$D$125+Matching_Engine!$Z$87*Lookup_Lists!$D$126+Matching_Engine!$AA$87*Lookup_Lists!$D$127+Matching_Engine!$AB$87*Lookup_Lists!$D$128)/(Lookup_Lists!$D$125+Lookup_Lists!$D$126+Lookup_Lists!$D$127+Lookup_Lists!$D$128),0)</f>
      </c>
      <c r="AD87" s="47">
        <f>IF(KOL_Database!$K$26="",0,MIN(100,ROUND(KOL_Database!$K$26/Lookup_Lists!$D$141*100,0)))</f>
      </c>
      <c r="AE87" s="47">
        <f>IF(KOL_Database!$R$26="",0,MIN(100,MAX(0,KOL_Database!$R$26)))</f>
      </c>
      <c r="AF87" s="47">
        <f>IF(KOL_Database!$P$26="",0,MIN(100,MAX(0,KOL_Database!$P$26)))</f>
      </c>
      <c r="AG87" s="47">
        <f>IF(KOL_Database!$Q$26="",0,MIN(100,MAX(0,KOL_Database!$Q$26)))</f>
      </c>
      <c r="AH87" s="47">
        <f>IF(OR(KOL_Database!$J$26="",KOL_Database!$J$26=0,KOL_Database!$L$26=""),0,MIN(100,ROUND(KOL_Database!$L$26/KOL_Database!$J$26/Lookup_Lists!$D$144*100,0)))</f>
      </c>
      <c r="AI87" s="47">
        <f>IF(KOL_Database!$N$26="",0,MIN(100,MAX(0,ROUND((KOL_Database!$N$26+2)/(Lookup_Lists!$D$145+2)*100,0))))</f>
      </c>
      <c r="AJ87" s="47">
        <f>ROUND((Matching_Engine!$AD$87*Lookup_Lists!$D$129+Matching_Engine!$AE$87*Lookup_Lists!$D$130+Matching_Engine!$AF$87*Lookup_Lists!$D$131+Matching_Engine!$AG$87*Lookup_Lists!$D$132+Matching_Engine!$AH$87*Lookup_Lists!$D$133+Matching_Engine!$AI$87*Lookup_Lists!$D$134)/(Lookup_Lists!$D$129+Lookup_Lists!$D$130+Lookup_Lists!$D$131+Lookup_Lists!$D$132+Lookup_Lists!$D$133+Lookup_Lists!$D$134),0)</f>
      </c>
      <c r="AK87" s="47">
        <f>IF(KOL_Database!$AT$26="",0,MIN(100,MAX(0,KOL_Database!$AT$26)))</f>
      </c>
      <c r="AL87" s="47">
        <f>IF(KOL_Database!$AU$26="",0,KOL_Database!$AU$26)</f>
      </c>
      <c r="AM87" s="44">
        <f>IF(KOL_Database!$AV$26="","None",KOL_Database!$AV$26)</f>
      </c>
      <c r="AN87" s="48">
        <f>IF(Matching_Engine!$AM$87="High",Lookup_Lists!$D$137,IF(Matching_Engine!$AM$87="Medium",Lookup_Lists!$D$138,IF(Matching_Engine!$AM$87="Low",Lookup_Lists!$D$139,Lookup_Lists!$D$140)))</f>
      </c>
      <c r="AO87" s="47">
        <f>ROUND(MIN(100,MAX(0,(Matching_Engine!$AK$87*Lookup_Lists!$D$135+(100-Matching_Engine!$AL$87)*Lookup_Lists!$D$136)/(Lookup_Lists!$D$135+Lookup_Lists!$D$136)*Matching_Engine!$AN$87)),0)</f>
      </c>
      <c r="AP87" s="49">
        <f>ROUND((Matching_Engine!$N$87*Lookup_Lists!$D$104+Matching_Engine!$S$87*Lookup_Lists!$D$105+Matching_Engine!$X$87*Lookup_Lists!$D$106+Matching_Engine!$AC$87*Lookup_Lists!$D$107+Matching_Engine!$AJ$87*Lookup_Lists!$D$108+Matching_Engine!$AO$87*Lookup_Lists!$D$109)/MAX(1,(Lookup_Lists!$D$104+Lookup_Lists!$D$105+Lookup_Lists!$D$106+Lookup_Lists!$D$107+Lookup_Lists!$D$108+Lookup_Lists!$D$109)),0)</f>
      </c>
      <c r="AQ87" s="44">
        <f>IF(Matching_Engine!$AP$87&gt;=Lookup_Lists!$D$152,"Excellent Match",IF(Matching_Engine!$AP$87&gt;=Lookup_Lists!$D$153,"Strong Match",IF(Matching_Engine!$AP$87&gt;=Lookup_Lists!$D$154,"Good Match",IF(Matching_Engine!$AP$87&gt;=Lookup_Lists!$D$155,"Moderate Match","Low Match"))))</f>
      </c>
      <c r="AR87" s="47">
        <f>KOL_Database!$BE$26</f>
      </c>
      <c r="AS87" s="44">
        <f>IF(Matching_Engine!$AR$87&gt;=Lookup_Lists!$D$159,"High",IF(Matching_Engine!$AR$87&gt;=Lookup_Lists!$D$160,"Medium","Limited Data"))</f>
      </c>
      <c r="AT87" s="47">
        <f>ROUND((Matching_Engine!$N$87+Matching_Engine!$X$87+Matching_Engine!$AC$87)/3,0)</f>
      </c>
      <c r="AU87" s="47">
        <f>ROUND(((100-Matching_Engine!$AL$87)*Lookup_Lists!$D$162+IF(KOL_Database!$BD$26="",Lookup_Lists!$D$150,KOL_Database!$BD$26)*Lookup_Lists!$D$163+Matching_Engine!$AI$87*Lookup_Lists!$D$164+Matching_Engine!$AD$87*Lookup_Lists!$D$165)/(Lookup_Lists!$D$162+Lookup_Lists!$D$163+Lookup_Lists!$D$164+Lookup_Lists!$D$165),0)</f>
      </c>
      <c r="AV87" s="44">
        <f>IF(Matching_Engine!$AW$87="","PASS","EXCLUDED")</f>
      </c>
      <c r="AW87" s="44">
        <f>IF(ISERROR(SEARCH(KOL_Database!$D$26,Brand_Profile!$F$32)),"Platform not in Preferred Platform",IF(AND(Brand_Profile!$F$36&gt;0,KOL_Database!$J$26&lt;Brand_Profile!$F$36),"Followers below Preferred Follower Range",IF(AND(Brand_Profile!$F$37&gt;0,KOL_Database!$J$26&gt;Brand_Profile!$F$37),"Followers above Preferred Follower Range",IF(AND(Brand_Profile!$F$38&gt;0,IF(KOL_Database!$K$26="",0,KOL_Database!$K$26)&lt;Brand_Profile!$F$38),"Engagement Rate below Minimum Engagement Rate",IF(ISERROR(SEARCH(KOL_Database!$G$26,Brand_Profile!$F$35)),"Tier not in Preferred Tier",IF(AND(Brand_Profile!$F$43&gt;0,Matching_Engine!$AE$87&lt;Brand_Profile!$F$43),"Audience Quality below Minimum Audience Quality",IF(AND(Brand_Profile!$F$44&gt;0,Matching_Engine!$AK$87&lt;Brand_Profile!$F$44),"Brand Safety below Minimum Brand Safety",IF(AND(Brand_Profile!$F$47="Yes",KOL_Database!$AD$26&lt;&gt;Brand_Profile!$F$19),"Audience Country does not match Target Country",IF(AND(Brand_Profile!$F$46="Yes",KOL_Database!$E$26&lt;&gt;Brand_Profile!$F$33),"Category is not the Preferred Category",IF(AND(Brand_Profile!$F$48&gt;0,Matching_Engine!$AL$87&gt;Brand_Profile!$F$48),"Competitor Saturation above Max Competitor Saturation",IF(AND(Brand_Profile!$F$50="Yes",KOL_Database!$AW$26="Yes"),"Already Selected",IF(AND(Brand_Profile!$F$51="Yes",KOL_Database!$AX$26="Yes"),"Already in Cart",IF(AND(Brand_Profile!$F$52="Yes",KOL_Database!$AY$26="Yes"),"Existing Partner",IF(AND(Brand_Profile!$F$53="Yes",KOL_Database!$AZ$26="Yes"),"Excluded Creator",IF(AND(Brand_Profile!$F$49&gt;0,Matching_Engine!$AP$87&lt;Brand_Profile!$F$49),"Brand Match below Minimum Brand Match","")))))))))))))))</f>
      </c>
      <c r="AX87" s="44">
        <f>IF(Matching_Engine!$AV$87="EXCLUDED","Excluded",IF(Matching_Engine!$AP$87&gt;=Lookup_Lists!$D$156,"Highly Recommended",IF(Matching_Engine!$AP$87&gt;=Lookup_Lists!$D$157,"Recommended",IF(Matching_Engine!$AP$87&gt;=Lookup_Lists!$D$158,"Consider","Low Priority"))))</f>
      </c>
      <c r="AY87" s="47">
        <f>IF(Matching_Engine!$AV$87="PASS",Matching_Engine!$AP$87,"")</f>
      </c>
      <c r="AZ87" s="44">
        <f>Matching_Engine!$A$87&amp;"|"&amp;Matching_Engine!$C$87</f>
      </c>
      <c r="BA87" s="44">
        <f>IFERROR(INDEX(Lookup_Lists!$B$51:$B$92,MATCH(Brand_Profile!$F$12,Lookup_Lists!$A$51:$A$92,0)),"")</f>
      </c>
      <c r="BB87" s="44">
        <f>IFERROR(INDEX(Lookup_Lists!$B$51:$B$92,MATCH(KOL_Database!$F$26,Lookup_Lists!$A$51:$A$92,0)),"")</f>
      </c>
      <c r="BC87" s="47">
        <f>IFERROR(INDEX(Lookup_Lists!$B$185:$O$198,MATCH(Matching_Engine!$BA$87,Lookup_Lists!$A$185:$A$198,0),MATCH(KOL_Database!$E$26,Lookup_Lists!$B$184:$O$184,0)),Lookup_Lists!$D$151)</f>
      </c>
      <c r="BD87" s="47">
        <f>IFERROR(INDEX(Lookup_Lists!$B$185:$O$198,MATCH(Brand_Profile!$F$33,Lookup_Lists!$A$185:$A$198,0),MATCH(KOL_Database!$E$26,Lookup_Lists!$B$184:$O$184,0)),Lookup_Lists!$D$151)</f>
      </c>
      <c r="BE87" s="44">
        <f>IFERROR(INDEX(Lookup_Lists!$B$51:$B$92,MATCH(Brand_Profile!$F$34,Lookup_Lists!$A$51:$A$92,0)),"")</f>
      </c>
      <c r="BF87" s="44">
        <f>KOL_Database!$AI$26&amp;", "&amp;KOL_Database!$AG$26&amp;", "&amp;KOL_Database!$F$26&amp;", "&amp;KOL_Database!$E$26</f>
      </c>
      <c r="BG87" s="44">
        <f>KOL_Database!$AI$26&amp;", "&amp;KOL_Database!$AG$26</f>
      </c>
    </row>
    <row r="88" spans="1:59" x14ac:dyDescent="0.25">
      <c r="A88" s="43" t="s">
        <v>77</v>
      </c>
      <c r="B88" s="44">
        <f>Brand_Profile!$F$9</f>
      </c>
      <c r="C88" s="44">
        <f>KOL_Database!$A$27</f>
      </c>
      <c r="D88" s="44">
        <f>KOL_Database!$B$27</f>
      </c>
      <c r="E88" s="44">
        <f>KOL_Database!$C$27</f>
      </c>
      <c r="F88" s="44">
        <f>KOL_Database!$D$27</f>
      </c>
      <c r="G88" s="44">
        <f>KOL_Database!$E$27</f>
      </c>
      <c r="H88" s="44">
        <f>KOL_Database!$G$27</f>
      </c>
      <c r="I88" s="45">
        <f>KOL_Database!$J$27</f>
      </c>
      <c r="J88" s="46">
        <f>KOL_Database!$K$27</f>
      </c>
      <c r="K88" s="47">
        <f>IFERROR(INDEX(Lookup_Lists!$B$170:$O$181,MATCH(Brand_Profile!$F$10,Lookup_Lists!$A$170:$A$181,0),MATCH(KOL_Database!$E$27,Lookup_Lists!$B$169:$O$169,0)),Lookup_Lists!$D$151)</f>
      </c>
      <c r="L88" s="47">
        <f>IF(KOL_Database!$F$27="",Matching_Engine!$BC$88,IF(Brand_Profile!$F$12=KOL_Database!$F$27,100,IF(Matching_Engine!$BA$88=KOL_Database!$E$27,80,IF(Matching_Engine!$BC$88&gt;=80,60,IF(Matching_Engine!$BC$88&gt;=60,40,Lookup_Lists!$D$151)))))</f>
      </c>
      <c r="M88" s="47">
        <f>ROUND((IF(Brand_Profile!$F$62=0,Lookup_Lists!$D$150,ROUND((IF(Brand_Profile!$F$57="",0,IF(ISNUMBER(SEARCH(Brand_Profile!$F$57,Matching_Engine!$BF$88)),1,0))+IF(Brand_Profile!$F$58="",0,IF(ISNUMBER(SEARCH(Brand_Profile!$F$58,Matching_Engine!$BF$88)),1,0))+IF(Brand_Profile!$F$59="",0,IF(ISNUMBER(SEARCH(Brand_Profile!$F$59,Matching_Engine!$BF$88)),1,0))+IF(Brand_Profile!$F$60="",0,IF(ISNUMBER(SEARCH(Brand_Profile!$F$60,Matching_Engine!$BF$88)),1,0))+IF(Brand_Profile!$F$61="",0,IF(ISNUMBER(SEARCH(Brand_Profile!$F$61,Matching_Engine!$BF$88)),1,0)))/Brand_Profile!$F$62*100,0))+IF(Brand_Profile!$F$74=0,Lookup_Lists!$D$150,ROUND((IF(Brand_Profile!$F$69="",0,IF(ISNUMBER(SEARCH(Brand_Profile!$F$69,Matching_Engine!$BF$88)),1,0))+IF(Brand_Profile!$F$70="",0,IF(ISNUMBER(SEARCH(Brand_Profile!$F$70,Matching_Engine!$BF$88)),1,0))+IF(Brand_Profile!$F$71="",0,IF(ISNUMBER(SEARCH(Brand_Profile!$F$71,Matching_Engine!$BF$88)),1,0))+IF(Brand_Profile!$F$72="",0,IF(ISNUMBER(SEARCH(Brand_Profile!$F$72,Matching_Engine!$BF$88)),1,0))+IF(Brand_Profile!$F$73="",0,IF(ISNUMBER(SEARCH(Brand_Profile!$F$73,Matching_Engine!$BF$88)),1,0)))/Brand_Profile!$F$74*100,0)))/2,0)</f>
      </c>
      <c r="N88" s="47">
        <f>ROUND((Matching_Engine!$K$88*Lookup_Lists!$D$110+Matching_Engine!$L$88*Lookup_Lists!$D$111+Matching_Engine!$M$88*Lookup_Lists!$D$112)/(Lookup_Lists!$D$110+Lookup_Lists!$D$111+Lookup_Lists!$D$112),0)</f>
      </c>
      <c r="O88" s="47">
        <f>IF(Brand_Profile!$F$16="",Lookup_Lists!$D$150,MIN(100,ROUND((IFERROR(INDEX(KOL_Database!$W$27:KOL_Database!$AA$27,1,MATCH(Brand_Profile!$F$16,Lookup_Lists!$F$6:$F$10,0)),0)+0.5*IFERROR(INDEX(KOL_Database!$W$27:KOL_Database!$AA$27,1,MATCH(Brand_Profile!$F$17,Lookup_Lists!$F$6:$F$10,0)),0))/Lookup_Lists!$D$142*100,0)))</f>
      </c>
      <c r="P88" s="47">
        <f>IF(OR(Brand_Profile!$F$18="",Brand_Profile!$F$18="Any"),100,IF(Brand_Profile!$F$18="Female",MIN(100,ROUND(KOL_Database!$AB$27/Lookup_Lists!$D$143*100,0)),IF(Brand_Profile!$F$18="Male",MIN(100,ROUND(KOL_Database!$AC$27/Lookup_Lists!$D$143*100,0)),MAX(0,ROUND(100-ABS(KOL_Database!$AB$27-50)*2,0)))))</f>
      </c>
      <c r="Q88" s="47">
        <f>ROUND((IF(Brand_Profile!$F$19="",100,IF(KOL_Database!$AD$27=Brand_Profile!$F$19,100,Lookup_Lists!$D$151))*Lookup_Lists!$D$118+IF(OR(Brand_Profile!$F$20="",Brand_Profile!$F$20="Nasional"),100,IF(KOL_Database!$AE$27="",Lookup_Lists!$D$150,IF(KOL_Database!$AE$27=Brand_Profile!$F$20,100,IF(KOL_Database!$AD$27=Brand_Profile!$F$19,40,Lookup_Lists!$D$151))))*Lookup_Lists!$D$119+IF(OR(Brand_Profile!$F$21="",Brand_Profile!$F$21="Nasional"),100,IF(KOL_Database!$AF$27="",Lookup_Lists!$D$150,IF(KOL_Database!$AF$27=Brand_Profile!$F$21,100,IF(KOL_Database!$AE$27=Brand_Profile!$F$20,60,Lookup_Lists!$D$151))))*Lookup_Lists!$D$120)/(Lookup_Lists!$D$118+Lookup_Lists!$D$119+Lookup_Lists!$D$120),0)</f>
      </c>
      <c r="R88" s="47">
        <f>IF(Brand_Profile!$F$68=0,Lookup_Lists!$D$150,ROUND((IF(Brand_Profile!$F$63="",0,IF(ISNUMBER(SEARCH(Brand_Profile!$F$63,KOL_Database!$AG$27)),1,0))+IF(Brand_Profile!$F$64="",0,IF(ISNUMBER(SEARCH(Brand_Profile!$F$64,KOL_Database!$AG$27)),1,0))+IF(Brand_Profile!$F$65="",0,IF(ISNUMBER(SEARCH(Brand_Profile!$F$65,KOL_Database!$AG$27)),1,0))+IF(Brand_Profile!$F$66="",0,IF(ISNUMBER(SEARCH(Brand_Profile!$F$66,KOL_Database!$AG$27)),1,0))+IF(Brand_Profile!$F$67="",0,IF(ISNUMBER(SEARCH(Brand_Profile!$F$67,KOL_Database!$AG$27)),1,0)))/Brand_Profile!$F$68*100,0))</f>
      </c>
      <c r="S88" s="47">
        <f>ROUND((Matching_Engine!$O$88*Brand_Profile!$F$96+Matching_Engine!$P$88*Brand_Profile!$F$97+Matching_Engine!$Q$88*Brand_Profile!$F$98+Matching_Engine!$R$88*Brand_Profile!$F$99)/MAX(1,Brand_Profile!$F$96+Brand_Profile!$F$97+Brand_Profile!$F$98+Brand_Profile!$F$99),0)</f>
      </c>
      <c r="T88" s="47">
        <f>IF(Brand_Profile!$F$33="",Lookup_Lists!$D$150,Matching_Engine!$BD$88)</f>
      </c>
      <c r="U88" s="47">
        <f>IF(Brand_Profile!$F$34="",Lookup_Lists!$D$150,IF(Brand_Profile!$F$34=KOL_Database!$F$27,100,IF(Matching_Engine!$BE$88=KOL_Database!$E$27,75,IF(Matching_Engine!$BD$88&gt;=80,Lookup_Lists!$D$150,IF(Matching_Engine!$BD$88&gt;=60,35,Lookup_Lists!$D$151)))))</f>
      </c>
      <c r="V88" s="47">
        <f>IF(Brand_Profile!$F$86=0,Lookup_Lists!$D$150,ROUND((IF(Brand_Profile!$F$81="",0,IF(ISNUMBER(SEARCH(Brand_Profile!$F$81,Matching_Engine!$BG$88)),1,0))+IF(Brand_Profile!$F$82="",0,IF(ISNUMBER(SEARCH(Brand_Profile!$F$82,Matching_Engine!$BG$88)),1,0))+IF(Brand_Profile!$F$83="",0,IF(ISNUMBER(SEARCH(Brand_Profile!$F$83,Matching_Engine!$BG$88)),1,0))+IF(Brand_Profile!$F$84="",0,IF(ISNUMBER(SEARCH(Brand_Profile!$F$84,Matching_Engine!$BG$88)),1,0))+IF(Brand_Profile!$F$85="",0,IF(ISNUMBER(SEARCH(Brand_Profile!$F$85,Matching_Engine!$BG$88)),1,0)))/Brand_Profile!$F$86*100,0))</f>
      </c>
      <c r="W88" s="47">
        <f>IF(Brand_Profile!$F$39="",Lookup_Lists!$D$150,IFERROR(INDEX(Lookup_Lists!$B$237:$K$246,MATCH(Brand_Profile!$F$39,Lookup_Lists!$A$237:$A$246,0),MATCH(KOL_Database!$AJ$27,Lookup_Lists!$B$236:$K$236,0)),45))</f>
      </c>
      <c r="X88" s="47">
        <f>ROUND((Matching_Engine!$T$88*Lookup_Lists!$D$121+Matching_Engine!$U$88*Lookup_Lists!$D$122+Matching_Engine!$V$88*Lookup_Lists!$D$123+Matching_Engine!$W$88*Lookup_Lists!$D$124)/(Lookup_Lists!$D$121+Lookup_Lists!$D$122+Lookup_Lists!$D$123+Lookup_Lists!$D$124),0)</f>
      </c>
      <c r="Y88" s="47">
        <f>MIN(100,MAX(IFERROR(INDEX(Lookup_Lists!$B$202:$M$211,MATCH(Brand_Profile!$F$25,Lookup_Lists!$A$202:$A$211,0),MATCH(KOL_Database!$AK$27,Lookup_Lists!$B$201:$M$201,0)),40),IF(KOL_Database!$AK$27=Brand_Profile!$F$41,95,0)))</f>
      </c>
      <c r="Z88" s="47">
        <f>IFERROR(INDEX(Lookup_Lists!$B$215:$K$222,MATCH(Brand_Profile!$F$27,Lookup_Lists!$A$215:$A$222,0),MATCH(KOL_Database!$AJ$27,Lookup_Lists!$B$214:$K$214,0)),45)</f>
      </c>
      <c r="AA88" s="47">
        <f>ROUND((IF(Brand_Profile!$F$80=0,Lookup_Lists!$D$150,ROUND((IF(Brand_Profile!$F$75="",0,IF(ISNUMBER(SEARCH(Brand_Profile!$F$75,KOL_Database!$AL$27)),1,0))+IF(Brand_Profile!$F$76="",0,IF(ISNUMBER(SEARCH(Brand_Profile!$F$76,KOL_Database!$AL$27)),1,0))+IF(Brand_Profile!$F$77="",0,IF(ISNUMBER(SEARCH(Brand_Profile!$F$77,KOL_Database!$AL$27)),1,0))+IF(Brand_Profile!$F$78="",0,IF(ISNUMBER(SEARCH(Brand_Profile!$F$78,KOL_Database!$AL$27)),1,0))+IF(Brand_Profile!$F$79="",0,IF(ISNUMBER(SEARCH(Brand_Profile!$F$79,KOL_Database!$AL$27)),1,0)))/Brand_Profile!$F$80*100,0))+IF(Brand_Profile!$F$92=0,Lookup_Lists!$D$150,ROUND((IF(Brand_Profile!$F$87="",0,IF(ISNUMBER(SEARCH(Brand_Profile!$F$87,KOL_Database!$AL$27)),1,0))+IF(Brand_Profile!$F$88="",0,IF(ISNUMBER(SEARCH(Brand_Profile!$F$88,KOL_Database!$AL$27)),1,0))+IF(Brand_Profile!$F$89="",0,IF(ISNUMBER(SEARCH(Brand_Profile!$F$89,KOL_Database!$AL$27)),1,0))+IF(Brand_Profile!$F$90="",0,IF(ISNUMBER(SEARCH(Brand_Profile!$F$90,KOL_Database!$AL$27)),1,0))+IF(Brand_Profile!$F$91="",0,IF(ISNUMBER(SEARCH(Brand_Profile!$F$91,KOL_Database!$AL$27)),1,0)))/Brand_Profile!$F$92*100,0)))/2,0)</f>
      </c>
      <c r="AB88" s="47">
        <f>IFERROR(INDEX(Lookup_Lists!$B$226:$K$233,MATCH(Brand_Profile!$F$30,Lookup_Lists!$A$226:$A$233,0),MATCH(KOL_Database!$AJ$27,Lookup_Lists!$B$225:$K$225,0)),45)</f>
      </c>
      <c r="AC88" s="47">
        <f>ROUND((Matching_Engine!$Y$88*Lookup_Lists!$D$125+Matching_Engine!$Z$88*Lookup_Lists!$D$126+Matching_Engine!$AA$88*Lookup_Lists!$D$127+Matching_Engine!$AB$88*Lookup_Lists!$D$128)/(Lookup_Lists!$D$125+Lookup_Lists!$D$126+Lookup_Lists!$D$127+Lookup_Lists!$D$128),0)</f>
      </c>
      <c r="AD88" s="47">
        <f>IF(KOL_Database!$K$27="",0,MIN(100,ROUND(KOL_Database!$K$27/Lookup_Lists!$D$141*100,0)))</f>
      </c>
      <c r="AE88" s="47">
        <f>IF(KOL_Database!$R$27="",0,MIN(100,MAX(0,KOL_Database!$R$27)))</f>
      </c>
      <c r="AF88" s="47">
        <f>IF(KOL_Database!$P$27="",0,MIN(100,MAX(0,KOL_Database!$P$27)))</f>
      </c>
      <c r="AG88" s="47">
        <f>IF(KOL_Database!$Q$27="",0,MIN(100,MAX(0,KOL_Database!$Q$27)))</f>
      </c>
      <c r="AH88" s="47">
        <f>IF(OR(KOL_Database!$J$27="",KOL_Database!$J$27=0,KOL_Database!$L$27=""),0,MIN(100,ROUND(KOL_Database!$L$27/KOL_Database!$J$27/Lookup_Lists!$D$144*100,0)))</f>
      </c>
      <c r="AI88" s="47">
        <f>IF(KOL_Database!$N$27="",0,MIN(100,MAX(0,ROUND((KOL_Database!$N$27+2)/(Lookup_Lists!$D$145+2)*100,0))))</f>
      </c>
      <c r="AJ88" s="47">
        <f>ROUND((Matching_Engine!$AD$88*Lookup_Lists!$D$129+Matching_Engine!$AE$88*Lookup_Lists!$D$130+Matching_Engine!$AF$88*Lookup_Lists!$D$131+Matching_Engine!$AG$88*Lookup_Lists!$D$132+Matching_Engine!$AH$88*Lookup_Lists!$D$133+Matching_Engine!$AI$88*Lookup_Lists!$D$134)/(Lookup_Lists!$D$129+Lookup_Lists!$D$130+Lookup_Lists!$D$131+Lookup_Lists!$D$132+Lookup_Lists!$D$133+Lookup_Lists!$D$134),0)</f>
      </c>
      <c r="AK88" s="47">
        <f>IF(KOL_Database!$AT$27="",0,MIN(100,MAX(0,KOL_Database!$AT$27)))</f>
      </c>
      <c r="AL88" s="47">
        <f>IF(KOL_Database!$AU$27="",0,KOL_Database!$AU$27)</f>
      </c>
      <c r="AM88" s="44">
        <f>IF(KOL_Database!$AV$27="","None",KOL_Database!$AV$27)</f>
      </c>
      <c r="AN88" s="48">
        <f>IF(Matching_Engine!$AM$88="High",Lookup_Lists!$D$137,IF(Matching_Engine!$AM$88="Medium",Lookup_Lists!$D$138,IF(Matching_Engine!$AM$88="Low",Lookup_Lists!$D$139,Lookup_Lists!$D$140)))</f>
      </c>
      <c r="AO88" s="47">
        <f>ROUND(MIN(100,MAX(0,(Matching_Engine!$AK$88*Lookup_Lists!$D$135+(100-Matching_Engine!$AL$88)*Lookup_Lists!$D$136)/(Lookup_Lists!$D$135+Lookup_Lists!$D$136)*Matching_Engine!$AN$88)),0)</f>
      </c>
      <c r="AP88" s="49">
        <f>ROUND((Matching_Engine!$N$88*Lookup_Lists!$D$104+Matching_Engine!$S$88*Lookup_Lists!$D$105+Matching_Engine!$X$88*Lookup_Lists!$D$106+Matching_Engine!$AC$88*Lookup_Lists!$D$107+Matching_Engine!$AJ$88*Lookup_Lists!$D$108+Matching_Engine!$AO$88*Lookup_Lists!$D$109)/MAX(1,(Lookup_Lists!$D$104+Lookup_Lists!$D$105+Lookup_Lists!$D$106+Lookup_Lists!$D$107+Lookup_Lists!$D$108+Lookup_Lists!$D$109)),0)</f>
      </c>
      <c r="AQ88" s="44">
        <f>IF(Matching_Engine!$AP$88&gt;=Lookup_Lists!$D$152,"Excellent Match",IF(Matching_Engine!$AP$88&gt;=Lookup_Lists!$D$153,"Strong Match",IF(Matching_Engine!$AP$88&gt;=Lookup_Lists!$D$154,"Good Match",IF(Matching_Engine!$AP$88&gt;=Lookup_Lists!$D$155,"Moderate Match","Low Match"))))</f>
      </c>
      <c r="AR88" s="47">
        <f>KOL_Database!$BE$27</f>
      </c>
      <c r="AS88" s="44">
        <f>IF(Matching_Engine!$AR$88&gt;=Lookup_Lists!$D$159,"High",IF(Matching_Engine!$AR$88&gt;=Lookup_Lists!$D$160,"Medium","Limited Data"))</f>
      </c>
      <c r="AT88" s="47">
        <f>ROUND((Matching_Engine!$N$88+Matching_Engine!$X$88+Matching_Engine!$AC$88)/3,0)</f>
      </c>
      <c r="AU88" s="47">
        <f>ROUND(((100-Matching_Engine!$AL$88)*Lookup_Lists!$D$162+IF(KOL_Database!$BD$27="",Lookup_Lists!$D$150,KOL_Database!$BD$27)*Lookup_Lists!$D$163+Matching_Engine!$AI$88*Lookup_Lists!$D$164+Matching_Engine!$AD$88*Lookup_Lists!$D$165)/(Lookup_Lists!$D$162+Lookup_Lists!$D$163+Lookup_Lists!$D$164+Lookup_Lists!$D$165),0)</f>
      </c>
      <c r="AV88" s="44">
        <f>IF(Matching_Engine!$AW$88="","PASS","EXCLUDED")</f>
      </c>
      <c r="AW88" s="44">
        <f>IF(ISERROR(SEARCH(KOL_Database!$D$27,Brand_Profile!$F$32)),"Platform not in Preferred Platform",IF(AND(Brand_Profile!$F$36&gt;0,KOL_Database!$J$27&lt;Brand_Profile!$F$36),"Followers below Preferred Follower Range",IF(AND(Brand_Profile!$F$37&gt;0,KOL_Database!$J$27&gt;Brand_Profile!$F$37),"Followers above Preferred Follower Range",IF(AND(Brand_Profile!$F$38&gt;0,IF(KOL_Database!$K$27="",0,KOL_Database!$K$27)&lt;Brand_Profile!$F$38),"Engagement Rate below Minimum Engagement Rate",IF(ISERROR(SEARCH(KOL_Database!$G$27,Brand_Profile!$F$35)),"Tier not in Preferred Tier",IF(AND(Brand_Profile!$F$43&gt;0,Matching_Engine!$AE$88&lt;Brand_Profile!$F$43),"Audience Quality below Minimum Audience Quality",IF(AND(Brand_Profile!$F$44&gt;0,Matching_Engine!$AK$88&lt;Brand_Profile!$F$44),"Brand Safety below Minimum Brand Safety",IF(AND(Brand_Profile!$F$47="Yes",KOL_Database!$AD$27&lt;&gt;Brand_Profile!$F$19),"Audience Country does not match Target Country",IF(AND(Brand_Profile!$F$46="Yes",KOL_Database!$E$27&lt;&gt;Brand_Profile!$F$33),"Category is not the Preferred Category",IF(AND(Brand_Profile!$F$48&gt;0,Matching_Engine!$AL$88&gt;Brand_Profile!$F$48),"Competitor Saturation above Max Competitor Saturation",IF(AND(Brand_Profile!$F$50="Yes",KOL_Database!$AW$27="Yes"),"Already Selected",IF(AND(Brand_Profile!$F$51="Yes",KOL_Database!$AX$27="Yes"),"Already in Cart",IF(AND(Brand_Profile!$F$52="Yes",KOL_Database!$AY$27="Yes"),"Existing Partner",IF(AND(Brand_Profile!$F$53="Yes",KOL_Database!$AZ$27="Yes"),"Excluded Creator",IF(AND(Brand_Profile!$F$49&gt;0,Matching_Engine!$AP$88&lt;Brand_Profile!$F$49),"Brand Match below Minimum Brand Match","")))))))))))))))</f>
      </c>
      <c r="AX88" s="44">
        <f>IF(Matching_Engine!$AV$88="EXCLUDED","Excluded",IF(Matching_Engine!$AP$88&gt;=Lookup_Lists!$D$156,"Highly Recommended",IF(Matching_Engine!$AP$88&gt;=Lookup_Lists!$D$157,"Recommended",IF(Matching_Engine!$AP$88&gt;=Lookup_Lists!$D$158,"Consider","Low Priority"))))</f>
      </c>
      <c r="AY88" s="47">
        <f>IF(Matching_Engine!$AV$88="PASS",Matching_Engine!$AP$88,"")</f>
      </c>
      <c r="AZ88" s="44">
        <f>Matching_Engine!$A$88&amp;"|"&amp;Matching_Engine!$C$88</f>
      </c>
      <c r="BA88" s="44">
        <f>IFERROR(INDEX(Lookup_Lists!$B$51:$B$92,MATCH(Brand_Profile!$F$12,Lookup_Lists!$A$51:$A$92,0)),"")</f>
      </c>
      <c r="BB88" s="44">
        <f>IFERROR(INDEX(Lookup_Lists!$B$51:$B$92,MATCH(KOL_Database!$F$27,Lookup_Lists!$A$51:$A$92,0)),"")</f>
      </c>
      <c r="BC88" s="47">
        <f>IFERROR(INDEX(Lookup_Lists!$B$185:$O$198,MATCH(Matching_Engine!$BA$88,Lookup_Lists!$A$185:$A$198,0),MATCH(KOL_Database!$E$27,Lookup_Lists!$B$184:$O$184,0)),Lookup_Lists!$D$151)</f>
      </c>
      <c r="BD88" s="47">
        <f>IFERROR(INDEX(Lookup_Lists!$B$185:$O$198,MATCH(Brand_Profile!$F$33,Lookup_Lists!$A$185:$A$198,0),MATCH(KOL_Database!$E$27,Lookup_Lists!$B$184:$O$184,0)),Lookup_Lists!$D$151)</f>
      </c>
      <c r="BE88" s="44">
        <f>IFERROR(INDEX(Lookup_Lists!$B$51:$B$92,MATCH(Brand_Profile!$F$34,Lookup_Lists!$A$51:$A$92,0)),"")</f>
      </c>
      <c r="BF88" s="44">
        <f>KOL_Database!$AI$27&amp;", "&amp;KOL_Database!$AG$27&amp;", "&amp;KOL_Database!$F$27&amp;", "&amp;KOL_Database!$E$27</f>
      </c>
      <c r="BG88" s="44">
        <f>KOL_Database!$AI$27&amp;", "&amp;KOL_Database!$AG$27</f>
      </c>
    </row>
    <row r="89" spans="1:59" x14ac:dyDescent="0.25">
      <c r="A89" s="43" t="s">
        <v>77</v>
      </c>
      <c r="B89" s="44">
        <f>Brand_Profile!$F$9</f>
      </c>
      <c r="C89" s="44">
        <f>KOL_Database!$A$28</f>
      </c>
      <c r="D89" s="44">
        <f>KOL_Database!$B$28</f>
      </c>
      <c r="E89" s="44">
        <f>KOL_Database!$C$28</f>
      </c>
      <c r="F89" s="44">
        <f>KOL_Database!$D$28</f>
      </c>
      <c r="G89" s="44">
        <f>KOL_Database!$E$28</f>
      </c>
      <c r="H89" s="44">
        <f>KOL_Database!$G$28</f>
      </c>
      <c r="I89" s="45">
        <f>KOL_Database!$J$28</f>
      </c>
      <c r="J89" s="46">
        <f>KOL_Database!$K$28</f>
      </c>
      <c r="K89" s="47">
        <f>IFERROR(INDEX(Lookup_Lists!$B$170:$O$181,MATCH(Brand_Profile!$F$10,Lookup_Lists!$A$170:$A$181,0),MATCH(KOL_Database!$E$28,Lookup_Lists!$B$169:$O$169,0)),Lookup_Lists!$D$151)</f>
      </c>
      <c r="L89" s="47">
        <f>IF(KOL_Database!$F$28="",Matching_Engine!$BC$89,IF(Brand_Profile!$F$12=KOL_Database!$F$28,100,IF(Matching_Engine!$BA$89=KOL_Database!$E$28,80,IF(Matching_Engine!$BC$89&gt;=80,60,IF(Matching_Engine!$BC$89&gt;=60,40,Lookup_Lists!$D$151)))))</f>
      </c>
      <c r="M89" s="47">
        <f>ROUND((IF(Brand_Profile!$F$62=0,Lookup_Lists!$D$150,ROUND((IF(Brand_Profile!$F$57="",0,IF(ISNUMBER(SEARCH(Brand_Profile!$F$57,Matching_Engine!$BF$89)),1,0))+IF(Brand_Profile!$F$58="",0,IF(ISNUMBER(SEARCH(Brand_Profile!$F$58,Matching_Engine!$BF$89)),1,0))+IF(Brand_Profile!$F$59="",0,IF(ISNUMBER(SEARCH(Brand_Profile!$F$59,Matching_Engine!$BF$89)),1,0))+IF(Brand_Profile!$F$60="",0,IF(ISNUMBER(SEARCH(Brand_Profile!$F$60,Matching_Engine!$BF$89)),1,0))+IF(Brand_Profile!$F$61="",0,IF(ISNUMBER(SEARCH(Brand_Profile!$F$61,Matching_Engine!$BF$89)),1,0)))/Brand_Profile!$F$62*100,0))+IF(Brand_Profile!$F$74=0,Lookup_Lists!$D$150,ROUND((IF(Brand_Profile!$F$69="",0,IF(ISNUMBER(SEARCH(Brand_Profile!$F$69,Matching_Engine!$BF$89)),1,0))+IF(Brand_Profile!$F$70="",0,IF(ISNUMBER(SEARCH(Brand_Profile!$F$70,Matching_Engine!$BF$89)),1,0))+IF(Brand_Profile!$F$71="",0,IF(ISNUMBER(SEARCH(Brand_Profile!$F$71,Matching_Engine!$BF$89)),1,0))+IF(Brand_Profile!$F$72="",0,IF(ISNUMBER(SEARCH(Brand_Profile!$F$72,Matching_Engine!$BF$89)),1,0))+IF(Brand_Profile!$F$73="",0,IF(ISNUMBER(SEARCH(Brand_Profile!$F$73,Matching_Engine!$BF$89)),1,0)))/Brand_Profile!$F$74*100,0)))/2,0)</f>
      </c>
      <c r="N89" s="47">
        <f>ROUND((Matching_Engine!$K$89*Lookup_Lists!$D$110+Matching_Engine!$L$89*Lookup_Lists!$D$111+Matching_Engine!$M$89*Lookup_Lists!$D$112)/(Lookup_Lists!$D$110+Lookup_Lists!$D$111+Lookup_Lists!$D$112),0)</f>
      </c>
      <c r="O89" s="47">
        <f>IF(Brand_Profile!$F$16="",Lookup_Lists!$D$150,MIN(100,ROUND((IFERROR(INDEX(KOL_Database!$W$28:KOL_Database!$AA$28,1,MATCH(Brand_Profile!$F$16,Lookup_Lists!$F$6:$F$10,0)),0)+0.5*IFERROR(INDEX(KOL_Database!$W$28:KOL_Database!$AA$28,1,MATCH(Brand_Profile!$F$17,Lookup_Lists!$F$6:$F$10,0)),0))/Lookup_Lists!$D$142*100,0)))</f>
      </c>
      <c r="P89" s="47">
        <f>IF(OR(Brand_Profile!$F$18="",Brand_Profile!$F$18="Any"),100,IF(Brand_Profile!$F$18="Female",MIN(100,ROUND(KOL_Database!$AB$28/Lookup_Lists!$D$143*100,0)),IF(Brand_Profile!$F$18="Male",MIN(100,ROUND(KOL_Database!$AC$28/Lookup_Lists!$D$143*100,0)),MAX(0,ROUND(100-ABS(KOL_Database!$AB$28-50)*2,0)))))</f>
      </c>
      <c r="Q89" s="47">
        <f>ROUND((IF(Brand_Profile!$F$19="",100,IF(KOL_Database!$AD$28=Brand_Profile!$F$19,100,Lookup_Lists!$D$151))*Lookup_Lists!$D$118+IF(OR(Brand_Profile!$F$20="",Brand_Profile!$F$20="Nasional"),100,IF(KOL_Database!$AE$28="",Lookup_Lists!$D$150,IF(KOL_Database!$AE$28=Brand_Profile!$F$20,100,IF(KOL_Database!$AD$28=Brand_Profile!$F$19,40,Lookup_Lists!$D$151))))*Lookup_Lists!$D$119+IF(OR(Brand_Profile!$F$21="",Brand_Profile!$F$21="Nasional"),100,IF(KOL_Database!$AF$28="",Lookup_Lists!$D$150,IF(KOL_Database!$AF$28=Brand_Profile!$F$21,100,IF(KOL_Database!$AE$28=Brand_Profile!$F$20,60,Lookup_Lists!$D$151))))*Lookup_Lists!$D$120)/(Lookup_Lists!$D$118+Lookup_Lists!$D$119+Lookup_Lists!$D$120),0)</f>
      </c>
      <c r="R89" s="47">
        <f>IF(Brand_Profile!$F$68=0,Lookup_Lists!$D$150,ROUND((IF(Brand_Profile!$F$63="",0,IF(ISNUMBER(SEARCH(Brand_Profile!$F$63,KOL_Database!$AG$28)),1,0))+IF(Brand_Profile!$F$64="",0,IF(ISNUMBER(SEARCH(Brand_Profile!$F$64,KOL_Database!$AG$28)),1,0))+IF(Brand_Profile!$F$65="",0,IF(ISNUMBER(SEARCH(Brand_Profile!$F$65,KOL_Database!$AG$28)),1,0))+IF(Brand_Profile!$F$66="",0,IF(ISNUMBER(SEARCH(Brand_Profile!$F$66,KOL_Database!$AG$28)),1,0))+IF(Brand_Profile!$F$67="",0,IF(ISNUMBER(SEARCH(Brand_Profile!$F$67,KOL_Database!$AG$28)),1,0)))/Brand_Profile!$F$68*100,0))</f>
      </c>
      <c r="S89" s="47">
        <f>ROUND((Matching_Engine!$O$89*Brand_Profile!$F$96+Matching_Engine!$P$89*Brand_Profile!$F$97+Matching_Engine!$Q$89*Brand_Profile!$F$98+Matching_Engine!$R$89*Brand_Profile!$F$99)/MAX(1,Brand_Profile!$F$96+Brand_Profile!$F$97+Brand_Profile!$F$98+Brand_Profile!$F$99),0)</f>
      </c>
      <c r="T89" s="47">
        <f>IF(Brand_Profile!$F$33="",Lookup_Lists!$D$150,Matching_Engine!$BD$89)</f>
      </c>
      <c r="U89" s="47">
        <f>IF(Brand_Profile!$F$34="",Lookup_Lists!$D$150,IF(Brand_Profile!$F$34=KOL_Database!$F$28,100,IF(Matching_Engine!$BE$89=KOL_Database!$E$28,75,IF(Matching_Engine!$BD$89&gt;=80,Lookup_Lists!$D$150,IF(Matching_Engine!$BD$89&gt;=60,35,Lookup_Lists!$D$151)))))</f>
      </c>
      <c r="V89" s="47">
        <f>IF(Brand_Profile!$F$86=0,Lookup_Lists!$D$150,ROUND((IF(Brand_Profile!$F$81="",0,IF(ISNUMBER(SEARCH(Brand_Profile!$F$81,Matching_Engine!$BG$89)),1,0))+IF(Brand_Profile!$F$82="",0,IF(ISNUMBER(SEARCH(Brand_Profile!$F$82,Matching_Engine!$BG$89)),1,0))+IF(Brand_Profile!$F$83="",0,IF(ISNUMBER(SEARCH(Brand_Profile!$F$83,Matching_Engine!$BG$89)),1,0))+IF(Brand_Profile!$F$84="",0,IF(ISNUMBER(SEARCH(Brand_Profile!$F$84,Matching_Engine!$BG$89)),1,0))+IF(Brand_Profile!$F$85="",0,IF(ISNUMBER(SEARCH(Brand_Profile!$F$85,Matching_Engine!$BG$89)),1,0)))/Brand_Profile!$F$86*100,0))</f>
      </c>
      <c r="W89" s="47">
        <f>IF(Brand_Profile!$F$39="",Lookup_Lists!$D$150,IFERROR(INDEX(Lookup_Lists!$B$237:$K$246,MATCH(Brand_Profile!$F$39,Lookup_Lists!$A$237:$A$246,0),MATCH(KOL_Database!$AJ$28,Lookup_Lists!$B$236:$K$236,0)),45))</f>
      </c>
      <c r="X89" s="47">
        <f>ROUND((Matching_Engine!$T$89*Lookup_Lists!$D$121+Matching_Engine!$U$89*Lookup_Lists!$D$122+Matching_Engine!$V$89*Lookup_Lists!$D$123+Matching_Engine!$W$89*Lookup_Lists!$D$124)/(Lookup_Lists!$D$121+Lookup_Lists!$D$122+Lookup_Lists!$D$123+Lookup_Lists!$D$124),0)</f>
      </c>
      <c r="Y89" s="47">
        <f>MIN(100,MAX(IFERROR(INDEX(Lookup_Lists!$B$202:$M$211,MATCH(Brand_Profile!$F$25,Lookup_Lists!$A$202:$A$211,0),MATCH(KOL_Database!$AK$28,Lookup_Lists!$B$201:$M$201,0)),40),IF(KOL_Database!$AK$28=Brand_Profile!$F$41,95,0)))</f>
      </c>
      <c r="Z89" s="47">
        <f>IFERROR(INDEX(Lookup_Lists!$B$215:$K$222,MATCH(Brand_Profile!$F$27,Lookup_Lists!$A$215:$A$222,0),MATCH(KOL_Database!$AJ$28,Lookup_Lists!$B$214:$K$214,0)),45)</f>
      </c>
      <c r="AA89" s="47">
        <f>ROUND((IF(Brand_Profile!$F$80=0,Lookup_Lists!$D$150,ROUND((IF(Brand_Profile!$F$75="",0,IF(ISNUMBER(SEARCH(Brand_Profile!$F$75,KOL_Database!$AL$28)),1,0))+IF(Brand_Profile!$F$76="",0,IF(ISNUMBER(SEARCH(Brand_Profile!$F$76,KOL_Database!$AL$28)),1,0))+IF(Brand_Profile!$F$77="",0,IF(ISNUMBER(SEARCH(Brand_Profile!$F$77,KOL_Database!$AL$28)),1,0))+IF(Brand_Profile!$F$78="",0,IF(ISNUMBER(SEARCH(Brand_Profile!$F$78,KOL_Database!$AL$28)),1,0))+IF(Brand_Profile!$F$79="",0,IF(ISNUMBER(SEARCH(Brand_Profile!$F$79,KOL_Database!$AL$28)),1,0)))/Brand_Profile!$F$80*100,0))+IF(Brand_Profile!$F$92=0,Lookup_Lists!$D$150,ROUND((IF(Brand_Profile!$F$87="",0,IF(ISNUMBER(SEARCH(Brand_Profile!$F$87,KOL_Database!$AL$28)),1,0))+IF(Brand_Profile!$F$88="",0,IF(ISNUMBER(SEARCH(Brand_Profile!$F$88,KOL_Database!$AL$28)),1,0))+IF(Brand_Profile!$F$89="",0,IF(ISNUMBER(SEARCH(Brand_Profile!$F$89,KOL_Database!$AL$28)),1,0))+IF(Brand_Profile!$F$90="",0,IF(ISNUMBER(SEARCH(Brand_Profile!$F$90,KOL_Database!$AL$28)),1,0))+IF(Brand_Profile!$F$91="",0,IF(ISNUMBER(SEARCH(Brand_Profile!$F$91,KOL_Database!$AL$28)),1,0)))/Brand_Profile!$F$92*100,0)))/2,0)</f>
      </c>
      <c r="AB89" s="47">
        <f>IFERROR(INDEX(Lookup_Lists!$B$226:$K$233,MATCH(Brand_Profile!$F$30,Lookup_Lists!$A$226:$A$233,0),MATCH(KOL_Database!$AJ$28,Lookup_Lists!$B$225:$K$225,0)),45)</f>
      </c>
      <c r="AC89" s="47">
        <f>ROUND((Matching_Engine!$Y$89*Lookup_Lists!$D$125+Matching_Engine!$Z$89*Lookup_Lists!$D$126+Matching_Engine!$AA$89*Lookup_Lists!$D$127+Matching_Engine!$AB$89*Lookup_Lists!$D$128)/(Lookup_Lists!$D$125+Lookup_Lists!$D$126+Lookup_Lists!$D$127+Lookup_Lists!$D$128),0)</f>
      </c>
      <c r="AD89" s="47">
        <f>IF(KOL_Database!$K$28="",0,MIN(100,ROUND(KOL_Database!$K$28/Lookup_Lists!$D$141*100,0)))</f>
      </c>
      <c r="AE89" s="47">
        <f>IF(KOL_Database!$R$28="",0,MIN(100,MAX(0,KOL_Database!$R$28)))</f>
      </c>
      <c r="AF89" s="47">
        <f>IF(KOL_Database!$P$28="",0,MIN(100,MAX(0,KOL_Database!$P$28)))</f>
      </c>
      <c r="AG89" s="47">
        <f>IF(KOL_Database!$Q$28="",0,MIN(100,MAX(0,KOL_Database!$Q$28)))</f>
      </c>
      <c r="AH89" s="47">
        <f>IF(OR(KOL_Database!$J$28="",KOL_Database!$J$28=0,KOL_Database!$L$28=""),0,MIN(100,ROUND(KOL_Database!$L$28/KOL_Database!$J$28/Lookup_Lists!$D$144*100,0)))</f>
      </c>
      <c r="AI89" s="47">
        <f>IF(KOL_Database!$N$28="",0,MIN(100,MAX(0,ROUND((KOL_Database!$N$28+2)/(Lookup_Lists!$D$145+2)*100,0))))</f>
      </c>
      <c r="AJ89" s="47">
        <f>ROUND((Matching_Engine!$AD$89*Lookup_Lists!$D$129+Matching_Engine!$AE$89*Lookup_Lists!$D$130+Matching_Engine!$AF$89*Lookup_Lists!$D$131+Matching_Engine!$AG$89*Lookup_Lists!$D$132+Matching_Engine!$AH$89*Lookup_Lists!$D$133+Matching_Engine!$AI$89*Lookup_Lists!$D$134)/(Lookup_Lists!$D$129+Lookup_Lists!$D$130+Lookup_Lists!$D$131+Lookup_Lists!$D$132+Lookup_Lists!$D$133+Lookup_Lists!$D$134),0)</f>
      </c>
      <c r="AK89" s="47">
        <f>IF(KOL_Database!$AT$28="",0,MIN(100,MAX(0,KOL_Database!$AT$28)))</f>
      </c>
      <c r="AL89" s="47">
        <f>IF(KOL_Database!$AU$28="",0,KOL_Database!$AU$28)</f>
      </c>
      <c r="AM89" s="44">
        <f>IF(KOL_Database!$AV$28="","None",KOL_Database!$AV$28)</f>
      </c>
      <c r="AN89" s="48">
        <f>IF(Matching_Engine!$AM$89="High",Lookup_Lists!$D$137,IF(Matching_Engine!$AM$89="Medium",Lookup_Lists!$D$138,IF(Matching_Engine!$AM$89="Low",Lookup_Lists!$D$139,Lookup_Lists!$D$140)))</f>
      </c>
      <c r="AO89" s="47">
        <f>ROUND(MIN(100,MAX(0,(Matching_Engine!$AK$89*Lookup_Lists!$D$135+(100-Matching_Engine!$AL$89)*Lookup_Lists!$D$136)/(Lookup_Lists!$D$135+Lookup_Lists!$D$136)*Matching_Engine!$AN$89)),0)</f>
      </c>
      <c r="AP89" s="49">
        <f>ROUND((Matching_Engine!$N$89*Lookup_Lists!$D$104+Matching_Engine!$S$89*Lookup_Lists!$D$105+Matching_Engine!$X$89*Lookup_Lists!$D$106+Matching_Engine!$AC$89*Lookup_Lists!$D$107+Matching_Engine!$AJ$89*Lookup_Lists!$D$108+Matching_Engine!$AO$89*Lookup_Lists!$D$109)/MAX(1,(Lookup_Lists!$D$104+Lookup_Lists!$D$105+Lookup_Lists!$D$106+Lookup_Lists!$D$107+Lookup_Lists!$D$108+Lookup_Lists!$D$109)),0)</f>
      </c>
      <c r="AQ89" s="44">
        <f>IF(Matching_Engine!$AP$89&gt;=Lookup_Lists!$D$152,"Excellent Match",IF(Matching_Engine!$AP$89&gt;=Lookup_Lists!$D$153,"Strong Match",IF(Matching_Engine!$AP$89&gt;=Lookup_Lists!$D$154,"Good Match",IF(Matching_Engine!$AP$89&gt;=Lookup_Lists!$D$155,"Moderate Match","Low Match"))))</f>
      </c>
      <c r="AR89" s="47">
        <f>KOL_Database!$BE$28</f>
      </c>
      <c r="AS89" s="44">
        <f>IF(Matching_Engine!$AR$89&gt;=Lookup_Lists!$D$159,"High",IF(Matching_Engine!$AR$89&gt;=Lookup_Lists!$D$160,"Medium","Limited Data"))</f>
      </c>
      <c r="AT89" s="47">
        <f>ROUND((Matching_Engine!$N$89+Matching_Engine!$X$89+Matching_Engine!$AC$89)/3,0)</f>
      </c>
      <c r="AU89" s="47">
        <f>ROUND(((100-Matching_Engine!$AL$89)*Lookup_Lists!$D$162+IF(KOL_Database!$BD$28="",Lookup_Lists!$D$150,KOL_Database!$BD$28)*Lookup_Lists!$D$163+Matching_Engine!$AI$89*Lookup_Lists!$D$164+Matching_Engine!$AD$89*Lookup_Lists!$D$165)/(Lookup_Lists!$D$162+Lookup_Lists!$D$163+Lookup_Lists!$D$164+Lookup_Lists!$D$165),0)</f>
      </c>
      <c r="AV89" s="44">
        <f>IF(Matching_Engine!$AW$89="","PASS","EXCLUDED")</f>
      </c>
      <c r="AW89" s="44">
        <f>IF(ISERROR(SEARCH(KOL_Database!$D$28,Brand_Profile!$F$32)),"Platform not in Preferred Platform",IF(AND(Brand_Profile!$F$36&gt;0,KOL_Database!$J$28&lt;Brand_Profile!$F$36),"Followers below Preferred Follower Range",IF(AND(Brand_Profile!$F$37&gt;0,KOL_Database!$J$28&gt;Brand_Profile!$F$37),"Followers above Preferred Follower Range",IF(AND(Brand_Profile!$F$38&gt;0,IF(KOL_Database!$K$28="",0,KOL_Database!$K$28)&lt;Brand_Profile!$F$38),"Engagement Rate below Minimum Engagement Rate",IF(ISERROR(SEARCH(KOL_Database!$G$28,Brand_Profile!$F$35)),"Tier not in Preferred Tier",IF(AND(Brand_Profile!$F$43&gt;0,Matching_Engine!$AE$89&lt;Brand_Profile!$F$43),"Audience Quality below Minimum Audience Quality",IF(AND(Brand_Profile!$F$44&gt;0,Matching_Engine!$AK$89&lt;Brand_Profile!$F$44),"Brand Safety below Minimum Brand Safety",IF(AND(Brand_Profile!$F$47="Yes",KOL_Database!$AD$28&lt;&gt;Brand_Profile!$F$19),"Audience Country does not match Target Country",IF(AND(Brand_Profile!$F$46="Yes",KOL_Database!$E$28&lt;&gt;Brand_Profile!$F$33),"Category is not the Preferred Category",IF(AND(Brand_Profile!$F$48&gt;0,Matching_Engine!$AL$89&gt;Brand_Profile!$F$48),"Competitor Saturation above Max Competitor Saturation",IF(AND(Brand_Profile!$F$50="Yes",KOL_Database!$AW$28="Yes"),"Already Selected",IF(AND(Brand_Profile!$F$51="Yes",KOL_Database!$AX$28="Yes"),"Already in Cart",IF(AND(Brand_Profile!$F$52="Yes",KOL_Database!$AY$28="Yes"),"Existing Partner",IF(AND(Brand_Profile!$F$53="Yes",KOL_Database!$AZ$28="Yes"),"Excluded Creator",IF(AND(Brand_Profile!$F$49&gt;0,Matching_Engine!$AP$89&lt;Brand_Profile!$F$49),"Brand Match below Minimum Brand Match","")))))))))))))))</f>
      </c>
      <c r="AX89" s="44">
        <f>IF(Matching_Engine!$AV$89="EXCLUDED","Excluded",IF(Matching_Engine!$AP$89&gt;=Lookup_Lists!$D$156,"Highly Recommended",IF(Matching_Engine!$AP$89&gt;=Lookup_Lists!$D$157,"Recommended",IF(Matching_Engine!$AP$89&gt;=Lookup_Lists!$D$158,"Consider","Low Priority"))))</f>
      </c>
      <c r="AY89" s="47">
        <f>IF(Matching_Engine!$AV$89="PASS",Matching_Engine!$AP$89,"")</f>
      </c>
      <c r="AZ89" s="44">
        <f>Matching_Engine!$A$89&amp;"|"&amp;Matching_Engine!$C$89</f>
      </c>
      <c r="BA89" s="44">
        <f>IFERROR(INDEX(Lookup_Lists!$B$51:$B$92,MATCH(Brand_Profile!$F$12,Lookup_Lists!$A$51:$A$92,0)),"")</f>
      </c>
      <c r="BB89" s="44">
        <f>IFERROR(INDEX(Lookup_Lists!$B$51:$B$92,MATCH(KOL_Database!$F$28,Lookup_Lists!$A$51:$A$92,0)),"")</f>
      </c>
      <c r="BC89" s="47">
        <f>IFERROR(INDEX(Lookup_Lists!$B$185:$O$198,MATCH(Matching_Engine!$BA$89,Lookup_Lists!$A$185:$A$198,0),MATCH(KOL_Database!$E$28,Lookup_Lists!$B$184:$O$184,0)),Lookup_Lists!$D$151)</f>
      </c>
      <c r="BD89" s="47">
        <f>IFERROR(INDEX(Lookup_Lists!$B$185:$O$198,MATCH(Brand_Profile!$F$33,Lookup_Lists!$A$185:$A$198,0),MATCH(KOL_Database!$E$28,Lookup_Lists!$B$184:$O$184,0)),Lookup_Lists!$D$151)</f>
      </c>
      <c r="BE89" s="44">
        <f>IFERROR(INDEX(Lookup_Lists!$B$51:$B$92,MATCH(Brand_Profile!$F$34,Lookup_Lists!$A$51:$A$92,0)),"")</f>
      </c>
      <c r="BF89" s="44">
        <f>KOL_Database!$AI$28&amp;", "&amp;KOL_Database!$AG$28&amp;", "&amp;KOL_Database!$F$28&amp;", "&amp;KOL_Database!$E$28</f>
      </c>
      <c r="BG89" s="44">
        <f>KOL_Database!$AI$28&amp;", "&amp;KOL_Database!$AG$28</f>
      </c>
    </row>
    <row r="90" spans="1:59" x14ac:dyDescent="0.25">
      <c r="A90" s="43" t="s">
        <v>77</v>
      </c>
      <c r="B90" s="44">
        <f>Brand_Profile!$F$9</f>
      </c>
      <c r="C90" s="44">
        <f>KOL_Database!$A$29</f>
      </c>
      <c r="D90" s="44">
        <f>KOL_Database!$B$29</f>
      </c>
      <c r="E90" s="44">
        <f>KOL_Database!$C$29</f>
      </c>
      <c r="F90" s="44">
        <f>KOL_Database!$D$29</f>
      </c>
      <c r="G90" s="44">
        <f>KOL_Database!$E$29</f>
      </c>
      <c r="H90" s="44">
        <f>KOL_Database!$G$29</f>
      </c>
      <c r="I90" s="45">
        <f>KOL_Database!$J$29</f>
      </c>
      <c r="J90" s="46">
        <f>KOL_Database!$K$29</f>
      </c>
      <c r="K90" s="47">
        <f>IFERROR(INDEX(Lookup_Lists!$B$170:$O$181,MATCH(Brand_Profile!$F$10,Lookup_Lists!$A$170:$A$181,0),MATCH(KOL_Database!$E$29,Lookup_Lists!$B$169:$O$169,0)),Lookup_Lists!$D$151)</f>
      </c>
      <c r="L90" s="47">
        <f>IF(KOL_Database!$F$29="",Matching_Engine!$BC$90,IF(Brand_Profile!$F$12=KOL_Database!$F$29,100,IF(Matching_Engine!$BA$90=KOL_Database!$E$29,80,IF(Matching_Engine!$BC$90&gt;=80,60,IF(Matching_Engine!$BC$90&gt;=60,40,Lookup_Lists!$D$151)))))</f>
      </c>
      <c r="M90" s="47">
        <f>ROUND((IF(Brand_Profile!$F$62=0,Lookup_Lists!$D$150,ROUND((IF(Brand_Profile!$F$57="",0,IF(ISNUMBER(SEARCH(Brand_Profile!$F$57,Matching_Engine!$BF$90)),1,0))+IF(Brand_Profile!$F$58="",0,IF(ISNUMBER(SEARCH(Brand_Profile!$F$58,Matching_Engine!$BF$90)),1,0))+IF(Brand_Profile!$F$59="",0,IF(ISNUMBER(SEARCH(Brand_Profile!$F$59,Matching_Engine!$BF$90)),1,0))+IF(Brand_Profile!$F$60="",0,IF(ISNUMBER(SEARCH(Brand_Profile!$F$60,Matching_Engine!$BF$90)),1,0))+IF(Brand_Profile!$F$61="",0,IF(ISNUMBER(SEARCH(Brand_Profile!$F$61,Matching_Engine!$BF$90)),1,0)))/Brand_Profile!$F$62*100,0))+IF(Brand_Profile!$F$74=0,Lookup_Lists!$D$150,ROUND((IF(Brand_Profile!$F$69="",0,IF(ISNUMBER(SEARCH(Brand_Profile!$F$69,Matching_Engine!$BF$90)),1,0))+IF(Brand_Profile!$F$70="",0,IF(ISNUMBER(SEARCH(Brand_Profile!$F$70,Matching_Engine!$BF$90)),1,0))+IF(Brand_Profile!$F$71="",0,IF(ISNUMBER(SEARCH(Brand_Profile!$F$71,Matching_Engine!$BF$90)),1,0))+IF(Brand_Profile!$F$72="",0,IF(ISNUMBER(SEARCH(Brand_Profile!$F$72,Matching_Engine!$BF$90)),1,0))+IF(Brand_Profile!$F$73="",0,IF(ISNUMBER(SEARCH(Brand_Profile!$F$73,Matching_Engine!$BF$90)),1,0)))/Brand_Profile!$F$74*100,0)))/2,0)</f>
      </c>
      <c r="N90" s="47">
        <f>ROUND((Matching_Engine!$K$90*Lookup_Lists!$D$110+Matching_Engine!$L$90*Lookup_Lists!$D$111+Matching_Engine!$M$90*Lookup_Lists!$D$112)/(Lookup_Lists!$D$110+Lookup_Lists!$D$111+Lookup_Lists!$D$112),0)</f>
      </c>
      <c r="O90" s="47">
        <f>IF(Brand_Profile!$F$16="",Lookup_Lists!$D$150,MIN(100,ROUND((IFERROR(INDEX(KOL_Database!$W$29:KOL_Database!$AA$29,1,MATCH(Brand_Profile!$F$16,Lookup_Lists!$F$6:$F$10,0)),0)+0.5*IFERROR(INDEX(KOL_Database!$W$29:KOL_Database!$AA$29,1,MATCH(Brand_Profile!$F$17,Lookup_Lists!$F$6:$F$10,0)),0))/Lookup_Lists!$D$142*100,0)))</f>
      </c>
      <c r="P90" s="47">
        <f>IF(OR(Brand_Profile!$F$18="",Brand_Profile!$F$18="Any"),100,IF(Brand_Profile!$F$18="Female",MIN(100,ROUND(KOL_Database!$AB$29/Lookup_Lists!$D$143*100,0)),IF(Brand_Profile!$F$18="Male",MIN(100,ROUND(KOL_Database!$AC$29/Lookup_Lists!$D$143*100,0)),MAX(0,ROUND(100-ABS(KOL_Database!$AB$29-50)*2,0)))))</f>
      </c>
      <c r="Q90" s="47">
        <f>ROUND((IF(Brand_Profile!$F$19="",100,IF(KOL_Database!$AD$29=Brand_Profile!$F$19,100,Lookup_Lists!$D$151))*Lookup_Lists!$D$118+IF(OR(Brand_Profile!$F$20="",Brand_Profile!$F$20="Nasional"),100,IF(KOL_Database!$AE$29="",Lookup_Lists!$D$150,IF(KOL_Database!$AE$29=Brand_Profile!$F$20,100,IF(KOL_Database!$AD$29=Brand_Profile!$F$19,40,Lookup_Lists!$D$151))))*Lookup_Lists!$D$119+IF(OR(Brand_Profile!$F$21="",Brand_Profile!$F$21="Nasional"),100,IF(KOL_Database!$AF$29="",Lookup_Lists!$D$150,IF(KOL_Database!$AF$29=Brand_Profile!$F$21,100,IF(KOL_Database!$AE$29=Brand_Profile!$F$20,60,Lookup_Lists!$D$151))))*Lookup_Lists!$D$120)/(Lookup_Lists!$D$118+Lookup_Lists!$D$119+Lookup_Lists!$D$120),0)</f>
      </c>
      <c r="R90" s="47">
        <f>IF(Brand_Profile!$F$68=0,Lookup_Lists!$D$150,ROUND((IF(Brand_Profile!$F$63="",0,IF(ISNUMBER(SEARCH(Brand_Profile!$F$63,KOL_Database!$AG$29)),1,0))+IF(Brand_Profile!$F$64="",0,IF(ISNUMBER(SEARCH(Brand_Profile!$F$64,KOL_Database!$AG$29)),1,0))+IF(Brand_Profile!$F$65="",0,IF(ISNUMBER(SEARCH(Brand_Profile!$F$65,KOL_Database!$AG$29)),1,0))+IF(Brand_Profile!$F$66="",0,IF(ISNUMBER(SEARCH(Brand_Profile!$F$66,KOL_Database!$AG$29)),1,0))+IF(Brand_Profile!$F$67="",0,IF(ISNUMBER(SEARCH(Brand_Profile!$F$67,KOL_Database!$AG$29)),1,0)))/Brand_Profile!$F$68*100,0))</f>
      </c>
      <c r="S90" s="47">
        <f>ROUND((Matching_Engine!$O$90*Brand_Profile!$F$96+Matching_Engine!$P$90*Brand_Profile!$F$97+Matching_Engine!$Q$90*Brand_Profile!$F$98+Matching_Engine!$R$90*Brand_Profile!$F$99)/MAX(1,Brand_Profile!$F$96+Brand_Profile!$F$97+Brand_Profile!$F$98+Brand_Profile!$F$99),0)</f>
      </c>
      <c r="T90" s="47">
        <f>IF(Brand_Profile!$F$33="",Lookup_Lists!$D$150,Matching_Engine!$BD$90)</f>
      </c>
      <c r="U90" s="47">
        <f>IF(Brand_Profile!$F$34="",Lookup_Lists!$D$150,IF(Brand_Profile!$F$34=KOL_Database!$F$29,100,IF(Matching_Engine!$BE$90=KOL_Database!$E$29,75,IF(Matching_Engine!$BD$90&gt;=80,Lookup_Lists!$D$150,IF(Matching_Engine!$BD$90&gt;=60,35,Lookup_Lists!$D$151)))))</f>
      </c>
      <c r="V90" s="47">
        <f>IF(Brand_Profile!$F$86=0,Lookup_Lists!$D$150,ROUND((IF(Brand_Profile!$F$81="",0,IF(ISNUMBER(SEARCH(Brand_Profile!$F$81,Matching_Engine!$BG$90)),1,0))+IF(Brand_Profile!$F$82="",0,IF(ISNUMBER(SEARCH(Brand_Profile!$F$82,Matching_Engine!$BG$90)),1,0))+IF(Brand_Profile!$F$83="",0,IF(ISNUMBER(SEARCH(Brand_Profile!$F$83,Matching_Engine!$BG$90)),1,0))+IF(Brand_Profile!$F$84="",0,IF(ISNUMBER(SEARCH(Brand_Profile!$F$84,Matching_Engine!$BG$90)),1,0))+IF(Brand_Profile!$F$85="",0,IF(ISNUMBER(SEARCH(Brand_Profile!$F$85,Matching_Engine!$BG$90)),1,0)))/Brand_Profile!$F$86*100,0))</f>
      </c>
      <c r="W90" s="47">
        <f>IF(Brand_Profile!$F$39="",Lookup_Lists!$D$150,IFERROR(INDEX(Lookup_Lists!$B$237:$K$246,MATCH(Brand_Profile!$F$39,Lookup_Lists!$A$237:$A$246,0),MATCH(KOL_Database!$AJ$29,Lookup_Lists!$B$236:$K$236,0)),45))</f>
      </c>
      <c r="X90" s="47">
        <f>ROUND((Matching_Engine!$T$90*Lookup_Lists!$D$121+Matching_Engine!$U$90*Lookup_Lists!$D$122+Matching_Engine!$V$90*Lookup_Lists!$D$123+Matching_Engine!$W$90*Lookup_Lists!$D$124)/(Lookup_Lists!$D$121+Lookup_Lists!$D$122+Lookup_Lists!$D$123+Lookup_Lists!$D$124),0)</f>
      </c>
      <c r="Y90" s="47">
        <f>MIN(100,MAX(IFERROR(INDEX(Lookup_Lists!$B$202:$M$211,MATCH(Brand_Profile!$F$25,Lookup_Lists!$A$202:$A$211,0),MATCH(KOL_Database!$AK$29,Lookup_Lists!$B$201:$M$201,0)),40),IF(KOL_Database!$AK$29=Brand_Profile!$F$41,95,0)))</f>
      </c>
      <c r="Z90" s="47">
        <f>IFERROR(INDEX(Lookup_Lists!$B$215:$K$222,MATCH(Brand_Profile!$F$27,Lookup_Lists!$A$215:$A$222,0),MATCH(KOL_Database!$AJ$29,Lookup_Lists!$B$214:$K$214,0)),45)</f>
      </c>
      <c r="AA90" s="47">
        <f>ROUND((IF(Brand_Profile!$F$80=0,Lookup_Lists!$D$150,ROUND((IF(Brand_Profile!$F$75="",0,IF(ISNUMBER(SEARCH(Brand_Profile!$F$75,KOL_Database!$AL$29)),1,0))+IF(Brand_Profile!$F$76="",0,IF(ISNUMBER(SEARCH(Brand_Profile!$F$76,KOL_Database!$AL$29)),1,0))+IF(Brand_Profile!$F$77="",0,IF(ISNUMBER(SEARCH(Brand_Profile!$F$77,KOL_Database!$AL$29)),1,0))+IF(Brand_Profile!$F$78="",0,IF(ISNUMBER(SEARCH(Brand_Profile!$F$78,KOL_Database!$AL$29)),1,0))+IF(Brand_Profile!$F$79="",0,IF(ISNUMBER(SEARCH(Brand_Profile!$F$79,KOL_Database!$AL$29)),1,0)))/Brand_Profile!$F$80*100,0))+IF(Brand_Profile!$F$92=0,Lookup_Lists!$D$150,ROUND((IF(Brand_Profile!$F$87="",0,IF(ISNUMBER(SEARCH(Brand_Profile!$F$87,KOL_Database!$AL$29)),1,0))+IF(Brand_Profile!$F$88="",0,IF(ISNUMBER(SEARCH(Brand_Profile!$F$88,KOL_Database!$AL$29)),1,0))+IF(Brand_Profile!$F$89="",0,IF(ISNUMBER(SEARCH(Brand_Profile!$F$89,KOL_Database!$AL$29)),1,0))+IF(Brand_Profile!$F$90="",0,IF(ISNUMBER(SEARCH(Brand_Profile!$F$90,KOL_Database!$AL$29)),1,0))+IF(Brand_Profile!$F$91="",0,IF(ISNUMBER(SEARCH(Brand_Profile!$F$91,KOL_Database!$AL$29)),1,0)))/Brand_Profile!$F$92*100,0)))/2,0)</f>
      </c>
      <c r="AB90" s="47">
        <f>IFERROR(INDEX(Lookup_Lists!$B$226:$K$233,MATCH(Brand_Profile!$F$30,Lookup_Lists!$A$226:$A$233,0),MATCH(KOL_Database!$AJ$29,Lookup_Lists!$B$225:$K$225,0)),45)</f>
      </c>
      <c r="AC90" s="47">
        <f>ROUND((Matching_Engine!$Y$90*Lookup_Lists!$D$125+Matching_Engine!$Z$90*Lookup_Lists!$D$126+Matching_Engine!$AA$90*Lookup_Lists!$D$127+Matching_Engine!$AB$90*Lookup_Lists!$D$128)/(Lookup_Lists!$D$125+Lookup_Lists!$D$126+Lookup_Lists!$D$127+Lookup_Lists!$D$128),0)</f>
      </c>
      <c r="AD90" s="47">
        <f>IF(KOL_Database!$K$29="",0,MIN(100,ROUND(KOL_Database!$K$29/Lookup_Lists!$D$141*100,0)))</f>
      </c>
      <c r="AE90" s="47">
        <f>IF(KOL_Database!$R$29="",0,MIN(100,MAX(0,KOL_Database!$R$29)))</f>
      </c>
      <c r="AF90" s="47">
        <f>IF(KOL_Database!$P$29="",0,MIN(100,MAX(0,KOL_Database!$P$29)))</f>
      </c>
      <c r="AG90" s="47">
        <f>IF(KOL_Database!$Q$29="",0,MIN(100,MAX(0,KOL_Database!$Q$29)))</f>
      </c>
      <c r="AH90" s="47">
        <f>IF(OR(KOL_Database!$J$29="",KOL_Database!$J$29=0,KOL_Database!$L$29=""),0,MIN(100,ROUND(KOL_Database!$L$29/KOL_Database!$J$29/Lookup_Lists!$D$144*100,0)))</f>
      </c>
      <c r="AI90" s="47">
        <f>IF(KOL_Database!$N$29="",0,MIN(100,MAX(0,ROUND((KOL_Database!$N$29+2)/(Lookup_Lists!$D$145+2)*100,0))))</f>
      </c>
      <c r="AJ90" s="47">
        <f>ROUND((Matching_Engine!$AD$90*Lookup_Lists!$D$129+Matching_Engine!$AE$90*Lookup_Lists!$D$130+Matching_Engine!$AF$90*Lookup_Lists!$D$131+Matching_Engine!$AG$90*Lookup_Lists!$D$132+Matching_Engine!$AH$90*Lookup_Lists!$D$133+Matching_Engine!$AI$90*Lookup_Lists!$D$134)/(Lookup_Lists!$D$129+Lookup_Lists!$D$130+Lookup_Lists!$D$131+Lookup_Lists!$D$132+Lookup_Lists!$D$133+Lookup_Lists!$D$134),0)</f>
      </c>
      <c r="AK90" s="47">
        <f>IF(KOL_Database!$AT$29="",0,MIN(100,MAX(0,KOL_Database!$AT$29)))</f>
      </c>
      <c r="AL90" s="47">
        <f>IF(KOL_Database!$AU$29="",0,KOL_Database!$AU$29)</f>
      </c>
      <c r="AM90" s="44">
        <f>IF(KOL_Database!$AV$29="","None",KOL_Database!$AV$29)</f>
      </c>
      <c r="AN90" s="48">
        <f>IF(Matching_Engine!$AM$90="High",Lookup_Lists!$D$137,IF(Matching_Engine!$AM$90="Medium",Lookup_Lists!$D$138,IF(Matching_Engine!$AM$90="Low",Lookup_Lists!$D$139,Lookup_Lists!$D$140)))</f>
      </c>
      <c r="AO90" s="47">
        <f>ROUND(MIN(100,MAX(0,(Matching_Engine!$AK$90*Lookup_Lists!$D$135+(100-Matching_Engine!$AL$90)*Lookup_Lists!$D$136)/(Lookup_Lists!$D$135+Lookup_Lists!$D$136)*Matching_Engine!$AN$90)),0)</f>
      </c>
      <c r="AP90" s="49">
        <f>ROUND((Matching_Engine!$N$90*Lookup_Lists!$D$104+Matching_Engine!$S$90*Lookup_Lists!$D$105+Matching_Engine!$X$90*Lookup_Lists!$D$106+Matching_Engine!$AC$90*Lookup_Lists!$D$107+Matching_Engine!$AJ$90*Lookup_Lists!$D$108+Matching_Engine!$AO$90*Lookup_Lists!$D$109)/MAX(1,(Lookup_Lists!$D$104+Lookup_Lists!$D$105+Lookup_Lists!$D$106+Lookup_Lists!$D$107+Lookup_Lists!$D$108+Lookup_Lists!$D$109)),0)</f>
      </c>
      <c r="AQ90" s="44">
        <f>IF(Matching_Engine!$AP$90&gt;=Lookup_Lists!$D$152,"Excellent Match",IF(Matching_Engine!$AP$90&gt;=Lookup_Lists!$D$153,"Strong Match",IF(Matching_Engine!$AP$90&gt;=Lookup_Lists!$D$154,"Good Match",IF(Matching_Engine!$AP$90&gt;=Lookup_Lists!$D$155,"Moderate Match","Low Match"))))</f>
      </c>
      <c r="AR90" s="47">
        <f>KOL_Database!$BE$29</f>
      </c>
      <c r="AS90" s="44">
        <f>IF(Matching_Engine!$AR$90&gt;=Lookup_Lists!$D$159,"High",IF(Matching_Engine!$AR$90&gt;=Lookup_Lists!$D$160,"Medium","Limited Data"))</f>
      </c>
      <c r="AT90" s="47">
        <f>ROUND((Matching_Engine!$N$90+Matching_Engine!$X$90+Matching_Engine!$AC$90)/3,0)</f>
      </c>
      <c r="AU90" s="47">
        <f>ROUND(((100-Matching_Engine!$AL$90)*Lookup_Lists!$D$162+IF(KOL_Database!$BD$29="",Lookup_Lists!$D$150,KOL_Database!$BD$29)*Lookup_Lists!$D$163+Matching_Engine!$AI$90*Lookup_Lists!$D$164+Matching_Engine!$AD$90*Lookup_Lists!$D$165)/(Lookup_Lists!$D$162+Lookup_Lists!$D$163+Lookup_Lists!$D$164+Lookup_Lists!$D$165),0)</f>
      </c>
      <c r="AV90" s="44">
        <f>IF(Matching_Engine!$AW$90="","PASS","EXCLUDED")</f>
      </c>
      <c r="AW90" s="44">
        <f>IF(ISERROR(SEARCH(KOL_Database!$D$29,Brand_Profile!$F$32)),"Platform not in Preferred Platform",IF(AND(Brand_Profile!$F$36&gt;0,KOL_Database!$J$29&lt;Brand_Profile!$F$36),"Followers below Preferred Follower Range",IF(AND(Brand_Profile!$F$37&gt;0,KOL_Database!$J$29&gt;Brand_Profile!$F$37),"Followers above Preferred Follower Range",IF(AND(Brand_Profile!$F$38&gt;0,IF(KOL_Database!$K$29="",0,KOL_Database!$K$29)&lt;Brand_Profile!$F$38),"Engagement Rate below Minimum Engagement Rate",IF(ISERROR(SEARCH(KOL_Database!$G$29,Brand_Profile!$F$35)),"Tier not in Preferred Tier",IF(AND(Brand_Profile!$F$43&gt;0,Matching_Engine!$AE$90&lt;Brand_Profile!$F$43),"Audience Quality below Minimum Audience Quality",IF(AND(Brand_Profile!$F$44&gt;0,Matching_Engine!$AK$90&lt;Brand_Profile!$F$44),"Brand Safety below Minimum Brand Safety",IF(AND(Brand_Profile!$F$47="Yes",KOL_Database!$AD$29&lt;&gt;Brand_Profile!$F$19),"Audience Country does not match Target Country",IF(AND(Brand_Profile!$F$46="Yes",KOL_Database!$E$29&lt;&gt;Brand_Profile!$F$33),"Category is not the Preferred Category",IF(AND(Brand_Profile!$F$48&gt;0,Matching_Engine!$AL$90&gt;Brand_Profile!$F$48),"Competitor Saturation above Max Competitor Saturation",IF(AND(Brand_Profile!$F$50="Yes",KOL_Database!$AW$29="Yes"),"Already Selected",IF(AND(Brand_Profile!$F$51="Yes",KOL_Database!$AX$29="Yes"),"Already in Cart",IF(AND(Brand_Profile!$F$52="Yes",KOL_Database!$AY$29="Yes"),"Existing Partner",IF(AND(Brand_Profile!$F$53="Yes",KOL_Database!$AZ$29="Yes"),"Excluded Creator",IF(AND(Brand_Profile!$F$49&gt;0,Matching_Engine!$AP$90&lt;Brand_Profile!$F$49),"Brand Match below Minimum Brand Match","")))))))))))))))</f>
      </c>
      <c r="AX90" s="44">
        <f>IF(Matching_Engine!$AV$90="EXCLUDED","Excluded",IF(Matching_Engine!$AP$90&gt;=Lookup_Lists!$D$156,"Highly Recommended",IF(Matching_Engine!$AP$90&gt;=Lookup_Lists!$D$157,"Recommended",IF(Matching_Engine!$AP$90&gt;=Lookup_Lists!$D$158,"Consider","Low Priority"))))</f>
      </c>
      <c r="AY90" s="47">
        <f>IF(Matching_Engine!$AV$90="PASS",Matching_Engine!$AP$90,"")</f>
      </c>
      <c r="AZ90" s="44">
        <f>Matching_Engine!$A$90&amp;"|"&amp;Matching_Engine!$C$90</f>
      </c>
      <c r="BA90" s="44">
        <f>IFERROR(INDEX(Lookup_Lists!$B$51:$B$92,MATCH(Brand_Profile!$F$12,Lookup_Lists!$A$51:$A$92,0)),"")</f>
      </c>
      <c r="BB90" s="44">
        <f>IFERROR(INDEX(Lookup_Lists!$B$51:$B$92,MATCH(KOL_Database!$F$29,Lookup_Lists!$A$51:$A$92,0)),"")</f>
      </c>
      <c r="BC90" s="47">
        <f>IFERROR(INDEX(Lookup_Lists!$B$185:$O$198,MATCH(Matching_Engine!$BA$90,Lookup_Lists!$A$185:$A$198,0),MATCH(KOL_Database!$E$29,Lookup_Lists!$B$184:$O$184,0)),Lookup_Lists!$D$151)</f>
      </c>
      <c r="BD90" s="47">
        <f>IFERROR(INDEX(Lookup_Lists!$B$185:$O$198,MATCH(Brand_Profile!$F$33,Lookup_Lists!$A$185:$A$198,0),MATCH(KOL_Database!$E$29,Lookup_Lists!$B$184:$O$184,0)),Lookup_Lists!$D$151)</f>
      </c>
      <c r="BE90" s="44">
        <f>IFERROR(INDEX(Lookup_Lists!$B$51:$B$92,MATCH(Brand_Profile!$F$34,Lookup_Lists!$A$51:$A$92,0)),"")</f>
      </c>
      <c r="BF90" s="44">
        <f>KOL_Database!$AI$29&amp;", "&amp;KOL_Database!$AG$29&amp;", "&amp;KOL_Database!$F$29&amp;", "&amp;KOL_Database!$E$29</f>
      </c>
      <c r="BG90" s="44">
        <f>KOL_Database!$AI$29&amp;", "&amp;KOL_Database!$AG$29</f>
      </c>
    </row>
    <row r="91" spans="1:59" x14ac:dyDescent="0.25">
      <c r="A91" s="43" t="s">
        <v>77</v>
      </c>
      <c r="B91" s="44">
        <f>Brand_Profile!$F$9</f>
      </c>
      <c r="C91" s="44">
        <f>KOL_Database!$A$30</f>
      </c>
      <c r="D91" s="44">
        <f>KOL_Database!$B$30</f>
      </c>
      <c r="E91" s="44">
        <f>KOL_Database!$C$30</f>
      </c>
      <c r="F91" s="44">
        <f>KOL_Database!$D$30</f>
      </c>
      <c r="G91" s="44">
        <f>KOL_Database!$E$30</f>
      </c>
      <c r="H91" s="44">
        <f>KOL_Database!$G$30</f>
      </c>
      <c r="I91" s="45">
        <f>KOL_Database!$J$30</f>
      </c>
      <c r="J91" s="46">
        <f>KOL_Database!$K$30</f>
      </c>
      <c r="K91" s="47">
        <f>IFERROR(INDEX(Lookup_Lists!$B$170:$O$181,MATCH(Brand_Profile!$F$10,Lookup_Lists!$A$170:$A$181,0),MATCH(KOL_Database!$E$30,Lookup_Lists!$B$169:$O$169,0)),Lookup_Lists!$D$151)</f>
      </c>
      <c r="L91" s="47">
        <f>IF(KOL_Database!$F$30="",Matching_Engine!$BC$91,IF(Brand_Profile!$F$12=KOL_Database!$F$30,100,IF(Matching_Engine!$BA$91=KOL_Database!$E$30,80,IF(Matching_Engine!$BC$91&gt;=80,60,IF(Matching_Engine!$BC$91&gt;=60,40,Lookup_Lists!$D$151)))))</f>
      </c>
      <c r="M91" s="47">
        <f>ROUND((IF(Brand_Profile!$F$62=0,Lookup_Lists!$D$150,ROUND((IF(Brand_Profile!$F$57="",0,IF(ISNUMBER(SEARCH(Brand_Profile!$F$57,Matching_Engine!$BF$91)),1,0))+IF(Brand_Profile!$F$58="",0,IF(ISNUMBER(SEARCH(Brand_Profile!$F$58,Matching_Engine!$BF$91)),1,0))+IF(Brand_Profile!$F$59="",0,IF(ISNUMBER(SEARCH(Brand_Profile!$F$59,Matching_Engine!$BF$91)),1,0))+IF(Brand_Profile!$F$60="",0,IF(ISNUMBER(SEARCH(Brand_Profile!$F$60,Matching_Engine!$BF$91)),1,0))+IF(Brand_Profile!$F$61="",0,IF(ISNUMBER(SEARCH(Brand_Profile!$F$61,Matching_Engine!$BF$91)),1,0)))/Brand_Profile!$F$62*100,0))+IF(Brand_Profile!$F$74=0,Lookup_Lists!$D$150,ROUND((IF(Brand_Profile!$F$69="",0,IF(ISNUMBER(SEARCH(Brand_Profile!$F$69,Matching_Engine!$BF$91)),1,0))+IF(Brand_Profile!$F$70="",0,IF(ISNUMBER(SEARCH(Brand_Profile!$F$70,Matching_Engine!$BF$91)),1,0))+IF(Brand_Profile!$F$71="",0,IF(ISNUMBER(SEARCH(Brand_Profile!$F$71,Matching_Engine!$BF$91)),1,0))+IF(Brand_Profile!$F$72="",0,IF(ISNUMBER(SEARCH(Brand_Profile!$F$72,Matching_Engine!$BF$91)),1,0))+IF(Brand_Profile!$F$73="",0,IF(ISNUMBER(SEARCH(Brand_Profile!$F$73,Matching_Engine!$BF$91)),1,0)))/Brand_Profile!$F$74*100,0)))/2,0)</f>
      </c>
      <c r="N91" s="47">
        <f>ROUND((Matching_Engine!$K$91*Lookup_Lists!$D$110+Matching_Engine!$L$91*Lookup_Lists!$D$111+Matching_Engine!$M$91*Lookup_Lists!$D$112)/(Lookup_Lists!$D$110+Lookup_Lists!$D$111+Lookup_Lists!$D$112),0)</f>
      </c>
      <c r="O91" s="47">
        <f>IF(Brand_Profile!$F$16="",Lookup_Lists!$D$150,MIN(100,ROUND((IFERROR(INDEX(KOL_Database!$W$30:KOL_Database!$AA$30,1,MATCH(Brand_Profile!$F$16,Lookup_Lists!$F$6:$F$10,0)),0)+0.5*IFERROR(INDEX(KOL_Database!$W$30:KOL_Database!$AA$30,1,MATCH(Brand_Profile!$F$17,Lookup_Lists!$F$6:$F$10,0)),0))/Lookup_Lists!$D$142*100,0)))</f>
      </c>
      <c r="P91" s="47">
        <f>IF(OR(Brand_Profile!$F$18="",Brand_Profile!$F$18="Any"),100,IF(Brand_Profile!$F$18="Female",MIN(100,ROUND(KOL_Database!$AB$30/Lookup_Lists!$D$143*100,0)),IF(Brand_Profile!$F$18="Male",MIN(100,ROUND(KOL_Database!$AC$30/Lookup_Lists!$D$143*100,0)),MAX(0,ROUND(100-ABS(KOL_Database!$AB$30-50)*2,0)))))</f>
      </c>
      <c r="Q91" s="47">
        <f>ROUND((IF(Brand_Profile!$F$19="",100,IF(KOL_Database!$AD$30=Brand_Profile!$F$19,100,Lookup_Lists!$D$151))*Lookup_Lists!$D$118+IF(OR(Brand_Profile!$F$20="",Brand_Profile!$F$20="Nasional"),100,IF(KOL_Database!$AE$30="",Lookup_Lists!$D$150,IF(KOL_Database!$AE$30=Brand_Profile!$F$20,100,IF(KOL_Database!$AD$30=Brand_Profile!$F$19,40,Lookup_Lists!$D$151))))*Lookup_Lists!$D$119+IF(OR(Brand_Profile!$F$21="",Brand_Profile!$F$21="Nasional"),100,IF(KOL_Database!$AF$30="",Lookup_Lists!$D$150,IF(KOL_Database!$AF$30=Brand_Profile!$F$21,100,IF(KOL_Database!$AE$30=Brand_Profile!$F$20,60,Lookup_Lists!$D$151))))*Lookup_Lists!$D$120)/(Lookup_Lists!$D$118+Lookup_Lists!$D$119+Lookup_Lists!$D$120),0)</f>
      </c>
      <c r="R91" s="47">
        <f>IF(Brand_Profile!$F$68=0,Lookup_Lists!$D$150,ROUND((IF(Brand_Profile!$F$63="",0,IF(ISNUMBER(SEARCH(Brand_Profile!$F$63,KOL_Database!$AG$30)),1,0))+IF(Brand_Profile!$F$64="",0,IF(ISNUMBER(SEARCH(Brand_Profile!$F$64,KOL_Database!$AG$30)),1,0))+IF(Brand_Profile!$F$65="",0,IF(ISNUMBER(SEARCH(Brand_Profile!$F$65,KOL_Database!$AG$30)),1,0))+IF(Brand_Profile!$F$66="",0,IF(ISNUMBER(SEARCH(Brand_Profile!$F$66,KOL_Database!$AG$30)),1,0))+IF(Brand_Profile!$F$67="",0,IF(ISNUMBER(SEARCH(Brand_Profile!$F$67,KOL_Database!$AG$30)),1,0)))/Brand_Profile!$F$68*100,0))</f>
      </c>
      <c r="S91" s="47">
        <f>ROUND((Matching_Engine!$O$91*Brand_Profile!$F$96+Matching_Engine!$P$91*Brand_Profile!$F$97+Matching_Engine!$Q$91*Brand_Profile!$F$98+Matching_Engine!$R$91*Brand_Profile!$F$99)/MAX(1,Brand_Profile!$F$96+Brand_Profile!$F$97+Brand_Profile!$F$98+Brand_Profile!$F$99),0)</f>
      </c>
      <c r="T91" s="47">
        <f>IF(Brand_Profile!$F$33="",Lookup_Lists!$D$150,Matching_Engine!$BD$91)</f>
      </c>
      <c r="U91" s="47">
        <f>IF(Brand_Profile!$F$34="",Lookup_Lists!$D$150,IF(Brand_Profile!$F$34=KOL_Database!$F$30,100,IF(Matching_Engine!$BE$91=KOL_Database!$E$30,75,IF(Matching_Engine!$BD$91&gt;=80,Lookup_Lists!$D$150,IF(Matching_Engine!$BD$91&gt;=60,35,Lookup_Lists!$D$151)))))</f>
      </c>
      <c r="V91" s="47">
        <f>IF(Brand_Profile!$F$86=0,Lookup_Lists!$D$150,ROUND((IF(Brand_Profile!$F$81="",0,IF(ISNUMBER(SEARCH(Brand_Profile!$F$81,Matching_Engine!$BG$91)),1,0))+IF(Brand_Profile!$F$82="",0,IF(ISNUMBER(SEARCH(Brand_Profile!$F$82,Matching_Engine!$BG$91)),1,0))+IF(Brand_Profile!$F$83="",0,IF(ISNUMBER(SEARCH(Brand_Profile!$F$83,Matching_Engine!$BG$91)),1,0))+IF(Brand_Profile!$F$84="",0,IF(ISNUMBER(SEARCH(Brand_Profile!$F$84,Matching_Engine!$BG$91)),1,0))+IF(Brand_Profile!$F$85="",0,IF(ISNUMBER(SEARCH(Brand_Profile!$F$85,Matching_Engine!$BG$91)),1,0)))/Brand_Profile!$F$86*100,0))</f>
      </c>
      <c r="W91" s="47">
        <f>IF(Brand_Profile!$F$39="",Lookup_Lists!$D$150,IFERROR(INDEX(Lookup_Lists!$B$237:$K$246,MATCH(Brand_Profile!$F$39,Lookup_Lists!$A$237:$A$246,0),MATCH(KOL_Database!$AJ$30,Lookup_Lists!$B$236:$K$236,0)),45))</f>
      </c>
      <c r="X91" s="47">
        <f>ROUND((Matching_Engine!$T$91*Lookup_Lists!$D$121+Matching_Engine!$U$91*Lookup_Lists!$D$122+Matching_Engine!$V$91*Lookup_Lists!$D$123+Matching_Engine!$W$91*Lookup_Lists!$D$124)/(Lookup_Lists!$D$121+Lookup_Lists!$D$122+Lookup_Lists!$D$123+Lookup_Lists!$D$124),0)</f>
      </c>
      <c r="Y91" s="47">
        <f>MIN(100,MAX(IFERROR(INDEX(Lookup_Lists!$B$202:$M$211,MATCH(Brand_Profile!$F$25,Lookup_Lists!$A$202:$A$211,0),MATCH(KOL_Database!$AK$30,Lookup_Lists!$B$201:$M$201,0)),40),IF(KOL_Database!$AK$30=Brand_Profile!$F$41,95,0)))</f>
      </c>
      <c r="Z91" s="47">
        <f>IFERROR(INDEX(Lookup_Lists!$B$215:$K$222,MATCH(Brand_Profile!$F$27,Lookup_Lists!$A$215:$A$222,0),MATCH(KOL_Database!$AJ$30,Lookup_Lists!$B$214:$K$214,0)),45)</f>
      </c>
      <c r="AA91" s="47">
        <f>ROUND((IF(Brand_Profile!$F$80=0,Lookup_Lists!$D$150,ROUND((IF(Brand_Profile!$F$75="",0,IF(ISNUMBER(SEARCH(Brand_Profile!$F$75,KOL_Database!$AL$30)),1,0))+IF(Brand_Profile!$F$76="",0,IF(ISNUMBER(SEARCH(Brand_Profile!$F$76,KOL_Database!$AL$30)),1,0))+IF(Brand_Profile!$F$77="",0,IF(ISNUMBER(SEARCH(Brand_Profile!$F$77,KOL_Database!$AL$30)),1,0))+IF(Brand_Profile!$F$78="",0,IF(ISNUMBER(SEARCH(Brand_Profile!$F$78,KOL_Database!$AL$30)),1,0))+IF(Brand_Profile!$F$79="",0,IF(ISNUMBER(SEARCH(Brand_Profile!$F$79,KOL_Database!$AL$30)),1,0)))/Brand_Profile!$F$80*100,0))+IF(Brand_Profile!$F$92=0,Lookup_Lists!$D$150,ROUND((IF(Brand_Profile!$F$87="",0,IF(ISNUMBER(SEARCH(Brand_Profile!$F$87,KOL_Database!$AL$30)),1,0))+IF(Brand_Profile!$F$88="",0,IF(ISNUMBER(SEARCH(Brand_Profile!$F$88,KOL_Database!$AL$30)),1,0))+IF(Brand_Profile!$F$89="",0,IF(ISNUMBER(SEARCH(Brand_Profile!$F$89,KOL_Database!$AL$30)),1,0))+IF(Brand_Profile!$F$90="",0,IF(ISNUMBER(SEARCH(Brand_Profile!$F$90,KOL_Database!$AL$30)),1,0))+IF(Brand_Profile!$F$91="",0,IF(ISNUMBER(SEARCH(Brand_Profile!$F$91,KOL_Database!$AL$30)),1,0)))/Brand_Profile!$F$92*100,0)))/2,0)</f>
      </c>
      <c r="AB91" s="47">
        <f>IFERROR(INDEX(Lookup_Lists!$B$226:$K$233,MATCH(Brand_Profile!$F$30,Lookup_Lists!$A$226:$A$233,0),MATCH(KOL_Database!$AJ$30,Lookup_Lists!$B$225:$K$225,0)),45)</f>
      </c>
      <c r="AC91" s="47">
        <f>ROUND((Matching_Engine!$Y$91*Lookup_Lists!$D$125+Matching_Engine!$Z$91*Lookup_Lists!$D$126+Matching_Engine!$AA$91*Lookup_Lists!$D$127+Matching_Engine!$AB$91*Lookup_Lists!$D$128)/(Lookup_Lists!$D$125+Lookup_Lists!$D$126+Lookup_Lists!$D$127+Lookup_Lists!$D$128),0)</f>
      </c>
      <c r="AD91" s="47">
        <f>IF(KOL_Database!$K$30="",0,MIN(100,ROUND(KOL_Database!$K$30/Lookup_Lists!$D$141*100,0)))</f>
      </c>
      <c r="AE91" s="47">
        <f>IF(KOL_Database!$R$30="",0,MIN(100,MAX(0,KOL_Database!$R$30)))</f>
      </c>
      <c r="AF91" s="47">
        <f>IF(KOL_Database!$P$30="",0,MIN(100,MAX(0,KOL_Database!$P$30)))</f>
      </c>
      <c r="AG91" s="47">
        <f>IF(KOL_Database!$Q$30="",0,MIN(100,MAX(0,KOL_Database!$Q$30)))</f>
      </c>
      <c r="AH91" s="47">
        <f>IF(OR(KOL_Database!$J$30="",KOL_Database!$J$30=0,KOL_Database!$L$30=""),0,MIN(100,ROUND(KOL_Database!$L$30/KOL_Database!$J$30/Lookup_Lists!$D$144*100,0)))</f>
      </c>
      <c r="AI91" s="47">
        <f>IF(KOL_Database!$N$30="",0,MIN(100,MAX(0,ROUND((KOL_Database!$N$30+2)/(Lookup_Lists!$D$145+2)*100,0))))</f>
      </c>
      <c r="AJ91" s="47">
        <f>ROUND((Matching_Engine!$AD$91*Lookup_Lists!$D$129+Matching_Engine!$AE$91*Lookup_Lists!$D$130+Matching_Engine!$AF$91*Lookup_Lists!$D$131+Matching_Engine!$AG$91*Lookup_Lists!$D$132+Matching_Engine!$AH$91*Lookup_Lists!$D$133+Matching_Engine!$AI$91*Lookup_Lists!$D$134)/(Lookup_Lists!$D$129+Lookup_Lists!$D$130+Lookup_Lists!$D$131+Lookup_Lists!$D$132+Lookup_Lists!$D$133+Lookup_Lists!$D$134),0)</f>
      </c>
      <c r="AK91" s="47">
        <f>IF(KOL_Database!$AT$30="",0,MIN(100,MAX(0,KOL_Database!$AT$30)))</f>
      </c>
      <c r="AL91" s="47">
        <f>IF(KOL_Database!$AU$30="",0,KOL_Database!$AU$30)</f>
      </c>
      <c r="AM91" s="44">
        <f>IF(KOL_Database!$AV$30="","None",KOL_Database!$AV$30)</f>
      </c>
      <c r="AN91" s="48">
        <f>IF(Matching_Engine!$AM$91="High",Lookup_Lists!$D$137,IF(Matching_Engine!$AM$91="Medium",Lookup_Lists!$D$138,IF(Matching_Engine!$AM$91="Low",Lookup_Lists!$D$139,Lookup_Lists!$D$140)))</f>
      </c>
      <c r="AO91" s="47">
        <f>ROUND(MIN(100,MAX(0,(Matching_Engine!$AK$91*Lookup_Lists!$D$135+(100-Matching_Engine!$AL$91)*Lookup_Lists!$D$136)/(Lookup_Lists!$D$135+Lookup_Lists!$D$136)*Matching_Engine!$AN$91)),0)</f>
      </c>
      <c r="AP91" s="49">
        <f>ROUND((Matching_Engine!$N$91*Lookup_Lists!$D$104+Matching_Engine!$S$91*Lookup_Lists!$D$105+Matching_Engine!$X$91*Lookup_Lists!$D$106+Matching_Engine!$AC$91*Lookup_Lists!$D$107+Matching_Engine!$AJ$91*Lookup_Lists!$D$108+Matching_Engine!$AO$91*Lookup_Lists!$D$109)/MAX(1,(Lookup_Lists!$D$104+Lookup_Lists!$D$105+Lookup_Lists!$D$106+Lookup_Lists!$D$107+Lookup_Lists!$D$108+Lookup_Lists!$D$109)),0)</f>
      </c>
      <c r="AQ91" s="44">
        <f>IF(Matching_Engine!$AP$91&gt;=Lookup_Lists!$D$152,"Excellent Match",IF(Matching_Engine!$AP$91&gt;=Lookup_Lists!$D$153,"Strong Match",IF(Matching_Engine!$AP$91&gt;=Lookup_Lists!$D$154,"Good Match",IF(Matching_Engine!$AP$91&gt;=Lookup_Lists!$D$155,"Moderate Match","Low Match"))))</f>
      </c>
      <c r="AR91" s="47">
        <f>KOL_Database!$BE$30</f>
      </c>
      <c r="AS91" s="44">
        <f>IF(Matching_Engine!$AR$91&gt;=Lookup_Lists!$D$159,"High",IF(Matching_Engine!$AR$91&gt;=Lookup_Lists!$D$160,"Medium","Limited Data"))</f>
      </c>
      <c r="AT91" s="47">
        <f>ROUND((Matching_Engine!$N$91+Matching_Engine!$X$91+Matching_Engine!$AC$91)/3,0)</f>
      </c>
      <c r="AU91" s="47">
        <f>ROUND(((100-Matching_Engine!$AL$91)*Lookup_Lists!$D$162+IF(KOL_Database!$BD$30="",Lookup_Lists!$D$150,KOL_Database!$BD$30)*Lookup_Lists!$D$163+Matching_Engine!$AI$91*Lookup_Lists!$D$164+Matching_Engine!$AD$91*Lookup_Lists!$D$165)/(Lookup_Lists!$D$162+Lookup_Lists!$D$163+Lookup_Lists!$D$164+Lookup_Lists!$D$165),0)</f>
      </c>
      <c r="AV91" s="44">
        <f>IF(Matching_Engine!$AW$91="","PASS","EXCLUDED")</f>
      </c>
      <c r="AW91" s="44">
        <f>IF(ISERROR(SEARCH(KOL_Database!$D$30,Brand_Profile!$F$32)),"Platform not in Preferred Platform",IF(AND(Brand_Profile!$F$36&gt;0,KOL_Database!$J$30&lt;Brand_Profile!$F$36),"Followers below Preferred Follower Range",IF(AND(Brand_Profile!$F$37&gt;0,KOL_Database!$J$30&gt;Brand_Profile!$F$37),"Followers above Preferred Follower Range",IF(AND(Brand_Profile!$F$38&gt;0,IF(KOL_Database!$K$30="",0,KOL_Database!$K$30)&lt;Brand_Profile!$F$38),"Engagement Rate below Minimum Engagement Rate",IF(ISERROR(SEARCH(KOL_Database!$G$30,Brand_Profile!$F$35)),"Tier not in Preferred Tier",IF(AND(Brand_Profile!$F$43&gt;0,Matching_Engine!$AE$91&lt;Brand_Profile!$F$43),"Audience Quality below Minimum Audience Quality",IF(AND(Brand_Profile!$F$44&gt;0,Matching_Engine!$AK$91&lt;Brand_Profile!$F$44),"Brand Safety below Minimum Brand Safety",IF(AND(Brand_Profile!$F$47="Yes",KOL_Database!$AD$30&lt;&gt;Brand_Profile!$F$19),"Audience Country does not match Target Country",IF(AND(Brand_Profile!$F$46="Yes",KOL_Database!$E$30&lt;&gt;Brand_Profile!$F$33),"Category is not the Preferred Category",IF(AND(Brand_Profile!$F$48&gt;0,Matching_Engine!$AL$91&gt;Brand_Profile!$F$48),"Competitor Saturation above Max Competitor Saturation",IF(AND(Brand_Profile!$F$50="Yes",KOL_Database!$AW$30="Yes"),"Already Selected",IF(AND(Brand_Profile!$F$51="Yes",KOL_Database!$AX$30="Yes"),"Already in Cart",IF(AND(Brand_Profile!$F$52="Yes",KOL_Database!$AY$30="Yes"),"Existing Partner",IF(AND(Brand_Profile!$F$53="Yes",KOL_Database!$AZ$30="Yes"),"Excluded Creator",IF(AND(Brand_Profile!$F$49&gt;0,Matching_Engine!$AP$91&lt;Brand_Profile!$F$49),"Brand Match below Minimum Brand Match","")))))))))))))))</f>
      </c>
      <c r="AX91" s="44">
        <f>IF(Matching_Engine!$AV$91="EXCLUDED","Excluded",IF(Matching_Engine!$AP$91&gt;=Lookup_Lists!$D$156,"Highly Recommended",IF(Matching_Engine!$AP$91&gt;=Lookup_Lists!$D$157,"Recommended",IF(Matching_Engine!$AP$91&gt;=Lookup_Lists!$D$158,"Consider","Low Priority"))))</f>
      </c>
      <c r="AY91" s="47">
        <f>IF(Matching_Engine!$AV$91="PASS",Matching_Engine!$AP$91,"")</f>
      </c>
      <c r="AZ91" s="44">
        <f>Matching_Engine!$A$91&amp;"|"&amp;Matching_Engine!$C$91</f>
      </c>
      <c r="BA91" s="44">
        <f>IFERROR(INDEX(Lookup_Lists!$B$51:$B$92,MATCH(Brand_Profile!$F$12,Lookup_Lists!$A$51:$A$92,0)),"")</f>
      </c>
      <c r="BB91" s="44">
        <f>IFERROR(INDEX(Lookup_Lists!$B$51:$B$92,MATCH(KOL_Database!$F$30,Lookup_Lists!$A$51:$A$92,0)),"")</f>
      </c>
      <c r="BC91" s="47">
        <f>IFERROR(INDEX(Lookup_Lists!$B$185:$O$198,MATCH(Matching_Engine!$BA$91,Lookup_Lists!$A$185:$A$198,0),MATCH(KOL_Database!$E$30,Lookup_Lists!$B$184:$O$184,0)),Lookup_Lists!$D$151)</f>
      </c>
      <c r="BD91" s="47">
        <f>IFERROR(INDEX(Lookup_Lists!$B$185:$O$198,MATCH(Brand_Profile!$F$33,Lookup_Lists!$A$185:$A$198,0),MATCH(KOL_Database!$E$30,Lookup_Lists!$B$184:$O$184,0)),Lookup_Lists!$D$151)</f>
      </c>
      <c r="BE91" s="44">
        <f>IFERROR(INDEX(Lookup_Lists!$B$51:$B$92,MATCH(Brand_Profile!$F$34,Lookup_Lists!$A$51:$A$92,0)),"")</f>
      </c>
      <c r="BF91" s="44">
        <f>KOL_Database!$AI$30&amp;", "&amp;KOL_Database!$AG$30&amp;", "&amp;KOL_Database!$F$30&amp;", "&amp;KOL_Database!$E$30</f>
      </c>
      <c r="BG91" s="44">
        <f>KOL_Database!$AI$30&amp;", "&amp;KOL_Database!$AG$30</f>
      </c>
    </row>
    <row r="92" spans="1:59" x14ac:dyDescent="0.25">
      <c r="A92" s="43" t="s">
        <v>77</v>
      </c>
      <c r="B92" s="44">
        <f>Brand_Profile!$F$9</f>
      </c>
      <c r="C92" s="44">
        <f>KOL_Database!$A$31</f>
      </c>
      <c r="D92" s="44">
        <f>KOL_Database!$B$31</f>
      </c>
      <c r="E92" s="44">
        <f>KOL_Database!$C$31</f>
      </c>
      <c r="F92" s="44">
        <f>KOL_Database!$D$31</f>
      </c>
      <c r="G92" s="44">
        <f>KOL_Database!$E$31</f>
      </c>
      <c r="H92" s="44">
        <f>KOL_Database!$G$31</f>
      </c>
      <c r="I92" s="45">
        <f>KOL_Database!$J$31</f>
      </c>
      <c r="J92" s="46">
        <f>KOL_Database!$K$31</f>
      </c>
      <c r="K92" s="47">
        <f>IFERROR(INDEX(Lookup_Lists!$B$170:$O$181,MATCH(Brand_Profile!$F$10,Lookup_Lists!$A$170:$A$181,0),MATCH(KOL_Database!$E$31,Lookup_Lists!$B$169:$O$169,0)),Lookup_Lists!$D$151)</f>
      </c>
      <c r="L92" s="47">
        <f>IF(KOL_Database!$F$31="",Matching_Engine!$BC$92,IF(Brand_Profile!$F$12=KOL_Database!$F$31,100,IF(Matching_Engine!$BA$92=KOL_Database!$E$31,80,IF(Matching_Engine!$BC$92&gt;=80,60,IF(Matching_Engine!$BC$92&gt;=60,40,Lookup_Lists!$D$151)))))</f>
      </c>
      <c r="M92" s="47">
        <f>ROUND((IF(Brand_Profile!$F$62=0,Lookup_Lists!$D$150,ROUND((IF(Brand_Profile!$F$57="",0,IF(ISNUMBER(SEARCH(Brand_Profile!$F$57,Matching_Engine!$BF$92)),1,0))+IF(Brand_Profile!$F$58="",0,IF(ISNUMBER(SEARCH(Brand_Profile!$F$58,Matching_Engine!$BF$92)),1,0))+IF(Brand_Profile!$F$59="",0,IF(ISNUMBER(SEARCH(Brand_Profile!$F$59,Matching_Engine!$BF$92)),1,0))+IF(Brand_Profile!$F$60="",0,IF(ISNUMBER(SEARCH(Brand_Profile!$F$60,Matching_Engine!$BF$92)),1,0))+IF(Brand_Profile!$F$61="",0,IF(ISNUMBER(SEARCH(Brand_Profile!$F$61,Matching_Engine!$BF$92)),1,0)))/Brand_Profile!$F$62*100,0))+IF(Brand_Profile!$F$74=0,Lookup_Lists!$D$150,ROUND((IF(Brand_Profile!$F$69="",0,IF(ISNUMBER(SEARCH(Brand_Profile!$F$69,Matching_Engine!$BF$92)),1,0))+IF(Brand_Profile!$F$70="",0,IF(ISNUMBER(SEARCH(Brand_Profile!$F$70,Matching_Engine!$BF$92)),1,0))+IF(Brand_Profile!$F$71="",0,IF(ISNUMBER(SEARCH(Brand_Profile!$F$71,Matching_Engine!$BF$92)),1,0))+IF(Brand_Profile!$F$72="",0,IF(ISNUMBER(SEARCH(Brand_Profile!$F$72,Matching_Engine!$BF$92)),1,0))+IF(Brand_Profile!$F$73="",0,IF(ISNUMBER(SEARCH(Brand_Profile!$F$73,Matching_Engine!$BF$92)),1,0)))/Brand_Profile!$F$74*100,0)))/2,0)</f>
      </c>
      <c r="N92" s="47">
        <f>ROUND((Matching_Engine!$K$92*Lookup_Lists!$D$110+Matching_Engine!$L$92*Lookup_Lists!$D$111+Matching_Engine!$M$92*Lookup_Lists!$D$112)/(Lookup_Lists!$D$110+Lookup_Lists!$D$111+Lookup_Lists!$D$112),0)</f>
      </c>
      <c r="O92" s="47">
        <f>IF(Brand_Profile!$F$16="",Lookup_Lists!$D$150,MIN(100,ROUND((IFERROR(INDEX(KOL_Database!$W$31:KOL_Database!$AA$31,1,MATCH(Brand_Profile!$F$16,Lookup_Lists!$F$6:$F$10,0)),0)+0.5*IFERROR(INDEX(KOL_Database!$W$31:KOL_Database!$AA$31,1,MATCH(Brand_Profile!$F$17,Lookup_Lists!$F$6:$F$10,0)),0))/Lookup_Lists!$D$142*100,0)))</f>
      </c>
      <c r="P92" s="47">
        <f>IF(OR(Brand_Profile!$F$18="",Brand_Profile!$F$18="Any"),100,IF(Brand_Profile!$F$18="Female",MIN(100,ROUND(KOL_Database!$AB$31/Lookup_Lists!$D$143*100,0)),IF(Brand_Profile!$F$18="Male",MIN(100,ROUND(KOL_Database!$AC$31/Lookup_Lists!$D$143*100,0)),MAX(0,ROUND(100-ABS(KOL_Database!$AB$31-50)*2,0)))))</f>
      </c>
      <c r="Q92" s="47">
        <f>ROUND((IF(Brand_Profile!$F$19="",100,IF(KOL_Database!$AD$31=Brand_Profile!$F$19,100,Lookup_Lists!$D$151))*Lookup_Lists!$D$118+IF(OR(Brand_Profile!$F$20="",Brand_Profile!$F$20="Nasional"),100,IF(KOL_Database!$AE$31="",Lookup_Lists!$D$150,IF(KOL_Database!$AE$31=Brand_Profile!$F$20,100,IF(KOL_Database!$AD$31=Brand_Profile!$F$19,40,Lookup_Lists!$D$151))))*Lookup_Lists!$D$119+IF(OR(Brand_Profile!$F$21="",Brand_Profile!$F$21="Nasional"),100,IF(KOL_Database!$AF$31="",Lookup_Lists!$D$150,IF(KOL_Database!$AF$31=Brand_Profile!$F$21,100,IF(KOL_Database!$AE$31=Brand_Profile!$F$20,60,Lookup_Lists!$D$151))))*Lookup_Lists!$D$120)/(Lookup_Lists!$D$118+Lookup_Lists!$D$119+Lookup_Lists!$D$120),0)</f>
      </c>
      <c r="R92" s="47">
        <f>IF(Brand_Profile!$F$68=0,Lookup_Lists!$D$150,ROUND((IF(Brand_Profile!$F$63="",0,IF(ISNUMBER(SEARCH(Brand_Profile!$F$63,KOL_Database!$AG$31)),1,0))+IF(Brand_Profile!$F$64="",0,IF(ISNUMBER(SEARCH(Brand_Profile!$F$64,KOL_Database!$AG$31)),1,0))+IF(Brand_Profile!$F$65="",0,IF(ISNUMBER(SEARCH(Brand_Profile!$F$65,KOL_Database!$AG$31)),1,0))+IF(Brand_Profile!$F$66="",0,IF(ISNUMBER(SEARCH(Brand_Profile!$F$66,KOL_Database!$AG$31)),1,0))+IF(Brand_Profile!$F$67="",0,IF(ISNUMBER(SEARCH(Brand_Profile!$F$67,KOL_Database!$AG$31)),1,0)))/Brand_Profile!$F$68*100,0))</f>
      </c>
      <c r="S92" s="47">
        <f>ROUND((Matching_Engine!$O$92*Brand_Profile!$F$96+Matching_Engine!$P$92*Brand_Profile!$F$97+Matching_Engine!$Q$92*Brand_Profile!$F$98+Matching_Engine!$R$92*Brand_Profile!$F$99)/MAX(1,Brand_Profile!$F$96+Brand_Profile!$F$97+Brand_Profile!$F$98+Brand_Profile!$F$99),0)</f>
      </c>
      <c r="T92" s="47">
        <f>IF(Brand_Profile!$F$33="",Lookup_Lists!$D$150,Matching_Engine!$BD$92)</f>
      </c>
      <c r="U92" s="47">
        <f>IF(Brand_Profile!$F$34="",Lookup_Lists!$D$150,IF(Brand_Profile!$F$34=KOL_Database!$F$31,100,IF(Matching_Engine!$BE$92=KOL_Database!$E$31,75,IF(Matching_Engine!$BD$92&gt;=80,Lookup_Lists!$D$150,IF(Matching_Engine!$BD$92&gt;=60,35,Lookup_Lists!$D$151)))))</f>
      </c>
      <c r="V92" s="47">
        <f>IF(Brand_Profile!$F$86=0,Lookup_Lists!$D$150,ROUND((IF(Brand_Profile!$F$81="",0,IF(ISNUMBER(SEARCH(Brand_Profile!$F$81,Matching_Engine!$BG$92)),1,0))+IF(Brand_Profile!$F$82="",0,IF(ISNUMBER(SEARCH(Brand_Profile!$F$82,Matching_Engine!$BG$92)),1,0))+IF(Brand_Profile!$F$83="",0,IF(ISNUMBER(SEARCH(Brand_Profile!$F$83,Matching_Engine!$BG$92)),1,0))+IF(Brand_Profile!$F$84="",0,IF(ISNUMBER(SEARCH(Brand_Profile!$F$84,Matching_Engine!$BG$92)),1,0))+IF(Brand_Profile!$F$85="",0,IF(ISNUMBER(SEARCH(Brand_Profile!$F$85,Matching_Engine!$BG$92)),1,0)))/Brand_Profile!$F$86*100,0))</f>
      </c>
      <c r="W92" s="47">
        <f>IF(Brand_Profile!$F$39="",Lookup_Lists!$D$150,IFERROR(INDEX(Lookup_Lists!$B$237:$K$246,MATCH(Brand_Profile!$F$39,Lookup_Lists!$A$237:$A$246,0),MATCH(KOL_Database!$AJ$31,Lookup_Lists!$B$236:$K$236,0)),45))</f>
      </c>
      <c r="X92" s="47">
        <f>ROUND((Matching_Engine!$T$92*Lookup_Lists!$D$121+Matching_Engine!$U$92*Lookup_Lists!$D$122+Matching_Engine!$V$92*Lookup_Lists!$D$123+Matching_Engine!$W$92*Lookup_Lists!$D$124)/(Lookup_Lists!$D$121+Lookup_Lists!$D$122+Lookup_Lists!$D$123+Lookup_Lists!$D$124),0)</f>
      </c>
      <c r="Y92" s="47">
        <f>MIN(100,MAX(IFERROR(INDEX(Lookup_Lists!$B$202:$M$211,MATCH(Brand_Profile!$F$25,Lookup_Lists!$A$202:$A$211,0),MATCH(KOL_Database!$AK$31,Lookup_Lists!$B$201:$M$201,0)),40),IF(KOL_Database!$AK$31=Brand_Profile!$F$41,95,0)))</f>
      </c>
      <c r="Z92" s="47">
        <f>IFERROR(INDEX(Lookup_Lists!$B$215:$K$222,MATCH(Brand_Profile!$F$27,Lookup_Lists!$A$215:$A$222,0),MATCH(KOL_Database!$AJ$31,Lookup_Lists!$B$214:$K$214,0)),45)</f>
      </c>
      <c r="AA92" s="47">
        <f>ROUND((IF(Brand_Profile!$F$80=0,Lookup_Lists!$D$150,ROUND((IF(Brand_Profile!$F$75="",0,IF(ISNUMBER(SEARCH(Brand_Profile!$F$75,KOL_Database!$AL$31)),1,0))+IF(Brand_Profile!$F$76="",0,IF(ISNUMBER(SEARCH(Brand_Profile!$F$76,KOL_Database!$AL$31)),1,0))+IF(Brand_Profile!$F$77="",0,IF(ISNUMBER(SEARCH(Brand_Profile!$F$77,KOL_Database!$AL$31)),1,0))+IF(Brand_Profile!$F$78="",0,IF(ISNUMBER(SEARCH(Brand_Profile!$F$78,KOL_Database!$AL$31)),1,0))+IF(Brand_Profile!$F$79="",0,IF(ISNUMBER(SEARCH(Brand_Profile!$F$79,KOL_Database!$AL$31)),1,0)))/Brand_Profile!$F$80*100,0))+IF(Brand_Profile!$F$92=0,Lookup_Lists!$D$150,ROUND((IF(Brand_Profile!$F$87="",0,IF(ISNUMBER(SEARCH(Brand_Profile!$F$87,KOL_Database!$AL$31)),1,0))+IF(Brand_Profile!$F$88="",0,IF(ISNUMBER(SEARCH(Brand_Profile!$F$88,KOL_Database!$AL$31)),1,0))+IF(Brand_Profile!$F$89="",0,IF(ISNUMBER(SEARCH(Brand_Profile!$F$89,KOL_Database!$AL$31)),1,0))+IF(Brand_Profile!$F$90="",0,IF(ISNUMBER(SEARCH(Brand_Profile!$F$90,KOL_Database!$AL$31)),1,0))+IF(Brand_Profile!$F$91="",0,IF(ISNUMBER(SEARCH(Brand_Profile!$F$91,KOL_Database!$AL$31)),1,0)))/Brand_Profile!$F$92*100,0)))/2,0)</f>
      </c>
      <c r="AB92" s="47">
        <f>IFERROR(INDEX(Lookup_Lists!$B$226:$K$233,MATCH(Brand_Profile!$F$30,Lookup_Lists!$A$226:$A$233,0),MATCH(KOL_Database!$AJ$31,Lookup_Lists!$B$225:$K$225,0)),45)</f>
      </c>
      <c r="AC92" s="47">
        <f>ROUND((Matching_Engine!$Y$92*Lookup_Lists!$D$125+Matching_Engine!$Z$92*Lookup_Lists!$D$126+Matching_Engine!$AA$92*Lookup_Lists!$D$127+Matching_Engine!$AB$92*Lookup_Lists!$D$128)/(Lookup_Lists!$D$125+Lookup_Lists!$D$126+Lookup_Lists!$D$127+Lookup_Lists!$D$128),0)</f>
      </c>
      <c r="AD92" s="47">
        <f>IF(KOL_Database!$K$31="",0,MIN(100,ROUND(KOL_Database!$K$31/Lookup_Lists!$D$141*100,0)))</f>
      </c>
      <c r="AE92" s="47">
        <f>IF(KOL_Database!$R$31="",0,MIN(100,MAX(0,KOL_Database!$R$31)))</f>
      </c>
      <c r="AF92" s="47">
        <f>IF(KOL_Database!$P$31="",0,MIN(100,MAX(0,KOL_Database!$P$31)))</f>
      </c>
      <c r="AG92" s="47">
        <f>IF(KOL_Database!$Q$31="",0,MIN(100,MAX(0,KOL_Database!$Q$31)))</f>
      </c>
      <c r="AH92" s="47">
        <f>IF(OR(KOL_Database!$J$31="",KOL_Database!$J$31=0,KOL_Database!$L$31=""),0,MIN(100,ROUND(KOL_Database!$L$31/KOL_Database!$J$31/Lookup_Lists!$D$144*100,0)))</f>
      </c>
      <c r="AI92" s="47">
        <f>IF(KOL_Database!$N$31="",0,MIN(100,MAX(0,ROUND((KOL_Database!$N$31+2)/(Lookup_Lists!$D$145+2)*100,0))))</f>
      </c>
      <c r="AJ92" s="47">
        <f>ROUND((Matching_Engine!$AD$92*Lookup_Lists!$D$129+Matching_Engine!$AE$92*Lookup_Lists!$D$130+Matching_Engine!$AF$92*Lookup_Lists!$D$131+Matching_Engine!$AG$92*Lookup_Lists!$D$132+Matching_Engine!$AH$92*Lookup_Lists!$D$133+Matching_Engine!$AI$92*Lookup_Lists!$D$134)/(Lookup_Lists!$D$129+Lookup_Lists!$D$130+Lookup_Lists!$D$131+Lookup_Lists!$D$132+Lookup_Lists!$D$133+Lookup_Lists!$D$134),0)</f>
      </c>
      <c r="AK92" s="47">
        <f>IF(KOL_Database!$AT$31="",0,MIN(100,MAX(0,KOL_Database!$AT$31)))</f>
      </c>
      <c r="AL92" s="47">
        <f>IF(KOL_Database!$AU$31="",0,KOL_Database!$AU$31)</f>
      </c>
      <c r="AM92" s="44">
        <f>IF(KOL_Database!$AV$31="","None",KOL_Database!$AV$31)</f>
      </c>
      <c r="AN92" s="48">
        <f>IF(Matching_Engine!$AM$92="High",Lookup_Lists!$D$137,IF(Matching_Engine!$AM$92="Medium",Lookup_Lists!$D$138,IF(Matching_Engine!$AM$92="Low",Lookup_Lists!$D$139,Lookup_Lists!$D$140)))</f>
      </c>
      <c r="AO92" s="47">
        <f>ROUND(MIN(100,MAX(0,(Matching_Engine!$AK$92*Lookup_Lists!$D$135+(100-Matching_Engine!$AL$92)*Lookup_Lists!$D$136)/(Lookup_Lists!$D$135+Lookup_Lists!$D$136)*Matching_Engine!$AN$92)),0)</f>
      </c>
      <c r="AP92" s="49">
        <f>ROUND((Matching_Engine!$N$92*Lookup_Lists!$D$104+Matching_Engine!$S$92*Lookup_Lists!$D$105+Matching_Engine!$X$92*Lookup_Lists!$D$106+Matching_Engine!$AC$92*Lookup_Lists!$D$107+Matching_Engine!$AJ$92*Lookup_Lists!$D$108+Matching_Engine!$AO$92*Lookup_Lists!$D$109)/MAX(1,(Lookup_Lists!$D$104+Lookup_Lists!$D$105+Lookup_Lists!$D$106+Lookup_Lists!$D$107+Lookup_Lists!$D$108+Lookup_Lists!$D$109)),0)</f>
      </c>
      <c r="AQ92" s="44">
        <f>IF(Matching_Engine!$AP$92&gt;=Lookup_Lists!$D$152,"Excellent Match",IF(Matching_Engine!$AP$92&gt;=Lookup_Lists!$D$153,"Strong Match",IF(Matching_Engine!$AP$92&gt;=Lookup_Lists!$D$154,"Good Match",IF(Matching_Engine!$AP$92&gt;=Lookup_Lists!$D$155,"Moderate Match","Low Match"))))</f>
      </c>
      <c r="AR92" s="47">
        <f>KOL_Database!$BE$31</f>
      </c>
      <c r="AS92" s="44">
        <f>IF(Matching_Engine!$AR$92&gt;=Lookup_Lists!$D$159,"High",IF(Matching_Engine!$AR$92&gt;=Lookup_Lists!$D$160,"Medium","Limited Data"))</f>
      </c>
      <c r="AT92" s="47">
        <f>ROUND((Matching_Engine!$N$92+Matching_Engine!$X$92+Matching_Engine!$AC$92)/3,0)</f>
      </c>
      <c r="AU92" s="47">
        <f>ROUND(((100-Matching_Engine!$AL$92)*Lookup_Lists!$D$162+IF(KOL_Database!$BD$31="",Lookup_Lists!$D$150,KOL_Database!$BD$31)*Lookup_Lists!$D$163+Matching_Engine!$AI$92*Lookup_Lists!$D$164+Matching_Engine!$AD$92*Lookup_Lists!$D$165)/(Lookup_Lists!$D$162+Lookup_Lists!$D$163+Lookup_Lists!$D$164+Lookup_Lists!$D$165),0)</f>
      </c>
      <c r="AV92" s="44">
        <f>IF(Matching_Engine!$AW$92="","PASS","EXCLUDED")</f>
      </c>
      <c r="AW92" s="44">
        <f>IF(ISERROR(SEARCH(KOL_Database!$D$31,Brand_Profile!$F$32)),"Platform not in Preferred Platform",IF(AND(Brand_Profile!$F$36&gt;0,KOL_Database!$J$31&lt;Brand_Profile!$F$36),"Followers below Preferred Follower Range",IF(AND(Brand_Profile!$F$37&gt;0,KOL_Database!$J$31&gt;Brand_Profile!$F$37),"Followers above Preferred Follower Range",IF(AND(Brand_Profile!$F$38&gt;0,IF(KOL_Database!$K$31="",0,KOL_Database!$K$31)&lt;Brand_Profile!$F$38),"Engagement Rate below Minimum Engagement Rate",IF(ISERROR(SEARCH(KOL_Database!$G$31,Brand_Profile!$F$35)),"Tier not in Preferred Tier",IF(AND(Brand_Profile!$F$43&gt;0,Matching_Engine!$AE$92&lt;Brand_Profile!$F$43),"Audience Quality below Minimum Audience Quality",IF(AND(Brand_Profile!$F$44&gt;0,Matching_Engine!$AK$92&lt;Brand_Profile!$F$44),"Brand Safety below Minimum Brand Safety",IF(AND(Brand_Profile!$F$47="Yes",KOL_Database!$AD$31&lt;&gt;Brand_Profile!$F$19),"Audience Country does not match Target Country",IF(AND(Brand_Profile!$F$46="Yes",KOL_Database!$E$31&lt;&gt;Brand_Profile!$F$33),"Category is not the Preferred Category",IF(AND(Brand_Profile!$F$48&gt;0,Matching_Engine!$AL$92&gt;Brand_Profile!$F$48),"Competitor Saturation above Max Competitor Saturation",IF(AND(Brand_Profile!$F$50="Yes",KOL_Database!$AW$31="Yes"),"Already Selected",IF(AND(Brand_Profile!$F$51="Yes",KOL_Database!$AX$31="Yes"),"Already in Cart",IF(AND(Brand_Profile!$F$52="Yes",KOL_Database!$AY$31="Yes"),"Existing Partner",IF(AND(Brand_Profile!$F$53="Yes",KOL_Database!$AZ$31="Yes"),"Excluded Creator",IF(AND(Brand_Profile!$F$49&gt;0,Matching_Engine!$AP$92&lt;Brand_Profile!$F$49),"Brand Match below Minimum Brand Match","")))))))))))))))</f>
      </c>
      <c r="AX92" s="44">
        <f>IF(Matching_Engine!$AV$92="EXCLUDED","Excluded",IF(Matching_Engine!$AP$92&gt;=Lookup_Lists!$D$156,"Highly Recommended",IF(Matching_Engine!$AP$92&gt;=Lookup_Lists!$D$157,"Recommended",IF(Matching_Engine!$AP$92&gt;=Lookup_Lists!$D$158,"Consider","Low Priority"))))</f>
      </c>
      <c r="AY92" s="47">
        <f>IF(Matching_Engine!$AV$92="PASS",Matching_Engine!$AP$92,"")</f>
      </c>
      <c r="AZ92" s="44">
        <f>Matching_Engine!$A$92&amp;"|"&amp;Matching_Engine!$C$92</f>
      </c>
      <c r="BA92" s="44">
        <f>IFERROR(INDEX(Lookup_Lists!$B$51:$B$92,MATCH(Brand_Profile!$F$12,Lookup_Lists!$A$51:$A$92,0)),"")</f>
      </c>
      <c r="BB92" s="44">
        <f>IFERROR(INDEX(Lookup_Lists!$B$51:$B$92,MATCH(KOL_Database!$F$31,Lookup_Lists!$A$51:$A$92,0)),"")</f>
      </c>
      <c r="BC92" s="47">
        <f>IFERROR(INDEX(Lookup_Lists!$B$185:$O$198,MATCH(Matching_Engine!$BA$92,Lookup_Lists!$A$185:$A$198,0),MATCH(KOL_Database!$E$31,Lookup_Lists!$B$184:$O$184,0)),Lookup_Lists!$D$151)</f>
      </c>
      <c r="BD92" s="47">
        <f>IFERROR(INDEX(Lookup_Lists!$B$185:$O$198,MATCH(Brand_Profile!$F$33,Lookup_Lists!$A$185:$A$198,0),MATCH(KOL_Database!$E$31,Lookup_Lists!$B$184:$O$184,0)),Lookup_Lists!$D$151)</f>
      </c>
      <c r="BE92" s="44">
        <f>IFERROR(INDEX(Lookup_Lists!$B$51:$B$92,MATCH(Brand_Profile!$F$34,Lookup_Lists!$A$51:$A$92,0)),"")</f>
      </c>
      <c r="BF92" s="44">
        <f>KOL_Database!$AI$31&amp;", "&amp;KOL_Database!$AG$31&amp;", "&amp;KOL_Database!$F$31&amp;", "&amp;KOL_Database!$E$31</f>
      </c>
      <c r="BG92" s="44">
        <f>KOL_Database!$AI$31&amp;", "&amp;KOL_Database!$AG$31</f>
      </c>
    </row>
    <row r="93" spans="1:59" x14ac:dyDescent="0.25">
      <c r="A93" s="43" t="s">
        <v>77</v>
      </c>
      <c r="B93" s="44">
        <f>Brand_Profile!$F$9</f>
      </c>
      <c r="C93" s="44">
        <f>KOL_Database!$A$32</f>
      </c>
      <c r="D93" s="44">
        <f>KOL_Database!$B$32</f>
      </c>
      <c r="E93" s="44">
        <f>KOL_Database!$C$32</f>
      </c>
      <c r="F93" s="44">
        <f>KOL_Database!$D$32</f>
      </c>
      <c r="G93" s="44">
        <f>KOL_Database!$E$32</f>
      </c>
      <c r="H93" s="44">
        <f>KOL_Database!$G$32</f>
      </c>
      <c r="I93" s="45">
        <f>KOL_Database!$J$32</f>
      </c>
      <c r="J93" s="46">
        <f>KOL_Database!$K$32</f>
      </c>
      <c r="K93" s="47">
        <f>IFERROR(INDEX(Lookup_Lists!$B$170:$O$181,MATCH(Brand_Profile!$F$10,Lookup_Lists!$A$170:$A$181,0),MATCH(KOL_Database!$E$32,Lookup_Lists!$B$169:$O$169,0)),Lookup_Lists!$D$151)</f>
      </c>
      <c r="L93" s="47">
        <f>IF(KOL_Database!$F$32="",Matching_Engine!$BC$93,IF(Brand_Profile!$F$12=KOL_Database!$F$32,100,IF(Matching_Engine!$BA$93=KOL_Database!$E$32,80,IF(Matching_Engine!$BC$93&gt;=80,60,IF(Matching_Engine!$BC$93&gt;=60,40,Lookup_Lists!$D$151)))))</f>
      </c>
      <c r="M93" s="47">
        <f>ROUND((IF(Brand_Profile!$F$62=0,Lookup_Lists!$D$150,ROUND((IF(Brand_Profile!$F$57="",0,IF(ISNUMBER(SEARCH(Brand_Profile!$F$57,Matching_Engine!$BF$93)),1,0))+IF(Brand_Profile!$F$58="",0,IF(ISNUMBER(SEARCH(Brand_Profile!$F$58,Matching_Engine!$BF$93)),1,0))+IF(Brand_Profile!$F$59="",0,IF(ISNUMBER(SEARCH(Brand_Profile!$F$59,Matching_Engine!$BF$93)),1,0))+IF(Brand_Profile!$F$60="",0,IF(ISNUMBER(SEARCH(Brand_Profile!$F$60,Matching_Engine!$BF$93)),1,0))+IF(Brand_Profile!$F$61="",0,IF(ISNUMBER(SEARCH(Brand_Profile!$F$61,Matching_Engine!$BF$93)),1,0)))/Brand_Profile!$F$62*100,0))+IF(Brand_Profile!$F$74=0,Lookup_Lists!$D$150,ROUND((IF(Brand_Profile!$F$69="",0,IF(ISNUMBER(SEARCH(Brand_Profile!$F$69,Matching_Engine!$BF$93)),1,0))+IF(Brand_Profile!$F$70="",0,IF(ISNUMBER(SEARCH(Brand_Profile!$F$70,Matching_Engine!$BF$93)),1,0))+IF(Brand_Profile!$F$71="",0,IF(ISNUMBER(SEARCH(Brand_Profile!$F$71,Matching_Engine!$BF$93)),1,0))+IF(Brand_Profile!$F$72="",0,IF(ISNUMBER(SEARCH(Brand_Profile!$F$72,Matching_Engine!$BF$93)),1,0))+IF(Brand_Profile!$F$73="",0,IF(ISNUMBER(SEARCH(Brand_Profile!$F$73,Matching_Engine!$BF$93)),1,0)))/Brand_Profile!$F$74*100,0)))/2,0)</f>
      </c>
      <c r="N93" s="47">
        <f>ROUND((Matching_Engine!$K$93*Lookup_Lists!$D$110+Matching_Engine!$L$93*Lookup_Lists!$D$111+Matching_Engine!$M$93*Lookup_Lists!$D$112)/(Lookup_Lists!$D$110+Lookup_Lists!$D$111+Lookup_Lists!$D$112),0)</f>
      </c>
      <c r="O93" s="47">
        <f>IF(Brand_Profile!$F$16="",Lookup_Lists!$D$150,MIN(100,ROUND((IFERROR(INDEX(KOL_Database!$W$32:KOL_Database!$AA$32,1,MATCH(Brand_Profile!$F$16,Lookup_Lists!$F$6:$F$10,0)),0)+0.5*IFERROR(INDEX(KOL_Database!$W$32:KOL_Database!$AA$32,1,MATCH(Brand_Profile!$F$17,Lookup_Lists!$F$6:$F$10,0)),0))/Lookup_Lists!$D$142*100,0)))</f>
      </c>
      <c r="P93" s="47">
        <f>IF(OR(Brand_Profile!$F$18="",Brand_Profile!$F$18="Any"),100,IF(Brand_Profile!$F$18="Female",MIN(100,ROUND(KOL_Database!$AB$32/Lookup_Lists!$D$143*100,0)),IF(Brand_Profile!$F$18="Male",MIN(100,ROUND(KOL_Database!$AC$32/Lookup_Lists!$D$143*100,0)),MAX(0,ROUND(100-ABS(KOL_Database!$AB$32-50)*2,0)))))</f>
      </c>
      <c r="Q93" s="47">
        <f>ROUND((IF(Brand_Profile!$F$19="",100,IF(KOL_Database!$AD$32=Brand_Profile!$F$19,100,Lookup_Lists!$D$151))*Lookup_Lists!$D$118+IF(OR(Brand_Profile!$F$20="",Brand_Profile!$F$20="Nasional"),100,IF(KOL_Database!$AE$32="",Lookup_Lists!$D$150,IF(KOL_Database!$AE$32=Brand_Profile!$F$20,100,IF(KOL_Database!$AD$32=Brand_Profile!$F$19,40,Lookup_Lists!$D$151))))*Lookup_Lists!$D$119+IF(OR(Brand_Profile!$F$21="",Brand_Profile!$F$21="Nasional"),100,IF(KOL_Database!$AF$32="",Lookup_Lists!$D$150,IF(KOL_Database!$AF$32=Brand_Profile!$F$21,100,IF(KOL_Database!$AE$32=Brand_Profile!$F$20,60,Lookup_Lists!$D$151))))*Lookup_Lists!$D$120)/(Lookup_Lists!$D$118+Lookup_Lists!$D$119+Lookup_Lists!$D$120),0)</f>
      </c>
      <c r="R93" s="47">
        <f>IF(Brand_Profile!$F$68=0,Lookup_Lists!$D$150,ROUND((IF(Brand_Profile!$F$63="",0,IF(ISNUMBER(SEARCH(Brand_Profile!$F$63,KOL_Database!$AG$32)),1,0))+IF(Brand_Profile!$F$64="",0,IF(ISNUMBER(SEARCH(Brand_Profile!$F$64,KOL_Database!$AG$32)),1,0))+IF(Brand_Profile!$F$65="",0,IF(ISNUMBER(SEARCH(Brand_Profile!$F$65,KOL_Database!$AG$32)),1,0))+IF(Brand_Profile!$F$66="",0,IF(ISNUMBER(SEARCH(Brand_Profile!$F$66,KOL_Database!$AG$32)),1,0))+IF(Brand_Profile!$F$67="",0,IF(ISNUMBER(SEARCH(Brand_Profile!$F$67,KOL_Database!$AG$32)),1,0)))/Brand_Profile!$F$68*100,0))</f>
      </c>
      <c r="S93" s="47">
        <f>ROUND((Matching_Engine!$O$93*Brand_Profile!$F$96+Matching_Engine!$P$93*Brand_Profile!$F$97+Matching_Engine!$Q$93*Brand_Profile!$F$98+Matching_Engine!$R$93*Brand_Profile!$F$99)/MAX(1,Brand_Profile!$F$96+Brand_Profile!$F$97+Brand_Profile!$F$98+Brand_Profile!$F$99),0)</f>
      </c>
      <c r="T93" s="47">
        <f>IF(Brand_Profile!$F$33="",Lookup_Lists!$D$150,Matching_Engine!$BD$93)</f>
      </c>
      <c r="U93" s="47">
        <f>IF(Brand_Profile!$F$34="",Lookup_Lists!$D$150,IF(Brand_Profile!$F$34=KOL_Database!$F$32,100,IF(Matching_Engine!$BE$93=KOL_Database!$E$32,75,IF(Matching_Engine!$BD$93&gt;=80,Lookup_Lists!$D$150,IF(Matching_Engine!$BD$93&gt;=60,35,Lookup_Lists!$D$151)))))</f>
      </c>
      <c r="V93" s="47">
        <f>IF(Brand_Profile!$F$86=0,Lookup_Lists!$D$150,ROUND((IF(Brand_Profile!$F$81="",0,IF(ISNUMBER(SEARCH(Brand_Profile!$F$81,Matching_Engine!$BG$93)),1,0))+IF(Brand_Profile!$F$82="",0,IF(ISNUMBER(SEARCH(Brand_Profile!$F$82,Matching_Engine!$BG$93)),1,0))+IF(Brand_Profile!$F$83="",0,IF(ISNUMBER(SEARCH(Brand_Profile!$F$83,Matching_Engine!$BG$93)),1,0))+IF(Brand_Profile!$F$84="",0,IF(ISNUMBER(SEARCH(Brand_Profile!$F$84,Matching_Engine!$BG$93)),1,0))+IF(Brand_Profile!$F$85="",0,IF(ISNUMBER(SEARCH(Brand_Profile!$F$85,Matching_Engine!$BG$93)),1,0)))/Brand_Profile!$F$86*100,0))</f>
      </c>
      <c r="W93" s="47">
        <f>IF(Brand_Profile!$F$39="",Lookup_Lists!$D$150,IFERROR(INDEX(Lookup_Lists!$B$237:$K$246,MATCH(Brand_Profile!$F$39,Lookup_Lists!$A$237:$A$246,0),MATCH(KOL_Database!$AJ$32,Lookup_Lists!$B$236:$K$236,0)),45))</f>
      </c>
      <c r="X93" s="47">
        <f>ROUND((Matching_Engine!$T$93*Lookup_Lists!$D$121+Matching_Engine!$U$93*Lookup_Lists!$D$122+Matching_Engine!$V$93*Lookup_Lists!$D$123+Matching_Engine!$W$93*Lookup_Lists!$D$124)/(Lookup_Lists!$D$121+Lookup_Lists!$D$122+Lookup_Lists!$D$123+Lookup_Lists!$D$124),0)</f>
      </c>
      <c r="Y93" s="47">
        <f>MIN(100,MAX(IFERROR(INDEX(Lookup_Lists!$B$202:$M$211,MATCH(Brand_Profile!$F$25,Lookup_Lists!$A$202:$A$211,0),MATCH(KOL_Database!$AK$32,Lookup_Lists!$B$201:$M$201,0)),40),IF(KOL_Database!$AK$32=Brand_Profile!$F$41,95,0)))</f>
      </c>
      <c r="Z93" s="47">
        <f>IFERROR(INDEX(Lookup_Lists!$B$215:$K$222,MATCH(Brand_Profile!$F$27,Lookup_Lists!$A$215:$A$222,0),MATCH(KOL_Database!$AJ$32,Lookup_Lists!$B$214:$K$214,0)),45)</f>
      </c>
      <c r="AA93" s="47">
        <f>ROUND((IF(Brand_Profile!$F$80=0,Lookup_Lists!$D$150,ROUND((IF(Brand_Profile!$F$75="",0,IF(ISNUMBER(SEARCH(Brand_Profile!$F$75,KOL_Database!$AL$32)),1,0))+IF(Brand_Profile!$F$76="",0,IF(ISNUMBER(SEARCH(Brand_Profile!$F$76,KOL_Database!$AL$32)),1,0))+IF(Brand_Profile!$F$77="",0,IF(ISNUMBER(SEARCH(Brand_Profile!$F$77,KOL_Database!$AL$32)),1,0))+IF(Brand_Profile!$F$78="",0,IF(ISNUMBER(SEARCH(Brand_Profile!$F$78,KOL_Database!$AL$32)),1,0))+IF(Brand_Profile!$F$79="",0,IF(ISNUMBER(SEARCH(Brand_Profile!$F$79,KOL_Database!$AL$32)),1,0)))/Brand_Profile!$F$80*100,0))+IF(Brand_Profile!$F$92=0,Lookup_Lists!$D$150,ROUND((IF(Brand_Profile!$F$87="",0,IF(ISNUMBER(SEARCH(Brand_Profile!$F$87,KOL_Database!$AL$32)),1,0))+IF(Brand_Profile!$F$88="",0,IF(ISNUMBER(SEARCH(Brand_Profile!$F$88,KOL_Database!$AL$32)),1,0))+IF(Brand_Profile!$F$89="",0,IF(ISNUMBER(SEARCH(Brand_Profile!$F$89,KOL_Database!$AL$32)),1,0))+IF(Brand_Profile!$F$90="",0,IF(ISNUMBER(SEARCH(Brand_Profile!$F$90,KOL_Database!$AL$32)),1,0))+IF(Brand_Profile!$F$91="",0,IF(ISNUMBER(SEARCH(Brand_Profile!$F$91,KOL_Database!$AL$32)),1,0)))/Brand_Profile!$F$92*100,0)))/2,0)</f>
      </c>
      <c r="AB93" s="47">
        <f>IFERROR(INDEX(Lookup_Lists!$B$226:$K$233,MATCH(Brand_Profile!$F$30,Lookup_Lists!$A$226:$A$233,0),MATCH(KOL_Database!$AJ$32,Lookup_Lists!$B$225:$K$225,0)),45)</f>
      </c>
      <c r="AC93" s="47">
        <f>ROUND((Matching_Engine!$Y$93*Lookup_Lists!$D$125+Matching_Engine!$Z$93*Lookup_Lists!$D$126+Matching_Engine!$AA$93*Lookup_Lists!$D$127+Matching_Engine!$AB$93*Lookup_Lists!$D$128)/(Lookup_Lists!$D$125+Lookup_Lists!$D$126+Lookup_Lists!$D$127+Lookup_Lists!$D$128),0)</f>
      </c>
      <c r="AD93" s="47">
        <f>IF(KOL_Database!$K$32="",0,MIN(100,ROUND(KOL_Database!$K$32/Lookup_Lists!$D$141*100,0)))</f>
      </c>
      <c r="AE93" s="47">
        <f>IF(KOL_Database!$R$32="",0,MIN(100,MAX(0,KOL_Database!$R$32)))</f>
      </c>
      <c r="AF93" s="47">
        <f>IF(KOL_Database!$P$32="",0,MIN(100,MAX(0,KOL_Database!$P$32)))</f>
      </c>
      <c r="AG93" s="47">
        <f>IF(KOL_Database!$Q$32="",0,MIN(100,MAX(0,KOL_Database!$Q$32)))</f>
      </c>
      <c r="AH93" s="47">
        <f>IF(OR(KOL_Database!$J$32="",KOL_Database!$J$32=0,KOL_Database!$L$32=""),0,MIN(100,ROUND(KOL_Database!$L$32/KOL_Database!$J$32/Lookup_Lists!$D$144*100,0)))</f>
      </c>
      <c r="AI93" s="47">
        <f>IF(KOL_Database!$N$32="",0,MIN(100,MAX(0,ROUND((KOL_Database!$N$32+2)/(Lookup_Lists!$D$145+2)*100,0))))</f>
      </c>
      <c r="AJ93" s="47">
        <f>ROUND((Matching_Engine!$AD$93*Lookup_Lists!$D$129+Matching_Engine!$AE$93*Lookup_Lists!$D$130+Matching_Engine!$AF$93*Lookup_Lists!$D$131+Matching_Engine!$AG$93*Lookup_Lists!$D$132+Matching_Engine!$AH$93*Lookup_Lists!$D$133+Matching_Engine!$AI$93*Lookup_Lists!$D$134)/(Lookup_Lists!$D$129+Lookup_Lists!$D$130+Lookup_Lists!$D$131+Lookup_Lists!$D$132+Lookup_Lists!$D$133+Lookup_Lists!$D$134),0)</f>
      </c>
      <c r="AK93" s="47">
        <f>IF(KOL_Database!$AT$32="",0,MIN(100,MAX(0,KOL_Database!$AT$32)))</f>
      </c>
      <c r="AL93" s="47">
        <f>IF(KOL_Database!$AU$32="",0,KOL_Database!$AU$32)</f>
      </c>
      <c r="AM93" s="44">
        <f>IF(KOL_Database!$AV$32="","None",KOL_Database!$AV$32)</f>
      </c>
      <c r="AN93" s="48">
        <f>IF(Matching_Engine!$AM$93="High",Lookup_Lists!$D$137,IF(Matching_Engine!$AM$93="Medium",Lookup_Lists!$D$138,IF(Matching_Engine!$AM$93="Low",Lookup_Lists!$D$139,Lookup_Lists!$D$140)))</f>
      </c>
      <c r="AO93" s="47">
        <f>ROUND(MIN(100,MAX(0,(Matching_Engine!$AK$93*Lookup_Lists!$D$135+(100-Matching_Engine!$AL$93)*Lookup_Lists!$D$136)/(Lookup_Lists!$D$135+Lookup_Lists!$D$136)*Matching_Engine!$AN$93)),0)</f>
      </c>
      <c r="AP93" s="49">
        <f>ROUND((Matching_Engine!$N$93*Lookup_Lists!$D$104+Matching_Engine!$S$93*Lookup_Lists!$D$105+Matching_Engine!$X$93*Lookup_Lists!$D$106+Matching_Engine!$AC$93*Lookup_Lists!$D$107+Matching_Engine!$AJ$93*Lookup_Lists!$D$108+Matching_Engine!$AO$93*Lookup_Lists!$D$109)/MAX(1,(Lookup_Lists!$D$104+Lookup_Lists!$D$105+Lookup_Lists!$D$106+Lookup_Lists!$D$107+Lookup_Lists!$D$108+Lookup_Lists!$D$109)),0)</f>
      </c>
      <c r="AQ93" s="44">
        <f>IF(Matching_Engine!$AP$93&gt;=Lookup_Lists!$D$152,"Excellent Match",IF(Matching_Engine!$AP$93&gt;=Lookup_Lists!$D$153,"Strong Match",IF(Matching_Engine!$AP$93&gt;=Lookup_Lists!$D$154,"Good Match",IF(Matching_Engine!$AP$93&gt;=Lookup_Lists!$D$155,"Moderate Match","Low Match"))))</f>
      </c>
      <c r="AR93" s="47">
        <f>KOL_Database!$BE$32</f>
      </c>
      <c r="AS93" s="44">
        <f>IF(Matching_Engine!$AR$93&gt;=Lookup_Lists!$D$159,"High",IF(Matching_Engine!$AR$93&gt;=Lookup_Lists!$D$160,"Medium","Limited Data"))</f>
      </c>
      <c r="AT93" s="47">
        <f>ROUND((Matching_Engine!$N$93+Matching_Engine!$X$93+Matching_Engine!$AC$93)/3,0)</f>
      </c>
      <c r="AU93" s="47">
        <f>ROUND(((100-Matching_Engine!$AL$93)*Lookup_Lists!$D$162+IF(KOL_Database!$BD$32="",Lookup_Lists!$D$150,KOL_Database!$BD$32)*Lookup_Lists!$D$163+Matching_Engine!$AI$93*Lookup_Lists!$D$164+Matching_Engine!$AD$93*Lookup_Lists!$D$165)/(Lookup_Lists!$D$162+Lookup_Lists!$D$163+Lookup_Lists!$D$164+Lookup_Lists!$D$165),0)</f>
      </c>
      <c r="AV93" s="44">
        <f>IF(Matching_Engine!$AW$93="","PASS","EXCLUDED")</f>
      </c>
      <c r="AW93" s="44">
        <f>IF(ISERROR(SEARCH(KOL_Database!$D$32,Brand_Profile!$F$32)),"Platform not in Preferred Platform",IF(AND(Brand_Profile!$F$36&gt;0,KOL_Database!$J$32&lt;Brand_Profile!$F$36),"Followers below Preferred Follower Range",IF(AND(Brand_Profile!$F$37&gt;0,KOL_Database!$J$32&gt;Brand_Profile!$F$37),"Followers above Preferred Follower Range",IF(AND(Brand_Profile!$F$38&gt;0,IF(KOL_Database!$K$32="",0,KOL_Database!$K$32)&lt;Brand_Profile!$F$38),"Engagement Rate below Minimum Engagement Rate",IF(ISERROR(SEARCH(KOL_Database!$G$32,Brand_Profile!$F$35)),"Tier not in Preferred Tier",IF(AND(Brand_Profile!$F$43&gt;0,Matching_Engine!$AE$93&lt;Brand_Profile!$F$43),"Audience Quality below Minimum Audience Quality",IF(AND(Brand_Profile!$F$44&gt;0,Matching_Engine!$AK$93&lt;Brand_Profile!$F$44),"Brand Safety below Minimum Brand Safety",IF(AND(Brand_Profile!$F$47="Yes",KOL_Database!$AD$32&lt;&gt;Brand_Profile!$F$19),"Audience Country does not match Target Country",IF(AND(Brand_Profile!$F$46="Yes",KOL_Database!$E$32&lt;&gt;Brand_Profile!$F$33),"Category is not the Preferred Category",IF(AND(Brand_Profile!$F$48&gt;0,Matching_Engine!$AL$93&gt;Brand_Profile!$F$48),"Competitor Saturation above Max Competitor Saturation",IF(AND(Brand_Profile!$F$50="Yes",KOL_Database!$AW$32="Yes"),"Already Selected",IF(AND(Brand_Profile!$F$51="Yes",KOL_Database!$AX$32="Yes"),"Already in Cart",IF(AND(Brand_Profile!$F$52="Yes",KOL_Database!$AY$32="Yes"),"Existing Partner",IF(AND(Brand_Profile!$F$53="Yes",KOL_Database!$AZ$32="Yes"),"Excluded Creator",IF(AND(Brand_Profile!$F$49&gt;0,Matching_Engine!$AP$93&lt;Brand_Profile!$F$49),"Brand Match below Minimum Brand Match","")))))))))))))))</f>
      </c>
      <c r="AX93" s="44">
        <f>IF(Matching_Engine!$AV$93="EXCLUDED","Excluded",IF(Matching_Engine!$AP$93&gt;=Lookup_Lists!$D$156,"Highly Recommended",IF(Matching_Engine!$AP$93&gt;=Lookup_Lists!$D$157,"Recommended",IF(Matching_Engine!$AP$93&gt;=Lookup_Lists!$D$158,"Consider","Low Priority"))))</f>
      </c>
      <c r="AY93" s="47">
        <f>IF(Matching_Engine!$AV$93="PASS",Matching_Engine!$AP$93,"")</f>
      </c>
      <c r="AZ93" s="44">
        <f>Matching_Engine!$A$93&amp;"|"&amp;Matching_Engine!$C$93</f>
      </c>
      <c r="BA93" s="44">
        <f>IFERROR(INDEX(Lookup_Lists!$B$51:$B$92,MATCH(Brand_Profile!$F$12,Lookup_Lists!$A$51:$A$92,0)),"")</f>
      </c>
      <c r="BB93" s="44">
        <f>IFERROR(INDEX(Lookup_Lists!$B$51:$B$92,MATCH(KOL_Database!$F$32,Lookup_Lists!$A$51:$A$92,0)),"")</f>
      </c>
      <c r="BC93" s="47">
        <f>IFERROR(INDEX(Lookup_Lists!$B$185:$O$198,MATCH(Matching_Engine!$BA$93,Lookup_Lists!$A$185:$A$198,0),MATCH(KOL_Database!$E$32,Lookup_Lists!$B$184:$O$184,0)),Lookup_Lists!$D$151)</f>
      </c>
      <c r="BD93" s="47">
        <f>IFERROR(INDEX(Lookup_Lists!$B$185:$O$198,MATCH(Brand_Profile!$F$33,Lookup_Lists!$A$185:$A$198,0),MATCH(KOL_Database!$E$32,Lookup_Lists!$B$184:$O$184,0)),Lookup_Lists!$D$151)</f>
      </c>
      <c r="BE93" s="44">
        <f>IFERROR(INDEX(Lookup_Lists!$B$51:$B$92,MATCH(Brand_Profile!$F$34,Lookup_Lists!$A$51:$A$92,0)),"")</f>
      </c>
      <c r="BF93" s="44">
        <f>KOL_Database!$AI$32&amp;", "&amp;KOL_Database!$AG$32&amp;", "&amp;KOL_Database!$F$32&amp;", "&amp;KOL_Database!$E$32</f>
      </c>
      <c r="BG93" s="44">
        <f>KOL_Database!$AI$32&amp;", "&amp;KOL_Database!$AG$32</f>
      </c>
    </row>
    <row r="94" spans="1:59" x14ac:dyDescent="0.25">
      <c r="A94" s="43" t="s">
        <v>77</v>
      </c>
      <c r="B94" s="44">
        <f>Brand_Profile!$F$9</f>
      </c>
      <c r="C94" s="44">
        <f>KOL_Database!$A$33</f>
      </c>
      <c r="D94" s="44">
        <f>KOL_Database!$B$33</f>
      </c>
      <c r="E94" s="44">
        <f>KOL_Database!$C$33</f>
      </c>
      <c r="F94" s="44">
        <f>KOL_Database!$D$33</f>
      </c>
      <c r="G94" s="44">
        <f>KOL_Database!$E$33</f>
      </c>
      <c r="H94" s="44">
        <f>KOL_Database!$G$33</f>
      </c>
      <c r="I94" s="45">
        <f>KOL_Database!$J$33</f>
      </c>
      <c r="J94" s="46">
        <f>KOL_Database!$K$33</f>
      </c>
      <c r="K94" s="47">
        <f>IFERROR(INDEX(Lookup_Lists!$B$170:$O$181,MATCH(Brand_Profile!$F$10,Lookup_Lists!$A$170:$A$181,0),MATCH(KOL_Database!$E$33,Lookup_Lists!$B$169:$O$169,0)),Lookup_Lists!$D$151)</f>
      </c>
      <c r="L94" s="47">
        <f>IF(KOL_Database!$F$33="",Matching_Engine!$BC$94,IF(Brand_Profile!$F$12=KOL_Database!$F$33,100,IF(Matching_Engine!$BA$94=KOL_Database!$E$33,80,IF(Matching_Engine!$BC$94&gt;=80,60,IF(Matching_Engine!$BC$94&gt;=60,40,Lookup_Lists!$D$151)))))</f>
      </c>
      <c r="M94" s="47">
        <f>ROUND((IF(Brand_Profile!$F$62=0,Lookup_Lists!$D$150,ROUND((IF(Brand_Profile!$F$57="",0,IF(ISNUMBER(SEARCH(Brand_Profile!$F$57,Matching_Engine!$BF$94)),1,0))+IF(Brand_Profile!$F$58="",0,IF(ISNUMBER(SEARCH(Brand_Profile!$F$58,Matching_Engine!$BF$94)),1,0))+IF(Brand_Profile!$F$59="",0,IF(ISNUMBER(SEARCH(Brand_Profile!$F$59,Matching_Engine!$BF$94)),1,0))+IF(Brand_Profile!$F$60="",0,IF(ISNUMBER(SEARCH(Brand_Profile!$F$60,Matching_Engine!$BF$94)),1,0))+IF(Brand_Profile!$F$61="",0,IF(ISNUMBER(SEARCH(Brand_Profile!$F$61,Matching_Engine!$BF$94)),1,0)))/Brand_Profile!$F$62*100,0))+IF(Brand_Profile!$F$74=0,Lookup_Lists!$D$150,ROUND((IF(Brand_Profile!$F$69="",0,IF(ISNUMBER(SEARCH(Brand_Profile!$F$69,Matching_Engine!$BF$94)),1,0))+IF(Brand_Profile!$F$70="",0,IF(ISNUMBER(SEARCH(Brand_Profile!$F$70,Matching_Engine!$BF$94)),1,0))+IF(Brand_Profile!$F$71="",0,IF(ISNUMBER(SEARCH(Brand_Profile!$F$71,Matching_Engine!$BF$94)),1,0))+IF(Brand_Profile!$F$72="",0,IF(ISNUMBER(SEARCH(Brand_Profile!$F$72,Matching_Engine!$BF$94)),1,0))+IF(Brand_Profile!$F$73="",0,IF(ISNUMBER(SEARCH(Brand_Profile!$F$73,Matching_Engine!$BF$94)),1,0)))/Brand_Profile!$F$74*100,0)))/2,0)</f>
      </c>
      <c r="N94" s="47">
        <f>ROUND((Matching_Engine!$K$94*Lookup_Lists!$D$110+Matching_Engine!$L$94*Lookup_Lists!$D$111+Matching_Engine!$M$94*Lookup_Lists!$D$112)/(Lookup_Lists!$D$110+Lookup_Lists!$D$111+Lookup_Lists!$D$112),0)</f>
      </c>
      <c r="O94" s="47">
        <f>IF(Brand_Profile!$F$16="",Lookup_Lists!$D$150,MIN(100,ROUND((IFERROR(INDEX(KOL_Database!$W$33:KOL_Database!$AA$33,1,MATCH(Brand_Profile!$F$16,Lookup_Lists!$F$6:$F$10,0)),0)+0.5*IFERROR(INDEX(KOL_Database!$W$33:KOL_Database!$AA$33,1,MATCH(Brand_Profile!$F$17,Lookup_Lists!$F$6:$F$10,0)),0))/Lookup_Lists!$D$142*100,0)))</f>
      </c>
      <c r="P94" s="47">
        <f>IF(OR(Brand_Profile!$F$18="",Brand_Profile!$F$18="Any"),100,IF(Brand_Profile!$F$18="Female",MIN(100,ROUND(KOL_Database!$AB$33/Lookup_Lists!$D$143*100,0)),IF(Brand_Profile!$F$18="Male",MIN(100,ROUND(KOL_Database!$AC$33/Lookup_Lists!$D$143*100,0)),MAX(0,ROUND(100-ABS(KOL_Database!$AB$33-50)*2,0)))))</f>
      </c>
      <c r="Q94" s="47">
        <f>ROUND((IF(Brand_Profile!$F$19="",100,IF(KOL_Database!$AD$33=Brand_Profile!$F$19,100,Lookup_Lists!$D$151))*Lookup_Lists!$D$118+IF(OR(Brand_Profile!$F$20="",Brand_Profile!$F$20="Nasional"),100,IF(KOL_Database!$AE$33="",Lookup_Lists!$D$150,IF(KOL_Database!$AE$33=Brand_Profile!$F$20,100,IF(KOL_Database!$AD$33=Brand_Profile!$F$19,40,Lookup_Lists!$D$151))))*Lookup_Lists!$D$119+IF(OR(Brand_Profile!$F$21="",Brand_Profile!$F$21="Nasional"),100,IF(KOL_Database!$AF$33="",Lookup_Lists!$D$150,IF(KOL_Database!$AF$33=Brand_Profile!$F$21,100,IF(KOL_Database!$AE$33=Brand_Profile!$F$20,60,Lookup_Lists!$D$151))))*Lookup_Lists!$D$120)/(Lookup_Lists!$D$118+Lookup_Lists!$D$119+Lookup_Lists!$D$120),0)</f>
      </c>
      <c r="R94" s="47">
        <f>IF(Brand_Profile!$F$68=0,Lookup_Lists!$D$150,ROUND((IF(Brand_Profile!$F$63="",0,IF(ISNUMBER(SEARCH(Brand_Profile!$F$63,KOL_Database!$AG$33)),1,0))+IF(Brand_Profile!$F$64="",0,IF(ISNUMBER(SEARCH(Brand_Profile!$F$64,KOL_Database!$AG$33)),1,0))+IF(Brand_Profile!$F$65="",0,IF(ISNUMBER(SEARCH(Brand_Profile!$F$65,KOL_Database!$AG$33)),1,0))+IF(Brand_Profile!$F$66="",0,IF(ISNUMBER(SEARCH(Brand_Profile!$F$66,KOL_Database!$AG$33)),1,0))+IF(Brand_Profile!$F$67="",0,IF(ISNUMBER(SEARCH(Brand_Profile!$F$67,KOL_Database!$AG$33)),1,0)))/Brand_Profile!$F$68*100,0))</f>
      </c>
      <c r="S94" s="47">
        <f>ROUND((Matching_Engine!$O$94*Brand_Profile!$F$96+Matching_Engine!$P$94*Brand_Profile!$F$97+Matching_Engine!$Q$94*Brand_Profile!$F$98+Matching_Engine!$R$94*Brand_Profile!$F$99)/MAX(1,Brand_Profile!$F$96+Brand_Profile!$F$97+Brand_Profile!$F$98+Brand_Profile!$F$99),0)</f>
      </c>
      <c r="T94" s="47">
        <f>IF(Brand_Profile!$F$33="",Lookup_Lists!$D$150,Matching_Engine!$BD$94)</f>
      </c>
      <c r="U94" s="47">
        <f>IF(Brand_Profile!$F$34="",Lookup_Lists!$D$150,IF(Brand_Profile!$F$34=KOL_Database!$F$33,100,IF(Matching_Engine!$BE$94=KOL_Database!$E$33,75,IF(Matching_Engine!$BD$94&gt;=80,Lookup_Lists!$D$150,IF(Matching_Engine!$BD$94&gt;=60,35,Lookup_Lists!$D$151)))))</f>
      </c>
      <c r="V94" s="47">
        <f>IF(Brand_Profile!$F$86=0,Lookup_Lists!$D$150,ROUND((IF(Brand_Profile!$F$81="",0,IF(ISNUMBER(SEARCH(Brand_Profile!$F$81,Matching_Engine!$BG$94)),1,0))+IF(Brand_Profile!$F$82="",0,IF(ISNUMBER(SEARCH(Brand_Profile!$F$82,Matching_Engine!$BG$94)),1,0))+IF(Brand_Profile!$F$83="",0,IF(ISNUMBER(SEARCH(Brand_Profile!$F$83,Matching_Engine!$BG$94)),1,0))+IF(Brand_Profile!$F$84="",0,IF(ISNUMBER(SEARCH(Brand_Profile!$F$84,Matching_Engine!$BG$94)),1,0))+IF(Brand_Profile!$F$85="",0,IF(ISNUMBER(SEARCH(Brand_Profile!$F$85,Matching_Engine!$BG$94)),1,0)))/Brand_Profile!$F$86*100,0))</f>
      </c>
      <c r="W94" s="47">
        <f>IF(Brand_Profile!$F$39="",Lookup_Lists!$D$150,IFERROR(INDEX(Lookup_Lists!$B$237:$K$246,MATCH(Brand_Profile!$F$39,Lookup_Lists!$A$237:$A$246,0),MATCH(KOL_Database!$AJ$33,Lookup_Lists!$B$236:$K$236,0)),45))</f>
      </c>
      <c r="X94" s="47">
        <f>ROUND((Matching_Engine!$T$94*Lookup_Lists!$D$121+Matching_Engine!$U$94*Lookup_Lists!$D$122+Matching_Engine!$V$94*Lookup_Lists!$D$123+Matching_Engine!$W$94*Lookup_Lists!$D$124)/(Lookup_Lists!$D$121+Lookup_Lists!$D$122+Lookup_Lists!$D$123+Lookup_Lists!$D$124),0)</f>
      </c>
      <c r="Y94" s="47">
        <f>MIN(100,MAX(IFERROR(INDEX(Lookup_Lists!$B$202:$M$211,MATCH(Brand_Profile!$F$25,Lookup_Lists!$A$202:$A$211,0),MATCH(KOL_Database!$AK$33,Lookup_Lists!$B$201:$M$201,0)),40),IF(KOL_Database!$AK$33=Brand_Profile!$F$41,95,0)))</f>
      </c>
      <c r="Z94" s="47">
        <f>IFERROR(INDEX(Lookup_Lists!$B$215:$K$222,MATCH(Brand_Profile!$F$27,Lookup_Lists!$A$215:$A$222,0),MATCH(KOL_Database!$AJ$33,Lookup_Lists!$B$214:$K$214,0)),45)</f>
      </c>
      <c r="AA94" s="47">
        <f>ROUND((IF(Brand_Profile!$F$80=0,Lookup_Lists!$D$150,ROUND((IF(Brand_Profile!$F$75="",0,IF(ISNUMBER(SEARCH(Brand_Profile!$F$75,KOL_Database!$AL$33)),1,0))+IF(Brand_Profile!$F$76="",0,IF(ISNUMBER(SEARCH(Brand_Profile!$F$76,KOL_Database!$AL$33)),1,0))+IF(Brand_Profile!$F$77="",0,IF(ISNUMBER(SEARCH(Brand_Profile!$F$77,KOL_Database!$AL$33)),1,0))+IF(Brand_Profile!$F$78="",0,IF(ISNUMBER(SEARCH(Brand_Profile!$F$78,KOL_Database!$AL$33)),1,0))+IF(Brand_Profile!$F$79="",0,IF(ISNUMBER(SEARCH(Brand_Profile!$F$79,KOL_Database!$AL$33)),1,0)))/Brand_Profile!$F$80*100,0))+IF(Brand_Profile!$F$92=0,Lookup_Lists!$D$150,ROUND((IF(Brand_Profile!$F$87="",0,IF(ISNUMBER(SEARCH(Brand_Profile!$F$87,KOL_Database!$AL$33)),1,0))+IF(Brand_Profile!$F$88="",0,IF(ISNUMBER(SEARCH(Brand_Profile!$F$88,KOL_Database!$AL$33)),1,0))+IF(Brand_Profile!$F$89="",0,IF(ISNUMBER(SEARCH(Brand_Profile!$F$89,KOL_Database!$AL$33)),1,0))+IF(Brand_Profile!$F$90="",0,IF(ISNUMBER(SEARCH(Brand_Profile!$F$90,KOL_Database!$AL$33)),1,0))+IF(Brand_Profile!$F$91="",0,IF(ISNUMBER(SEARCH(Brand_Profile!$F$91,KOL_Database!$AL$33)),1,0)))/Brand_Profile!$F$92*100,0)))/2,0)</f>
      </c>
      <c r="AB94" s="47">
        <f>IFERROR(INDEX(Lookup_Lists!$B$226:$K$233,MATCH(Brand_Profile!$F$30,Lookup_Lists!$A$226:$A$233,0),MATCH(KOL_Database!$AJ$33,Lookup_Lists!$B$225:$K$225,0)),45)</f>
      </c>
      <c r="AC94" s="47">
        <f>ROUND((Matching_Engine!$Y$94*Lookup_Lists!$D$125+Matching_Engine!$Z$94*Lookup_Lists!$D$126+Matching_Engine!$AA$94*Lookup_Lists!$D$127+Matching_Engine!$AB$94*Lookup_Lists!$D$128)/(Lookup_Lists!$D$125+Lookup_Lists!$D$126+Lookup_Lists!$D$127+Lookup_Lists!$D$128),0)</f>
      </c>
      <c r="AD94" s="47">
        <f>IF(KOL_Database!$K$33="",0,MIN(100,ROUND(KOL_Database!$K$33/Lookup_Lists!$D$141*100,0)))</f>
      </c>
      <c r="AE94" s="47">
        <f>IF(KOL_Database!$R$33="",0,MIN(100,MAX(0,KOL_Database!$R$33)))</f>
      </c>
      <c r="AF94" s="47">
        <f>IF(KOL_Database!$P$33="",0,MIN(100,MAX(0,KOL_Database!$P$33)))</f>
      </c>
      <c r="AG94" s="47">
        <f>IF(KOL_Database!$Q$33="",0,MIN(100,MAX(0,KOL_Database!$Q$33)))</f>
      </c>
      <c r="AH94" s="47">
        <f>IF(OR(KOL_Database!$J$33="",KOL_Database!$J$33=0,KOL_Database!$L$33=""),0,MIN(100,ROUND(KOL_Database!$L$33/KOL_Database!$J$33/Lookup_Lists!$D$144*100,0)))</f>
      </c>
      <c r="AI94" s="47">
        <f>IF(KOL_Database!$N$33="",0,MIN(100,MAX(0,ROUND((KOL_Database!$N$33+2)/(Lookup_Lists!$D$145+2)*100,0))))</f>
      </c>
      <c r="AJ94" s="47">
        <f>ROUND((Matching_Engine!$AD$94*Lookup_Lists!$D$129+Matching_Engine!$AE$94*Lookup_Lists!$D$130+Matching_Engine!$AF$94*Lookup_Lists!$D$131+Matching_Engine!$AG$94*Lookup_Lists!$D$132+Matching_Engine!$AH$94*Lookup_Lists!$D$133+Matching_Engine!$AI$94*Lookup_Lists!$D$134)/(Lookup_Lists!$D$129+Lookup_Lists!$D$130+Lookup_Lists!$D$131+Lookup_Lists!$D$132+Lookup_Lists!$D$133+Lookup_Lists!$D$134),0)</f>
      </c>
      <c r="AK94" s="47">
        <f>IF(KOL_Database!$AT$33="",0,MIN(100,MAX(0,KOL_Database!$AT$33)))</f>
      </c>
      <c r="AL94" s="47">
        <f>IF(KOL_Database!$AU$33="",0,KOL_Database!$AU$33)</f>
      </c>
      <c r="AM94" s="44">
        <f>IF(KOL_Database!$AV$33="","None",KOL_Database!$AV$33)</f>
      </c>
      <c r="AN94" s="48">
        <f>IF(Matching_Engine!$AM$94="High",Lookup_Lists!$D$137,IF(Matching_Engine!$AM$94="Medium",Lookup_Lists!$D$138,IF(Matching_Engine!$AM$94="Low",Lookup_Lists!$D$139,Lookup_Lists!$D$140)))</f>
      </c>
      <c r="AO94" s="47">
        <f>ROUND(MIN(100,MAX(0,(Matching_Engine!$AK$94*Lookup_Lists!$D$135+(100-Matching_Engine!$AL$94)*Lookup_Lists!$D$136)/(Lookup_Lists!$D$135+Lookup_Lists!$D$136)*Matching_Engine!$AN$94)),0)</f>
      </c>
      <c r="AP94" s="49">
        <f>ROUND((Matching_Engine!$N$94*Lookup_Lists!$D$104+Matching_Engine!$S$94*Lookup_Lists!$D$105+Matching_Engine!$X$94*Lookup_Lists!$D$106+Matching_Engine!$AC$94*Lookup_Lists!$D$107+Matching_Engine!$AJ$94*Lookup_Lists!$D$108+Matching_Engine!$AO$94*Lookup_Lists!$D$109)/MAX(1,(Lookup_Lists!$D$104+Lookup_Lists!$D$105+Lookup_Lists!$D$106+Lookup_Lists!$D$107+Lookup_Lists!$D$108+Lookup_Lists!$D$109)),0)</f>
      </c>
      <c r="AQ94" s="44">
        <f>IF(Matching_Engine!$AP$94&gt;=Lookup_Lists!$D$152,"Excellent Match",IF(Matching_Engine!$AP$94&gt;=Lookup_Lists!$D$153,"Strong Match",IF(Matching_Engine!$AP$94&gt;=Lookup_Lists!$D$154,"Good Match",IF(Matching_Engine!$AP$94&gt;=Lookup_Lists!$D$155,"Moderate Match","Low Match"))))</f>
      </c>
      <c r="AR94" s="47">
        <f>KOL_Database!$BE$33</f>
      </c>
      <c r="AS94" s="44">
        <f>IF(Matching_Engine!$AR$94&gt;=Lookup_Lists!$D$159,"High",IF(Matching_Engine!$AR$94&gt;=Lookup_Lists!$D$160,"Medium","Limited Data"))</f>
      </c>
      <c r="AT94" s="47">
        <f>ROUND((Matching_Engine!$N$94+Matching_Engine!$X$94+Matching_Engine!$AC$94)/3,0)</f>
      </c>
      <c r="AU94" s="47">
        <f>ROUND(((100-Matching_Engine!$AL$94)*Lookup_Lists!$D$162+IF(KOL_Database!$BD$33="",Lookup_Lists!$D$150,KOL_Database!$BD$33)*Lookup_Lists!$D$163+Matching_Engine!$AI$94*Lookup_Lists!$D$164+Matching_Engine!$AD$94*Lookup_Lists!$D$165)/(Lookup_Lists!$D$162+Lookup_Lists!$D$163+Lookup_Lists!$D$164+Lookup_Lists!$D$165),0)</f>
      </c>
      <c r="AV94" s="44">
        <f>IF(Matching_Engine!$AW$94="","PASS","EXCLUDED")</f>
      </c>
      <c r="AW94" s="44">
        <f>IF(ISERROR(SEARCH(KOL_Database!$D$33,Brand_Profile!$F$32)),"Platform not in Preferred Platform",IF(AND(Brand_Profile!$F$36&gt;0,KOL_Database!$J$33&lt;Brand_Profile!$F$36),"Followers below Preferred Follower Range",IF(AND(Brand_Profile!$F$37&gt;0,KOL_Database!$J$33&gt;Brand_Profile!$F$37),"Followers above Preferred Follower Range",IF(AND(Brand_Profile!$F$38&gt;0,IF(KOL_Database!$K$33="",0,KOL_Database!$K$33)&lt;Brand_Profile!$F$38),"Engagement Rate below Minimum Engagement Rate",IF(ISERROR(SEARCH(KOL_Database!$G$33,Brand_Profile!$F$35)),"Tier not in Preferred Tier",IF(AND(Brand_Profile!$F$43&gt;0,Matching_Engine!$AE$94&lt;Brand_Profile!$F$43),"Audience Quality below Minimum Audience Quality",IF(AND(Brand_Profile!$F$44&gt;0,Matching_Engine!$AK$94&lt;Brand_Profile!$F$44),"Brand Safety below Minimum Brand Safety",IF(AND(Brand_Profile!$F$47="Yes",KOL_Database!$AD$33&lt;&gt;Brand_Profile!$F$19),"Audience Country does not match Target Country",IF(AND(Brand_Profile!$F$46="Yes",KOL_Database!$E$33&lt;&gt;Brand_Profile!$F$33),"Category is not the Preferred Category",IF(AND(Brand_Profile!$F$48&gt;0,Matching_Engine!$AL$94&gt;Brand_Profile!$F$48),"Competitor Saturation above Max Competitor Saturation",IF(AND(Brand_Profile!$F$50="Yes",KOL_Database!$AW$33="Yes"),"Already Selected",IF(AND(Brand_Profile!$F$51="Yes",KOL_Database!$AX$33="Yes"),"Already in Cart",IF(AND(Brand_Profile!$F$52="Yes",KOL_Database!$AY$33="Yes"),"Existing Partner",IF(AND(Brand_Profile!$F$53="Yes",KOL_Database!$AZ$33="Yes"),"Excluded Creator",IF(AND(Brand_Profile!$F$49&gt;0,Matching_Engine!$AP$94&lt;Brand_Profile!$F$49),"Brand Match below Minimum Brand Match","")))))))))))))))</f>
      </c>
      <c r="AX94" s="44">
        <f>IF(Matching_Engine!$AV$94="EXCLUDED","Excluded",IF(Matching_Engine!$AP$94&gt;=Lookup_Lists!$D$156,"Highly Recommended",IF(Matching_Engine!$AP$94&gt;=Lookup_Lists!$D$157,"Recommended",IF(Matching_Engine!$AP$94&gt;=Lookup_Lists!$D$158,"Consider","Low Priority"))))</f>
      </c>
      <c r="AY94" s="47">
        <f>IF(Matching_Engine!$AV$94="PASS",Matching_Engine!$AP$94,"")</f>
      </c>
      <c r="AZ94" s="44">
        <f>Matching_Engine!$A$94&amp;"|"&amp;Matching_Engine!$C$94</f>
      </c>
      <c r="BA94" s="44">
        <f>IFERROR(INDEX(Lookup_Lists!$B$51:$B$92,MATCH(Brand_Profile!$F$12,Lookup_Lists!$A$51:$A$92,0)),"")</f>
      </c>
      <c r="BB94" s="44">
        <f>IFERROR(INDEX(Lookup_Lists!$B$51:$B$92,MATCH(KOL_Database!$F$33,Lookup_Lists!$A$51:$A$92,0)),"")</f>
      </c>
      <c r="BC94" s="47">
        <f>IFERROR(INDEX(Lookup_Lists!$B$185:$O$198,MATCH(Matching_Engine!$BA$94,Lookup_Lists!$A$185:$A$198,0),MATCH(KOL_Database!$E$33,Lookup_Lists!$B$184:$O$184,0)),Lookup_Lists!$D$151)</f>
      </c>
      <c r="BD94" s="47">
        <f>IFERROR(INDEX(Lookup_Lists!$B$185:$O$198,MATCH(Brand_Profile!$F$33,Lookup_Lists!$A$185:$A$198,0),MATCH(KOL_Database!$E$33,Lookup_Lists!$B$184:$O$184,0)),Lookup_Lists!$D$151)</f>
      </c>
      <c r="BE94" s="44">
        <f>IFERROR(INDEX(Lookup_Lists!$B$51:$B$92,MATCH(Brand_Profile!$F$34,Lookup_Lists!$A$51:$A$92,0)),"")</f>
      </c>
      <c r="BF94" s="44">
        <f>KOL_Database!$AI$33&amp;", "&amp;KOL_Database!$AG$33&amp;", "&amp;KOL_Database!$F$33&amp;", "&amp;KOL_Database!$E$33</f>
      </c>
      <c r="BG94" s="44">
        <f>KOL_Database!$AI$33&amp;", "&amp;KOL_Database!$AG$33</f>
      </c>
    </row>
    <row r="95" spans="1:59" x14ac:dyDescent="0.25">
      <c r="A95" s="43" t="s">
        <v>77</v>
      </c>
      <c r="B95" s="44">
        <f>Brand_Profile!$F$9</f>
      </c>
      <c r="C95" s="44">
        <f>KOL_Database!$A$34</f>
      </c>
      <c r="D95" s="44">
        <f>KOL_Database!$B$34</f>
      </c>
      <c r="E95" s="44">
        <f>KOL_Database!$C$34</f>
      </c>
      <c r="F95" s="44">
        <f>KOL_Database!$D$34</f>
      </c>
      <c r="G95" s="44">
        <f>KOL_Database!$E$34</f>
      </c>
      <c r="H95" s="44">
        <f>KOL_Database!$G$34</f>
      </c>
      <c r="I95" s="45">
        <f>KOL_Database!$J$34</f>
      </c>
      <c r="J95" s="46">
        <f>KOL_Database!$K$34</f>
      </c>
      <c r="K95" s="47">
        <f>IFERROR(INDEX(Lookup_Lists!$B$170:$O$181,MATCH(Brand_Profile!$F$10,Lookup_Lists!$A$170:$A$181,0),MATCH(KOL_Database!$E$34,Lookup_Lists!$B$169:$O$169,0)),Lookup_Lists!$D$151)</f>
      </c>
      <c r="L95" s="47">
        <f>IF(KOL_Database!$F$34="",Matching_Engine!$BC$95,IF(Brand_Profile!$F$12=KOL_Database!$F$34,100,IF(Matching_Engine!$BA$95=KOL_Database!$E$34,80,IF(Matching_Engine!$BC$95&gt;=80,60,IF(Matching_Engine!$BC$95&gt;=60,40,Lookup_Lists!$D$151)))))</f>
      </c>
      <c r="M95" s="47">
        <f>ROUND((IF(Brand_Profile!$F$62=0,Lookup_Lists!$D$150,ROUND((IF(Brand_Profile!$F$57="",0,IF(ISNUMBER(SEARCH(Brand_Profile!$F$57,Matching_Engine!$BF$95)),1,0))+IF(Brand_Profile!$F$58="",0,IF(ISNUMBER(SEARCH(Brand_Profile!$F$58,Matching_Engine!$BF$95)),1,0))+IF(Brand_Profile!$F$59="",0,IF(ISNUMBER(SEARCH(Brand_Profile!$F$59,Matching_Engine!$BF$95)),1,0))+IF(Brand_Profile!$F$60="",0,IF(ISNUMBER(SEARCH(Brand_Profile!$F$60,Matching_Engine!$BF$95)),1,0))+IF(Brand_Profile!$F$61="",0,IF(ISNUMBER(SEARCH(Brand_Profile!$F$61,Matching_Engine!$BF$95)),1,0)))/Brand_Profile!$F$62*100,0))+IF(Brand_Profile!$F$74=0,Lookup_Lists!$D$150,ROUND((IF(Brand_Profile!$F$69="",0,IF(ISNUMBER(SEARCH(Brand_Profile!$F$69,Matching_Engine!$BF$95)),1,0))+IF(Brand_Profile!$F$70="",0,IF(ISNUMBER(SEARCH(Brand_Profile!$F$70,Matching_Engine!$BF$95)),1,0))+IF(Brand_Profile!$F$71="",0,IF(ISNUMBER(SEARCH(Brand_Profile!$F$71,Matching_Engine!$BF$95)),1,0))+IF(Brand_Profile!$F$72="",0,IF(ISNUMBER(SEARCH(Brand_Profile!$F$72,Matching_Engine!$BF$95)),1,0))+IF(Brand_Profile!$F$73="",0,IF(ISNUMBER(SEARCH(Brand_Profile!$F$73,Matching_Engine!$BF$95)),1,0)))/Brand_Profile!$F$74*100,0)))/2,0)</f>
      </c>
      <c r="N95" s="47">
        <f>ROUND((Matching_Engine!$K$95*Lookup_Lists!$D$110+Matching_Engine!$L$95*Lookup_Lists!$D$111+Matching_Engine!$M$95*Lookup_Lists!$D$112)/(Lookup_Lists!$D$110+Lookup_Lists!$D$111+Lookup_Lists!$D$112),0)</f>
      </c>
      <c r="O95" s="47">
        <f>IF(Brand_Profile!$F$16="",Lookup_Lists!$D$150,MIN(100,ROUND((IFERROR(INDEX(KOL_Database!$W$34:KOL_Database!$AA$34,1,MATCH(Brand_Profile!$F$16,Lookup_Lists!$F$6:$F$10,0)),0)+0.5*IFERROR(INDEX(KOL_Database!$W$34:KOL_Database!$AA$34,1,MATCH(Brand_Profile!$F$17,Lookup_Lists!$F$6:$F$10,0)),0))/Lookup_Lists!$D$142*100,0)))</f>
      </c>
      <c r="P95" s="47">
        <f>IF(OR(Brand_Profile!$F$18="",Brand_Profile!$F$18="Any"),100,IF(Brand_Profile!$F$18="Female",MIN(100,ROUND(KOL_Database!$AB$34/Lookup_Lists!$D$143*100,0)),IF(Brand_Profile!$F$18="Male",MIN(100,ROUND(KOL_Database!$AC$34/Lookup_Lists!$D$143*100,0)),MAX(0,ROUND(100-ABS(KOL_Database!$AB$34-50)*2,0)))))</f>
      </c>
      <c r="Q95" s="47">
        <f>ROUND((IF(Brand_Profile!$F$19="",100,IF(KOL_Database!$AD$34=Brand_Profile!$F$19,100,Lookup_Lists!$D$151))*Lookup_Lists!$D$118+IF(OR(Brand_Profile!$F$20="",Brand_Profile!$F$20="Nasional"),100,IF(KOL_Database!$AE$34="",Lookup_Lists!$D$150,IF(KOL_Database!$AE$34=Brand_Profile!$F$20,100,IF(KOL_Database!$AD$34=Brand_Profile!$F$19,40,Lookup_Lists!$D$151))))*Lookup_Lists!$D$119+IF(OR(Brand_Profile!$F$21="",Brand_Profile!$F$21="Nasional"),100,IF(KOL_Database!$AF$34="",Lookup_Lists!$D$150,IF(KOL_Database!$AF$34=Brand_Profile!$F$21,100,IF(KOL_Database!$AE$34=Brand_Profile!$F$20,60,Lookup_Lists!$D$151))))*Lookup_Lists!$D$120)/(Lookup_Lists!$D$118+Lookup_Lists!$D$119+Lookup_Lists!$D$120),0)</f>
      </c>
      <c r="R95" s="47">
        <f>IF(Brand_Profile!$F$68=0,Lookup_Lists!$D$150,ROUND((IF(Brand_Profile!$F$63="",0,IF(ISNUMBER(SEARCH(Brand_Profile!$F$63,KOL_Database!$AG$34)),1,0))+IF(Brand_Profile!$F$64="",0,IF(ISNUMBER(SEARCH(Brand_Profile!$F$64,KOL_Database!$AG$34)),1,0))+IF(Brand_Profile!$F$65="",0,IF(ISNUMBER(SEARCH(Brand_Profile!$F$65,KOL_Database!$AG$34)),1,0))+IF(Brand_Profile!$F$66="",0,IF(ISNUMBER(SEARCH(Brand_Profile!$F$66,KOL_Database!$AG$34)),1,0))+IF(Brand_Profile!$F$67="",0,IF(ISNUMBER(SEARCH(Brand_Profile!$F$67,KOL_Database!$AG$34)),1,0)))/Brand_Profile!$F$68*100,0))</f>
      </c>
      <c r="S95" s="47">
        <f>ROUND((Matching_Engine!$O$95*Brand_Profile!$F$96+Matching_Engine!$P$95*Brand_Profile!$F$97+Matching_Engine!$Q$95*Brand_Profile!$F$98+Matching_Engine!$R$95*Brand_Profile!$F$99)/MAX(1,Brand_Profile!$F$96+Brand_Profile!$F$97+Brand_Profile!$F$98+Brand_Profile!$F$99),0)</f>
      </c>
      <c r="T95" s="47">
        <f>IF(Brand_Profile!$F$33="",Lookup_Lists!$D$150,Matching_Engine!$BD$95)</f>
      </c>
      <c r="U95" s="47">
        <f>IF(Brand_Profile!$F$34="",Lookup_Lists!$D$150,IF(Brand_Profile!$F$34=KOL_Database!$F$34,100,IF(Matching_Engine!$BE$95=KOL_Database!$E$34,75,IF(Matching_Engine!$BD$95&gt;=80,Lookup_Lists!$D$150,IF(Matching_Engine!$BD$95&gt;=60,35,Lookup_Lists!$D$151)))))</f>
      </c>
      <c r="V95" s="47">
        <f>IF(Brand_Profile!$F$86=0,Lookup_Lists!$D$150,ROUND((IF(Brand_Profile!$F$81="",0,IF(ISNUMBER(SEARCH(Brand_Profile!$F$81,Matching_Engine!$BG$95)),1,0))+IF(Brand_Profile!$F$82="",0,IF(ISNUMBER(SEARCH(Brand_Profile!$F$82,Matching_Engine!$BG$95)),1,0))+IF(Brand_Profile!$F$83="",0,IF(ISNUMBER(SEARCH(Brand_Profile!$F$83,Matching_Engine!$BG$95)),1,0))+IF(Brand_Profile!$F$84="",0,IF(ISNUMBER(SEARCH(Brand_Profile!$F$84,Matching_Engine!$BG$95)),1,0))+IF(Brand_Profile!$F$85="",0,IF(ISNUMBER(SEARCH(Brand_Profile!$F$85,Matching_Engine!$BG$95)),1,0)))/Brand_Profile!$F$86*100,0))</f>
      </c>
      <c r="W95" s="47">
        <f>IF(Brand_Profile!$F$39="",Lookup_Lists!$D$150,IFERROR(INDEX(Lookup_Lists!$B$237:$K$246,MATCH(Brand_Profile!$F$39,Lookup_Lists!$A$237:$A$246,0),MATCH(KOL_Database!$AJ$34,Lookup_Lists!$B$236:$K$236,0)),45))</f>
      </c>
      <c r="X95" s="47">
        <f>ROUND((Matching_Engine!$T$95*Lookup_Lists!$D$121+Matching_Engine!$U$95*Lookup_Lists!$D$122+Matching_Engine!$V$95*Lookup_Lists!$D$123+Matching_Engine!$W$95*Lookup_Lists!$D$124)/(Lookup_Lists!$D$121+Lookup_Lists!$D$122+Lookup_Lists!$D$123+Lookup_Lists!$D$124),0)</f>
      </c>
      <c r="Y95" s="47">
        <f>MIN(100,MAX(IFERROR(INDEX(Lookup_Lists!$B$202:$M$211,MATCH(Brand_Profile!$F$25,Lookup_Lists!$A$202:$A$211,0),MATCH(KOL_Database!$AK$34,Lookup_Lists!$B$201:$M$201,0)),40),IF(KOL_Database!$AK$34=Brand_Profile!$F$41,95,0)))</f>
      </c>
      <c r="Z95" s="47">
        <f>IFERROR(INDEX(Lookup_Lists!$B$215:$K$222,MATCH(Brand_Profile!$F$27,Lookup_Lists!$A$215:$A$222,0),MATCH(KOL_Database!$AJ$34,Lookup_Lists!$B$214:$K$214,0)),45)</f>
      </c>
      <c r="AA95" s="47">
        <f>ROUND((IF(Brand_Profile!$F$80=0,Lookup_Lists!$D$150,ROUND((IF(Brand_Profile!$F$75="",0,IF(ISNUMBER(SEARCH(Brand_Profile!$F$75,KOL_Database!$AL$34)),1,0))+IF(Brand_Profile!$F$76="",0,IF(ISNUMBER(SEARCH(Brand_Profile!$F$76,KOL_Database!$AL$34)),1,0))+IF(Brand_Profile!$F$77="",0,IF(ISNUMBER(SEARCH(Brand_Profile!$F$77,KOL_Database!$AL$34)),1,0))+IF(Brand_Profile!$F$78="",0,IF(ISNUMBER(SEARCH(Brand_Profile!$F$78,KOL_Database!$AL$34)),1,0))+IF(Brand_Profile!$F$79="",0,IF(ISNUMBER(SEARCH(Brand_Profile!$F$79,KOL_Database!$AL$34)),1,0)))/Brand_Profile!$F$80*100,0))+IF(Brand_Profile!$F$92=0,Lookup_Lists!$D$150,ROUND((IF(Brand_Profile!$F$87="",0,IF(ISNUMBER(SEARCH(Brand_Profile!$F$87,KOL_Database!$AL$34)),1,0))+IF(Brand_Profile!$F$88="",0,IF(ISNUMBER(SEARCH(Brand_Profile!$F$88,KOL_Database!$AL$34)),1,0))+IF(Brand_Profile!$F$89="",0,IF(ISNUMBER(SEARCH(Brand_Profile!$F$89,KOL_Database!$AL$34)),1,0))+IF(Brand_Profile!$F$90="",0,IF(ISNUMBER(SEARCH(Brand_Profile!$F$90,KOL_Database!$AL$34)),1,0))+IF(Brand_Profile!$F$91="",0,IF(ISNUMBER(SEARCH(Brand_Profile!$F$91,KOL_Database!$AL$34)),1,0)))/Brand_Profile!$F$92*100,0)))/2,0)</f>
      </c>
      <c r="AB95" s="47">
        <f>IFERROR(INDEX(Lookup_Lists!$B$226:$K$233,MATCH(Brand_Profile!$F$30,Lookup_Lists!$A$226:$A$233,0),MATCH(KOL_Database!$AJ$34,Lookup_Lists!$B$225:$K$225,0)),45)</f>
      </c>
      <c r="AC95" s="47">
        <f>ROUND((Matching_Engine!$Y$95*Lookup_Lists!$D$125+Matching_Engine!$Z$95*Lookup_Lists!$D$126+Matching_Engine!$AA$95*Lookup_Lists!$D$127+Matching_Engine!$AB$95*Lookup_Lists!$D$128)/(Lookup_Lists!$D$125+Lookup_Lists!$D$126+Lookup_Lists!$D$127+Lookup_Lists!$D$128),0)</f>
      </c>
      <c r="AD95" s="47">
        <f>IF(KOL_Database!$K$34="",0,MIN(100,ROUND(KOL_Database!$K$34/Lookup_Lists!$D$141*100,0)))</f>
      </c>
      <c r="AE95" s="47">
        <f>IF(KOL_Database!$R$34="",0,MIN(100,MAX(0,KOL_Database!$R$34)))</f>
      </c>
      <c r="AF95" s="47">
        <f>IF(KOL_Database!$P$34="",0,MIN(100,MAX(0,KOL_Database!$P$34)))</f>
      </c>
      <c r="AG95" s="47">
        <f>IF(KOL_Database!$Q$34="",0,MIN(100,MAX(0,KOL_Database!$Q$34)))</f>
      </c>
      <c r="AH95" s="47">
        <f>IF(OR(KOL_Database!$J$34="",KOL_Database!$J$34=0,KOL_Database!$L$34=""),0,MIN(100,ROUND(KOL_Database!$L$34/KOL_Database!$J$34/Lookup_Lists!$D$144*100,0)))</f>
      </c>
      <c r="AI95" s="47">
        <f>IF(KOL_Database!$N$34="",0,MIN(100,MAX(0,ROUND((KOL_Database!$N$34+2)/(Lookup_Lists!$D$145+2)*100,0))))</f>
      </c>
      <c r="AJ95" s="47">
        <f>ROUND((Matching_Engine!$AD$95*Lookup_Lists!$D$129+Matching_Engine!$AE$95*Lookup_Lists!$D$130+Matching_Engine!$AF$95*Lookup_Lists!$D$131+Matching_Engine!$AG$95*Lookup_Lists!$D$132+Matching_Engine!$AH$95*Lookup_Lists!$D$133+Matching_Engine!$AI$95*Lookup_Lists!$D$134)/(Lookup_Lists!$D$129+Lookup_Lists!$D$130+Lookup_Lists!$D$131+Lookup_Lists!$D$132+Lookup_Lists!$D$133+Lookup_Lists!$D$134),0)</f>
      </c>
      <c r="AK95" s="47">
        <f>IF(KOL_Database!$AT$34="",0,MIN(100,MAX(0,KOL_Database!$AT$34)))</f>
      </c>
      <c r="AL95" s="47">
        <f>IF(KOL_Database!$AU$34="",0,KOL_Database!$AU$34)</f>
      </c>
      <c r="AM95" s="44">
        <f>IF(KOL_Database!$AV$34="","None",KOL_Database!$AV$34)</f>
      </c>
      <c r="AN95" s="48">
        <f>IF(Matching_Engine!$AM$95="High",Lookup_Lists!$D$137,IF(Matching_Engine!$AM$95="Medium",Lookup_Lists!$D$138,IF(Matching_Engine!$AM$95="Low",Lookup_Lists!$D$139,Lookup_Lists!$D$140)))</f>
      </c>
      <c r="AO95" s="47">
        <f>ROUND(MIN(100,MAX(0,(Matching_Engine!$AK$95*Lookup_Lists!$D$135+(100-Matching_Engine!$AL$95)*Lookup_Lists!$D$136)/(Lookup_Lists!$D$135+Lookup_Lists!$D$136)*Matching_Engine!$AN$95)),0)</f>
      </c>
      <c r="AP95" s="49">
        <f>ROUND((Matching_Engine!$N$95*Lookup_Lists!$D$104+Matching_Engine!$S$95*Lookup_Lists!$D$105+Matching_Engine!$X$95*Lookup_Lists!$D$106+Matching_Engine!$AC$95*Lookup_Lists!$D$107+Matching_Engine!$AJ$95*Lookup_Lists!$D$108+Matching_Engine!$AO$95*Lookup_Lists!$D$109)/MAX(1,(Lookup_Lists!$D$104+Lookup_Lists!$D$105+Lookup_Lists!$D$106+Lookup_Lists!$D$107+Lookup_Lists!$D$108+Lookup_Lists!$D$109)),0)</f>
      </c>
      <c r="AQ95" s="44">
        <f>IF(Matching_Engine!$AP$95&gt;=Lookup_Lists!$D$152,"Excellent Match",IF(Matching_Engine!$AP$95&gt;=Lookup_Lists!$D$153,"Strong Match",IF(Matching_Engine!$AP$95&gt;=Lookup_Lists!$D$154,"Good Match",IF(Matching_Engine!$AP$95&gt;=Lookup_Lists!$D$155,"Moderate Match","Low Match"))))</f>
      </c>
      <c r="AR95" s="47">
        <f>KOL_Database!$BE$34</f>
      </c>
      <c r="AS95" s="44">
        <f>IF(Matching_Engine!$AR$95&gt;=Lookup_Lists!$D$159,"High",IF(Matching_Engine!$AR$95&gt;=Lookup_Lists!$D$160,"Medium","Limited Data"))</f>
      </c>
      <c r="AT95" s="47">
        <f>ROUND((Matching_Engine!$N$95+Matching_Engine!$X$95+Matching_Engine!$AC$95)/3,0)</f>
      </c>
      <c r="AU95" s="47">
        <f>ROUND(((100-Matching_Engine!$AL$95)*Lookup_Lists!$D$162+IF(KOL_Database!$BD$34="",Lookup_Lists!$D$150,KOL_Database!$BD$34)*Lookup_Lists!$D$163+Matching_Engine!$AI$95*Lookup_Lists!$D$164+Matching_Engine!$AD$95*Lookup_Lists!$D$165)/(Lookup_Lists!$D$162+Lookup_Lists!$D$163+Lookup_Lists!$D$164+Lookup_Lists!$D$165),0)</f>
      </c>
      <c r="AV95" s="44">
        <f>IF(Matching_Engine!$AW$95="","PASS","EXCLUDED")</f>
      </c>
      <c r="AW95" s="44">
        <f>IF(ISERROR(SEARCH(KOL_Database!$D$34,Brand_Profile!$F$32)),"Platform not in Preferred Platform",IF(AND(Brand_Profile!$F$36&gt;0,KOL_Database!$J$34&lt;Brand_Profile!$F$36),"Followers below Preferred Follower Range",IF(AND(Brand_Profile!$F$37&gt;0,KOL_Database!$J$34&gt;Brand_Profile!$F$37),"Followers above Preferred Follower Range",IF(AND(Brand_Profile!$F$38&gt;0,IF(KOL_Database!$K$34="",0,KOL_Database!$K$34)&lt;Brand_Profile!$F$38),"Engagement Rate below Minimum Engagement Rate",IF(ISERROR(SEARCH(KOL_Database!$G$34,Brand_Profile!$F$35)),"Tier not in Preferred Tier",IF(AND(Brand_Profile!$F$43&gt;0,Matching_Engine!$AE$95&lt;Brand_Profile!$F$43),"Audience Quality below Minimum Audience Quality",IF(AND(Brand_Profile!$F$44&gt;0,Matching_Engine!$AK$95&lt;Brand_Profile!$F$44),"Brand Safety below Minimum Brand Safety",IF(AND(Brand_Profile!$F$47="Yes",KOL_Database!$AD$34&lt;&gt;Brand_Profile!$F$19),"Audience Country does not match Target Country",IF(AND(Brand_Profile!$F$46="Yes",KOL_Database!$E$34&lt;&gt;Brand_Profile!$F$33),"Category is not the Preferred Category",IF(AND(Brand_Profile!$F$48&gt;0,Matching_Engine!$AL$95&gt;Brand_Profile!$F$48),"Competitor Saturation above Max Competitor Saturation",IF(AND(Brand_Profile!$F$50="Yes",KOL_Database!$AW$34="Yes"),"Already Selected",IF(AND(Brand_Profile!$F$51="Yes",KOL_Database!$AX$34="Yes"),"Already in Cart",IF(AND(Brand_Profile!$F$52="Yes",KOL_Database!$AY$34="Yes"),"Existing Partner",IF(AND(Brand_Profile!$F$53="Yes",KOL_Database!$AZ$34="Yes"),"Excluded Creator",IF(AND(Brand_Profile!$F$49&gt;0,Matching_Engine!$AP$95&lt;Brand_Profile!$F$49),"Brand Match below Minimum Brand Match","")))))))))))))))</f>
      </c>
      <c r="AX95" s="44">
        <f>IF(Matching_Engine!$AV$95="EXCLUDED","Excluded",IF(Matching_Engine!$AP$95&gt;=Lookup_Lists!$D$156,"Highly Recommended",IF(Matching_Engine!$AP$95&gt;=Lookup_Lists!$D$157,"Recommended",IF(Matching_Engine!$AP$95&gt;=Lookup_Lists!$D$158,"Consider","Low Priority"))))</f>
      </c>
      <c r="AY95" s="47">
        <f>IF(Matching_Engine!$AV$95="PASS",Matching_Engine!$AP$95,"")</f>
      </c>
      <c r="AZ95" s="44">
        <f>Matching_Engine!$A$95&amp;"|"&amp;Matching_Engine!$C$95</f>
      </c>
      <c r="BA95" s="44">
        <f>IFERROR(INDEX(Lookup_Lists!$B$51:$B$92,MATCH(Brand_Profile!$F$12,Lookup_Lists!$A$51:$A$92,0)),"")</f>
      </c>
      <c r="BB95" s="44">
        <f>IFERROR(INDEX(Lookup_Lists!$B$51:$B$92,MATCH(KOL_Database!$F$34,Lookup_Lists!$A$51:$A$92,0)),"")</f>
      </c>
      <c r="BC95" s="47">
        <f>IFERROR(INDEX(Lookup_Lists!$B$185:$O$198,MATCH(Matching_Engine!$BA$95,Lookup_Lists!$A$185:$A$198,0),MATCH(KOL_Database!$E$34,Lookup_Lists!$B$184:$O$184,0)),Lookup_Lists!$D$151)</f>
      </c>
      <c r="BD95" s="47">
        <f>IFERROR(INDEX(Lookup_Lists!$B$185:$O$198,MATCH(Brand_Profile!$F$33,Lookup_Lists!$A$185:$A$198,0),MATCH(KOL_Database!$E$34,Lookup_Lists!$B$184:$O$184,0)),Lookup_Lists!$D$151)</f>
      </c>
      <c r="BE95" s="44">
        <f>IFERROR(INDEX(Lookup_Lists!$B$51:$B$92,MATCH(Brand_Profile!$F$34,Lookup_Lists!$A$51:$A$92,0)),"")</f>
      </c>
      <c r="BF95" s="44">
        <f>KOL_Database!$AI$34&amp;", "&amp;KOL_Database!$AG$34&amp;", "&amp;KOL_Database!$F$34&amp;", "&amp;KOL_Database!$E$34</f>
      </c>
      <c r="BG95" s="44">
        <f>KOL_Database!$AI$34&amp;", "&amp;KOL_Database!$AG$34</f>
      </c>
    </row>
  </sheetData>
  <autoFilter ref="A5:BG95"/>
  <mergeCells count="11">
    <mergeCell ref="A1:BG1"/>
    <mergeCell ref="A2:BG2"/>
    <mergeCell ref="A4:J4"/>
    <mergeCell ref="K4:N4"/>
    <mergeCell ref="O4:S4"/>
    <mergeCell ref="T4:X4"/>
    <mergeCell ref="Y4:AC4"/>
    <mergeCell ref="AD4:AJ4"/>
    <mergeCell ref="AK4:AO4"/>
    <mergeCell ref="AP4:AZ4"/>
    <mergeCell ref="BA4:BG4"/>
  </mergeCells>
  <conditionalFormatting sqref="AP6:AP95">
    <cfRule type="colorScale" priority="1">
      <colorScale>
        <cfvo type="num" val="40"/>
        <cfvo type="num" val="70"/>
        <cfvo type="num" val="95"/>
        <color rgb="FFF8696B"/>
        <color rgb="FFFFEB84"/>
        <color rgb="FF63BE7B"/>
      </colorScale>
    </cfRule>
  </conditionalFormatting>
  <conditionalFormatting sqref="AQ6:AQ95">
    <cfRule type="containsText" dxfId="4" priority="1" operator="containsText" text="Excellent">
      <formula>NOT(ISERROR(SEARCH("Excellent",AQ6)))</formula>
    </cfRule>
    <cfRule type="containsText" dxfId="5" priority="2" operator="containsText" text="Strong">
      <formula>NOT(ISERROR(SEARCH("Strong",AQ6)))</formula>
    </cfRule>
    <cfRule type="containsText" dxfId="6" priority="3" operator="containsText" text="Good">
      <formula>NOT(ISERROR(SEARCH("Good",AQ6)))</formula>
    </cfRule>
    <cfRule type="containsText" dxfId="7" priority="4" operator="containsText" text="Moderate">
      <formula>NOT(ISERROR(SEARCH("Moderate",AQ6)))</formula>
    </cfRule>
    <cfRule type="containsText" dxfId="8" priority="5" operator="containsText" text="Low">
      <formula>NOT(ISERROR(SEARCH("Low",AQ6)))</formula>
    </cfRule>
  </conditionalFormatting>
  <conditionalFormatting sqref="AV6:AV95">
    <cfRule type="containsText" dxfId="9" priority="1" operator="containsText" text="EXCLUDED">
      <formula>NOT(ISERROR(SEARCH("EXCLUDED",AV6)))</formula>
    </cfRule>
    <cfRule type="containsText" dxfId="10" priority="2" operator="containsText" text="PASS">
      <formula>NOT(ISERROR(SEARCH("PASS",AV6)))</formula>
    </cfRule>
  </conditionalFormatting>
  <conditionalFormatting sqref="AM6:AM95">
    <cfRule type="containsText" dxfId="11" priority="1" operator="containsText" text="High">
      <formula>NOT(ISERROR(SEARCH("High",AM6)))</formula>
    </cfRule>
    <cfRule type="containsText" dxfId="12" priority="2" operator="containsText" text="Medium">
      <formula>NOT(ISERROR(SEARCH("Medium",AM6)))</formula>
    </cfRule>
  </conditionalFormatting>
  <conditionalFormatting sqref="AS6:AS95">
    <cfRule type="containsText" dxfId="13" priority="1" operator="containsText" text="Limited">
      <formula>NOT(ISERROR(SEARCH("Limited",AS6)))</formula>
    </cfRule>
    <cfRule type="containsText" dxfId="14" priority="2" operator="containsText" text="Medium">
      <formula>NOT(ISERROR(SEARCH("Medium",AS6)))</formula>
    </cfRule>
  </conditionalFormatting>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4"/>
  <sheetViews>
    <sheetView workbookViewId="0">
      <pane xSplit="2" ySplit="4" topLeftCell="C5" activePane="bottomRight" state="frozen"/>
      <selection pane="bottomRight"/>
    </sheetView>
  </sheetViews>
  <sheetFormatPr defaultRowHeight="15" outlineLevelRow="0" outlineLevelCol="0" x14ac:dyDescent="55"/>
  <cols>
    <col min="1" max="6" width="16" customWidth="1"/>
    <col min="7" max="7" width="32" customWidth="1"/>
    <col min="8" max="8" width="16" customWidth="1"/>
    <col min="9" max="9" width="62" customWidth="1"/>
    <col min="10" max="17" width="32" customWidth="1"/>
    <col min="18" max="22" width="62" customWidth="1"/>
  </cols>
  <sheetData>
    <row r="1" ht="24" customHeight="1" spans="1:29" x14ac:dyDescent="0.25">
      <c r="A1" s="1" t="s">
        <v>698</v>
      </c>
      <c r="B1" s="1"/>
      <c r="C1" s="1"/>
      <c r="D1" s="1"/>
      <c r="E1" s="1"/>
      <c r="F1" s="1"/>
      <c r="G1" s="1"/>
      <c r="H1" s="1"/>
      <c r="I1" s="1"/>
      <c r="J1" s="1"/>
      <c r="K1" s="1"/>
      <c r="L1" s="1"/>
      <c r="M1" s="1"/>
      <c r="N1" s="1"/>
      <c r="O1" s="1"/>
      <c r="P1" s="1"/>
      <c r="Q1" s="1"/>
      <c r="R1" s="1"/>
      <c r="S1" s="1"/>
      <c r="T1" s="1"/>
      <c r="U1" s="1"/>
      <c r="V1" s="1"/>
      <c r="W1" s="1"/>
      <c r="X1" s="1"/>
      <c r="Y1" s="1"/>
      <c r="Z1" s="1"/>
      <c r="AA1" s="1"/>
      <c r="AB1" s="1"/>
      <c r="AC1" s="1"/>
    </row>
    <row r="2" ht="30" customHeight="1" spans="1:29" x14ac:dyDescent="0.25">
      <c r="A2" s="2" t="s">
        <v>699</v>
      </c>
      <c r="B2" s="2"/>
      <c r="C2" s="2"/>
      <c r="D2" s="2"/>
      <c r="E2" s="2"/>
      <c r="F2" s="2"/>
      <c r="G2" s="2"/>
      <c r="H2" s="2"/>
      <c r="I2" s="2"/>
      <c r="J2" s="2"/>
      <c r="K2" s="2"/>
      <c r="L2" s="2"/>
      <c r="M2" s="2"/>
      <c r="N2" s="2"/>
      <c r="O2" s="2"/>
      <c r="P2" s="2"/>
      <c r="Q2" s="2"/>
      <c r="R2" s="2"/>
      <c r="S2" s="2"/>
      <c r="T2" s="2"/>
      <c r="U2" s="2"/>
      <c r="V2" s="2"/>
      <c r="W2" s="2"/>
      <c r="X2" s="2"/>
      <c r="Y2" s="2"/>
      <c r="Z2" s="2"/>
      <c r="AA2" s="2"/>
      <c r="AB2" s="2"/>
      <c r="AC2" s="2"/>
    </row>
    <row r="4" ht="30" customHeight="1" spans="1:29" x14ac:dyDescent="0.25">
      <c r="A4" s="12" t="s">
        <v>342</v>
      </c>
      <c r="B4" s="12" t="s">
        <v>659</v>
      </c>
      <c r="C4" s="12" t="s">
        <v>344</v>
      </c>
      <c r="D4" s="12" t="s">
        <v>345</v>
      </c>
      <c r="E4" s="12" t="s">
        <v>346</v>
      </c>
      <c r="F4" s="12" t="s">
        <v>681</v>
      </c>
      <c r="G4" s="12" t="s">
        <v>682</v>
      </c>
      <c r="H4" s="12" t="s">
        <v>683</v>
      </c>
      <c r="I4" s="12" t="s">
        <v>700</v>
      </c>
      <c r="J4" s="12" t="s">
        <v>701</v>
      </c>
      <c r="K4" s="12" t="s">
        <v>702</v>
      </c>
      <c r="L4" s="12" t="s">
        <v>703</v>
      </c>
      <c r="M4" s="12" t="s">
        <v>704</v>
      </c>
      <c r="N4" s="12" t="s">
        <v>705</v>
      </c>
      <c r="O4" s="12" t="s">
        <v>706</v>
      </c>
      <c r="P4" s="12" t="s">
        <v>707</v>
      </c>
      <c r="Q4" s="12" t="s">
        <v>688</v>
      </c>
      <c r="R4" s="12" t="s">
        <v>708</v>
      </c>
      <c r="S4" s="12" t="s">
        <v>709</v>
      </c>
      <c r="T4" s="12" t="s">
        <v>710</v>
      </c>
      <c r="U4" s="12" t="s">
        <v>711</v>
      </c>
      <c r="V4" s="12" t="s">
        <v>712</v>
      </c>
      <c r="W4" s="12" t="s">
        <v>713</v>
      </c>
      <c r="X4" s="12" t="s">
        <v>714</v>
      </c>
      <c r="Y4" s="12" t="s">
        <v>715</v>
      </c>
      <c r="Z4" s="12" t="s">
        <v>716</v>
      </c>
      <c r="AA4" s="12" t="s">
        <v>717</v>
      </c>
      <c r="AB4" s="12" t="s">
        <v>718</v>
      </c>
      <c r="AC4" s="12" t="s">
        <v>719</v>
      </c>
    </row>
    <row r="5" spans="1:29" x14ac:dyDescent="0.25">
      <c r="A5" s="50">
        <f>KOL_Database!$A$5</f>
      </c>
      <c r="B5" s="50">
        <f>KOL_Database!$B$5</f>
      </c>
      <c r="C5" s="50">
        <f>KOL_Database!$C$5</f>
      </c>
      <c r="D5" s="50">
        <f>KOL_Database!$D$5</f>
      </c>
      <c r="E5" s="50">
        <f>KOL_Database!$E$5</f>
      </c>
      <c r="F5" s="51">
        <f>INDEX(Matching_Engine!$AP$6:$AP$95,$W5,1)</f>
      </c>
      <c r="G5" s="50">
        <f>INDEX(Matching_Engine!$AQ$6:$AQ$95,$W5,1)</f>
      </c>
      <c r="H5" s="50">
        <f>INDEX(Matching_Engine!$AS$6:$AS$95,$W5,1)</f>
      </c>
      <c r="I5" s="50">
        <f>"Strongest on "&amp;INDEX(Lookup_Lists!$AC$6:$AC$11,MATCH(LARGE($X5:$AC5,1),$X5:$AC5,0),1)&amp;" at "&amp;ROUND(LARGE($X5:$AC5,1),0)&amp;"/100. "&amp;"Audience overlap "&amp;INDEX(Matching_Engine!$S$6:$S$95,$W5,1)&amp;"/100 against the "&amp;Brand_Profile!$G$16&amp;" / "&amp;Brand_Profile!$G$17&amp;" target; "&amp;KOL_Database!$E$5&amp;" content against a "&amp;Brand_Profile!$G$10&amp;" brief. "&amp;"Final Brand Match "&amp;INDEX(Matching_Engine!$AP$6:$AP$95,$W5,1)&amp;"/100 ("&amp;INDEX(Matching_Engine!$AQ$6:$AQ$95,$W5,1)&amp;")."</f>
      </c>
      <c r="J5" s="50">
        <f>IFERROR(INDEX(Lookup_Lists!$AC$6:$AC$11,MATCH(LARGE($X5:$AC5,1),$X5:$AC5,0),1)&amp;" — "&amp;ROUND(LARGE($X5:$AC5,1),0)&amp;"/100","")</f>
      </c>
      <c r="K5" s="50">
        <f>IFERROR(INDEX(Lookup_Lists!$AC$6:$AC$11,MATCH(LARGE($X5:$AC5,2),$X5:$AC5,0),1)&amp;" — "&amp;ROUND(LARGE($X5:$AC5,2),0)&amp;"/100","")</f>
      </c>
      <c r="L5" s="50">
        <f>IFERROR(INDEX(Lookup_Lists!$AC$6:$AC$11,MATCH(LARGE($X5:$AC5,3),$X5:$AC5,0),1)&amp;" — "&amp;ROUND(LARGE($X5:$AC5,3),0)&amp;"/100","")</f>
      </c>
      <c r="M5" s="50">
        <f>IFERROR(IF(SMALL($X5:$AC5,1)&gt;=Lookup_Lists!$D$161,"No material gap — "&amp;INDEX(Lookup_Lists!$AC$6:$AC$11,MATCH(SMALL($X5:$AC5,1),$X5:$AC5,0),1)&amp;" at "&amp;ROUND(SMALL($X5:$AC5,1),0)&amp;"/100",INDEX(Lookup_Lists!$AC$6:$AC$11,MATCH(SMALL($X5:$AC5,1),$X5:$AC5,0),1)&amp;" only "&amp;ROUND(SMALL($X5:$AC5,1),0)&amp;"/100"),"")</f>
      </c>
      <c r="N5" s="50">
        <f>IFERROR(IF(SMALL($X5:$AC5,2)&gt;=Lookup_Lists!$D$161,"No material gap — "&amp;INDEX(Lookup_Lists!$AC$6:$AC$11,MATCH(SMALL($X5:$AC5,2),$X5:$AC5,0),1)&amp;" at "&amp;ROUND(SMALL($X5:$AC5,2),0)&amp;"/100",INDEX(Lookup_Lists!$AC$6:$AC$11,MATCH(SMALL($X5:$AC5,2),$X5:$AC5,0),1)&amp;" only "&amp;ROUND(SMALL($X5:$AC5,2),0)&amp;"/100"),"")</f>
      </c>
      <c r="O5" s="50">
        <f>IFERROR(IF(SMALL($X5:$AC5,3)&gt;=Lookup_Lists!$D$161,"No material gap — "&amp;INDEX(Lookup_Lists!$AC$6:$AC$11,MATCH(SMALL($X5:$AC5,3),$X5:$AC5,0),1)&amp;" at "&amp;ROUND(SMALL($X5:$AC5,3),0)&amp;"/100",INDEX(Lookup_Lists!$AC$6:$AC$11,MATCH(SMALL($X5:$AC5,3),$X5:$AC5,0),1)&amp;" only "&amp;ROUND(SMALL($X5:$AC5,3),0)&amp;"/100"),"")</f>
      </c>
      <c r="P5" s="50">
        <f>IF(INDEX(Matching_Engine!$AM$6:$AM$95,$W5,1)="None","No risk flag — competitor saturation "&amp;INDEX(Matching_Engine!$AL$6:$AL$95,$W5,1)&amp;"/100",INDEX(Matching_Engine!$AM$6:$AM$95,$W5,1)&amp;" risk flag — competitor saturation "&amp;INDEX(Matching_Engine!$AL$6:$AL$95,$W5,1)&amp;"/100")</f>
      </c>
      <c r="Q5" s="50">
        <f>INDEX(Matching_Engine!$AX$6:$AX$95,$W5,1)</f>
      </c>
      <c r="R5" s="50">
        <f>"Industry "&amp;INDEX(Matching_Engine!$K$6:$K$95,$W5,1)&amp;"/100, category "&amp;INDEX(Matching_Engine!$L$6:$L$95,$W5,1)&amp;"/100, keywords "&amp;INDEX(Matching_Engine!$M$6:$M$95,$W5,1)&amp;"/100 — a "&amp;Brand_Profile!$G$10&amp;" brief against a "&amp;KOL_Database!$E$5&amp;" / "&amp;KOL_Database!$F$5&amp;" creator."</f>
      </c>
      <c r="S5" s="50">
        <f>"Age "&amp;INDEX(Matching_Engine!$O$6:$O$95,$W5,1)&amp;"/100, gender "&amp;INDEX(Matching_Engine!$P$6:$P$95,$W5,1)&amp;"/100, location "&amp;INDEX(Matching_Engine!$Q$6:$Q$95,$W5,1)&amp;"/100, interests "&amp;INDEX(Matching_Engine!$R$6:$R$95,$W5,1)&amp;"/100. Weighted with priority on "&amp;Brand_Profile!$G$23&amp;"."</f>
      </c>
      <c r="T5" s="50">
        <f>"Category "&amp;INDEX(Matching_Engine!$T$6:$T$95,$W5,1)&amp;"/100, sub category "&amp;INDEX(Matching_Engine!$U$6:$U$95,$W5,1)&amp;"/100, topics "&amp;INDEX(Matching_Engine!$V$6:$V$95,$W5,1)&amp;"/100, style "&amp;INDEX(Matching_Engine!$W$6:$W$95,$W5,1)&amp;"/100 — brief wants "&amp;Brand_Profile!$G$39&amp;", creator delivers "&amp;KOL_Database!$AJ$5&amp;"."</f>
      </c>
      <c r="U5" s="50">
        <f>"Personality "&amp;INDEX(Matching_Engine!$Y$6:$Y$95,$W5,1)&amp;"/100, tone vs style "&amp;INDEX(Matching_Engine!$Z$6:$Z$95,$W5,1)&amp;"/100, values "&amp;INDEX(Matching_Engine!$AA$6:$AA$95,$W5,1)&amp;"/100, communication "&amp;INDEX(Matching_Engine!$AB$6:$AB$95,$W5,1)&amp;"/100 — a "&amp;Brand_Profile!$G$25&amp;" / "&amp;Brand_Profile!$G$28&amp;" brand against a "&amp;KOL_Database!$AK$5&amp;" creator."</f>
      </c>
      <c r="V5" s="50">
        <f>IF(INDEX(Matching_Engine!$AM$6:$AM$95,$W5,1)="None","No risk flag. ",INDEX(Matching_Engine!$AM$6:$AM$95,$W5,1)&amp;" risk flag. ")&amp;"Brand Safety "&amp;INDEX(Matching_Engine!$AK$6:$AK$95,$W5,1)&amp;"/100, competitor saturation "&amp;INDEX(Matching_Engine!$AL$6:$AL$95,$W5,1)&amp;"/100"&amp;IF(INDEX(Matching_Engine!$AL$6:$AL$95,$W5,1)&gt;=70," — high, so treat it as a consideration rather than an automatic exclusion.",".")</f>
      </c>
      <c r="W5" s="50">
        <f>MATCH(Brand_Profile!$B$4&amp;"|"&amp;KOL_Database!$A$5,Matching_Engine!$AZ$6:$AZ$95,0)</f>
      </c>
      <c r="X5" s="52">
        <f>INDEX(Matching_Engine!$N$6:$N$95,$W5,1)+0.006</f>
      </c>
      <c r="Y5" s="52">
        <f>INDEX(Matching_Engine!$S$6:$S$95,$W5,1)+0.005</f>
      </c>
      <c r="Z5" s="52">
        <f>INDEX(Matching_Engine!$X$6:$X$95,$W5,1)+0.004</f>
      </c>
      <c r="AA5" s="52">
        <f>INDEX(Matching_Engine!$AC$6:$AC$95,$W5,1)+0.003</f>
      </c>
      <c r="AB5" s="52">
        <f>INDEX(Matching_Engine!$AJ$6:$AJ$95,$W5,1)+0.002</f>
      </c>
      <c r="AC5" s="52">
        <f>INDEX(Matching_Engine!$AO$6:$AO$95,$W5,1)+0.001</f>
      </c>
    </row>
    <row r="6" spans="1:29" x14ac:dyDescent="0.25">
      <c r="A6" s="50">
        <f>KOL_Database!$A$6</f>
      </c>
      <c r="B6" s="50">
        <f>KOL_Database!$B$6</f>
      </c>
      <c r="C6" s="50">
        <f>KOL_Database!$C$6</f>
      </c>
      <c r="D6" s="50">
        <f>KOL_Database!$D$6</f>
      </c>
      <c r="E6" s="50">
        <f>KOL_Database!$E$6</f>
      </c>
      <c r="F6" s="51">
        <f>INDEX(Matching_Engine!$AP$6:$AP$95,$W6,1)</f>
      </c>
      <c r="G6" s="50">
        <f>INDEX(Matching_Engine!$AQ$6:$AQ$95,$W6,1)</f>
      </c>
      <c r="H6" s="50">
        <f>INDEX(Matching_Engine!$AS$6:$AS$95,$W6,1)</f>
      </c>
      <c r="I6" s="50">
        <f>"Strongest on "&amp;INDEX(Lookup_Lists!$AC$6:$AC$11,MATCH(LARGE($X6:$AC6,1),$X6:$AC6,0),1)&amp;" at "&amp;ROUND(LARGE($X6:$AC6,1),0)&amp;"/100. "&amp;"Audience overlap "&amp;INDEX(Matching_Engine!$S$6:$S$95,$W6,1)&amp;"/100 against the "&amp;Brand_Profile!$G$16&amp;" / "&amp;Brand_Profile!$G$17&amp;" target; "&amp;KOL_Database!$E$6&amp;" content against a "&amp;Brand_Profile!$G$10&amp;" brief. "&amp;"Final Brand Match "&amp;INDEX(Matching_Engine!$AP$6:$AP$95,$W6,1)&amp;"/100 ("&amp;INDEX(Matching_Engine!$AQ$6:$AQ$95,$W6,1)&amp;")."</f>
      </c>
      <c r="J6" s="50">
        <f>IFERROR(INDEX(Lookup_Lists!$AC$6:$AC$11,MATCH(LARGE($X6:$AC6,1),$X6:$AC6,0),1)&amp;" — "&amp;ROUND(LARGE($X6:$AC6,1),0)&amp;"/100","")</f>
      </c>
      <c r="K6" s="50">
        <f>IFERROR(INDEX(Lookup_Lists!$AC$6:$AC$11,MATCH(LARGE($X6:$AC6,2),$X6:$AC6,0),1)&amp;" — "&amp;ROUND(LARGE($X6:$AC6,2),0)&amp;"/100","")</f>
      </c>
      <c r="L6" s="50">
        <f>IFERROR(INDEX(Lookup_Lists!$AC$6:$AC$11,MATCH(LARGE($X6:$AC6,3),$X6:$AC6,0),1)&amp;" — "&amp;ROUND(LARGE($X6:$AC6,3),0)&amp;"/100","")</f>
      </c>
      <c r="M6" s="50">
        <f>IFERROR(IF(SMALL($X6:$AC6,1)&gt;=Lookup_Lists!$D$161,"No material gap — "&amp;INDEX(Lookup_Lists!$AC$6:$AC$11,MATCH(SMALL($X6:$AC6,1),$X6:$AC6,0),1)&amp;" at "&amp;ROUND(SMALL($X6:$AC6,1),0)&amp;"/100",INDEX(Lookup_Lists!$AC$6:$AC$11,MATCH(SMALL($X6:$AC6,1),$X6:$AC6,0),1)&amp;" only "&amp;ROUND(SMALL($X6:$AC6,1),0)&amp;"/100"),"")</f>
      </c>
      <c r="N6" s="50">
        <f>IFERROR(IF(SMALL($X6:$AC6,2)&gt;=Lookup_Lists!$D$161,"No material gap — "&amp;INDEX(Lookup_Lists!$AC$6:$AC$11,MATCH(SMALL($X6:$AC6,2),$X6:$AC6,0),1)&amp;" at "&amp;ROUND(SMALL($X6:$AC6,2),0)&amp;"/100",INDEX(Lookup_Lists!$AC$6:$AC$11,MATCH(SMALL($X6:$AC6,2),$X6:$AC6,0),1)&amp;" only "&amp;ROUND(SMALL($X6:$AC6,2),0)&amp;"/100"),"")</f>
      </c>
      <c r="O6" s="50">
        <f>IFERROR(IF(SMALL($X6:$AC6,3)&gt;=Lookup_Lists!$D$161,"No material gap — "&amp;INDEX(Lookup_Lists!$AC$6:$AC$11,MATCH(SMALL($X6:$AC6,3),$X6:$AC6,0),1)&amp;" at "&amp;ROUND(SMALL($X6:$AC6,3),0)&amp;"/100",INDEX(Lookup_Lists!$AC$6:$AC$11,MATCH(SMALL($X6:$AC6,3),$X6:$AC6,0),1)&amp;" only "&amp;ROUND(SMALL($X6:$AC6,3),0)&amp;"/100"),"")</f>
      </c>
      <c r="P6" s="50">
        <f>IF(INDEX(Matching_Engine!$AM$6:$AM$95,$W6,1)="None","No risk flag — competitor saturation "&amp;INDEX(Matching_Engine!$AL$6:$AL$95,$W6,1)&amp;"/100",INDEX(Matching_Engine!$AM$6:$AM$95,$W6,1)&amp;" risk flag — competitor saturation "&amp;INDEX(Matching_Engine!$AL$6:$AL$95,$W6,1)&amp;"/100")</f>
      </c>
      <c r="Q6" s="50">
        <f>INDEX(Matching_Engine!$AX$6:$AX$95,$W6,1)</f>
      </c>
      <c r="R6" s="50">
        <f>"Industry "&amp;INDEX(Matching_Engine!$K$6:$K$95,$W6,1)&amp;"/100, category "&amp;INDEX(Matching_Engine!$L$6:$L$95,$W6,1)&amp;"/100, keywords "&amp;INDEX(Matching_Engine!$M$6:$M$95,$W6,1)&amp;"/100 — a "&amp;Brand_Profile!$G$10&amp;" brief against a "&amp;KOL_Database!$E$6&amp;" / "&amp;KOL_Database!$F$6&amp;" creator."</f>
      </c>
      <c r="S6" s="50">
        <f>"Age "&amp;INDEX(Matching_Engine!$O$6:$O$95,$W6,1)&amp;"/100, gender "&amp;INDEX(Matching_Engine!$P$6:$P$95,$W6,1)&amp;"/100, location "&amp;INDEX(Matching_Engine!$Q$6:$Q$95,$W6,1)&amp;"/100, interests "&amp;INDEX(Matching_Engine!$R$6:$R$95,$W6,1)&amp;"/100. Weighted with priority on "&amp;Brand_Profile!$G$23&amp;"."</f>
      </c>
      <c r="T6" s="50">
        <f>"Category "&amp;INDEX(Matching_Engine!$T$6:$T$95,$W6,1)&amp;"/100, sub category "&amp;INDEX(Matching_Engine!$U$6:$U$95,$W6,1)&amp;"/100, topics "&amp;INDEX(Matching_Engine!$V$6:$V$95,$W6,1)&amp;"/100, style "&amp;INDEX(Matching_Engine!$W$6:$W$95,$W6,1)&amp;"/100 — brief wants "&amp;Brand_Profile!$G$39&amp;", creator delivers "&amp;KOL_Database!$AJ$6&amp;"."</f>
      </c>
      <c r="U6" s="50">
        <f>"Personality "&amp;INDEX(Matching_Engine!$Y$6:$Y$95,$W6,1)&amp;"/100, tone vs style "&amp;INDEX(Matching_Engine!$Z$6:$Z$95,$W6,1)&amp;"/100, values "&amp;INDEX(Matching_Engine!$AA$6:$AA$95,$W6,1)&amp;"/100, communication "&amp;INDEX(Matching_Engine!$AB$6:$AB$95,$W6,1)&amp;"/100 — a "&amp;Brand_Profile!$G$25&amp;" / "&amp;Brand_Profile!$G$28&amp;" brand against a "&amp;KOL_Database!$AK$6&amp;" creator."</f>
      </c>
      <c r="V6" s="50">
        <f>IF(INDEX(Matching_Engine!$AM$6:$AM$95,$W6,1)="None","No risk flag. ",INDEX(Matching_Engine!$AM$6:$AM$95,$W6,1)&amp;" risk flag. ")&amp;"Brand Safety "&amp;INDEX(Matching_Engine!$AK$6:$AK$95,$W6,1)&amp;"/100, competitor saturation "&amp;INDEX(Matching_Engine!$AL$6:$AL$95,$W6,1)&amp;"/100"&amp;IF(INDEX(Matching_Engine!$AL$6:$AL$95,$W6,1)&gt;=70," — high, so treat it as a consideration rather than an automatic exclusion.",".")</f>
      </c>
      <c r="W6" s="50">
        <f>MATCH(Brand_Profile!$B$4&amp;"|"&amp;KOL_Database!$A$6,Matching_Engine!$AZ$6:$AZ$95,0)</f>
      </c>
      <c r="X6" s="52">
        <f>INDEX(Matching_Engine!$N$6:$N$95,$W6,1)+0.006</f>
      </c>
      <c r="Y6" s="52">
        <f>INDEX(Matching_Engine!$S$6:$S$95,$W6,1)+0.005</f>
      </c>
      <c r="Z6" s="52">
        <f>INDEX(Matching_Engine!$X$6:$X$95,$W6,1)+0.004</f>
      </c>
      <c r="AA6" s="52">
        <f>INDEX(Matching_Engine!$AC$6:$AC$95,$W6,1)+0.003</f>
      </c>
      <c r="AB6" s="52">
        <f>INDEX(Matching_Engine!$AJ$6:$AJ$95,$W6,1)+0.002</f>
      </c>
      <c r="AC6" s="52">
        <f>INDEX(Matching_Engine!$AO$6:$AO$95,$W6,1)+0.001</f>
      </c>
    </row>
    <row r="7" spans="1:29" x14ac:dyDescent="0.25">
      <c r="A7" s="50">
        <f>KOL_Database!$A$7</f>
      </c>
      <c r="B7" s="50">
        <f>KOL_Database!$B$7</f>
      </c>
      <c r="C7" s="50">
        <f>KOL_Database!$C$7</f>
      </c>
      <c r="D7" s="50">
        <f>KOL_Database!$D$7</f>
      </c>
      <c r="E7" s="50">
        <f>KOL_Database!$E$7</f>
      </c>
      <c r="F7" s="51">
        <f>INDEX(Matching_Engine!$AP$6:$AP$95,$W7,1)</f>
      </c>
      <c r="G7" s="50">
        <f>INDEX(Matching_Engine!$AQ$6:$AQ$95,$W7,1)</f>
      </c>
      <c r="H7" s="50">
        <f>INDEX(Matching_Engine!$AS$6:$AS$95,$W7,1)</f>
      </c>
      <c r="I7" s="50">
        <f>"Strongest on "&amp;INDEX(Lookup_Lists!$AC$6:$AC$11,MATCH(LARGE($X7:$AC7,1),$X7:$AC7,0),1)&amp;" at "&amp;ROUND(LARGE($X7:$AC7,1),0)&amp;"/100. "&amp;"Audience overlap "&amp;INDEX(Matching_Engine!$S$6:$S$95,$W7,1)&amp;"/100 against the "&amp;Brand_Profile!$G$16&amp;" / "&amp;Brand_Profile!$G$17&amp;" target; "&amp;KOL_Database!$E$7&amp;" content against a "&amp;Brand_Profile!$G$10&amp;" brief. "&amp;"Final Brand Match "&amp;INDEX(Matching_Engine!$AP$6:$AP$95,$W7,1)&amp;"/100 ("&amp;INDEX(Matching_Engine!$AQ$6:$AQ$95,$W7,1)&amp;")."</f>
      </c>
      <c r="J7" s="50">
        <f>IFERROR(INDEX(Lookup_Lists!$AC$6:$AC$11,MATCH(LARGE($X7:$AC7,1),$X7:$AC7,0),1)&amp;" — "&amp;ROUND(LARGE($X7:$AC7,1),0)&amp;"/100","")</f>
      </c>
      <c r="K7" s="50">
        <f>IFERROR(INDEX(Lookup_Lists!$AC$6:$AC$11,MATCH(LARGE($X7:$AC7,2),$X7:$AC7,0),1)&amp;" — "&amp;ROUND(LARGE($X7:$AC7,2),0)&amp;"/100","")</f>
      </c>
      <c r="L7" s="50">
        <f>IFERROR(INDEX(Lookup_Lists!$AC$6:$AC$11,MATCH(LARGE($X7:$AC7,3),$X7:$AC7,0),1)&amp;" — "&amp;ROUND(LARGE($X7:$AC7,3),0)&amp;"/100","")</f>
      </c>
      <c r="M7" s="50">
        <f>IFERROR(IF(SMALL($X7:$AC7,1)&gt;=Lookup_Lists!$D$161,"No material gap — "&amp;INDEX(Lookup_Lists!$AC$6:$AC$11,MATCH(SMALL($X7:$AC7,1),$X7:$AC7,0),1)&amp;" at "&amp;ROUND(SMALL($X7:$AC7,1),0)&amp;"/100",INDEX(Lookup_Lists!$AC$6:$AC$11,MATCH(SMALL($X7:$AC7,1),$X7:$AC7,0),1)&amp;" only "&amp;ROUND(SMALL($X7:$AC7,1),0)&amp;"/100"),"")</f>
      </c>
      <c r="N7" s="50">
        <f>IFERROR(IF(SMALL($X7:$AC7,2)&gt;=Lookup_Lists!$D$161,"No material gap — "&amp;INDEX(Lookup_Lists!$AC$6:$AC$11,MATCH(SMALL($X7:$AC7,2),$X7:$AC7,0),1)&amp;" at "&amp;ROUND(SMALL($X7:$AC7,2),0)&amp;"/100",INDEX(Lookup_Lists!$AC$6:$AC$11,MATCH(SMALL($X7:$AC7,2),$X7:$AC7,0),1)&amp;" only "&amp;ROUND(SMALL($X7:$AC7,2),0)&amp;"/100"),"")</f>
      </c>
      <c r="O7" s="50">
        <f>IFERROR(IF(SMALL($X7:$AC7,3)&gt;=Lookup_Lists!$D$161,"No material gap — "&amp;INDEX(Lookup_Lists!$AC$6:$AC$11,MATCH(SMALL($X7:$AC7,3),$X7:$AC7,0),1)&amp;" at "&amp;ROUND(SMALL($X7:$AC7,3),0)&amp;"/100",INDEX(Lookup_Lists!$AC$6:$AC$11,MATCH(SMALL($X7:$AC7,3),$X7:$AC7,0),1)&amp;" only "&amp;ROUND(SMALL($X7:$AC7,3),0)&amp;"/100"),"")</f>
      </c>
      <c r="P7" s="50">
        <f>IF(INDEX(Matching_Engine!$AM$6:$AM$95,$W7,1)="None","No risk flag — competitor saturation "&amp;INDEX(Matching_Engine!$AL$6:$AL$95,$W7,1)&amp;"/100",INDEX(Matching_Engine!$AM$6:$AM$95,$W7,1)&amp;" risk flag — competitor saturation "&amp;INDEX(Matching_Engine!$AL$6:$AL$95,$W7,1)&amp;"/100")</f>
      </c>
      <c r="Q7" s="50">
        <f>INDEX(Matching_Engine!$AX$6:$AX$95,$W7,1)</f>
      </c>
      <c r="R7" s="50">
        <f>"Industry "&amp;INDEX(Matching_Engine!$K$6:$K$95,$W7,1)&amp;"/100, category "&amp;INDEX(Matching_Engine!$L$6:$L$95,$W7,1)&amp;"/100, keywords "&amp;INDEX(Matching_Engine!$M$6:$M$95,$W7,1)&amp;"/100 — a "&amp;Brand_Profile!$G$10&amp;" brief against a "&amp;KOL_Database!$E$7&amp;" / "&amp;KOL_Database!$F$7&amp;" creator."</f>
      </c>
      <c r="S7" s="50">
        <f>"Age "&amp;INDEX(Matching_Engine!$O$6:$O$95,$W7,1)&amp;"/100, gender "&amp;INDEX(Matching_Engine!$P$6:$P$95,$W7,1)&amp;"/100, location "&amp;INDEX(Matching_Engine!$Q$6:$Q$95,$W7,1)&amp;"/100, interests "&amp;INDEX(Matching_Engine!$R$6:$R$95,$W7,1)&amp;"/100. Weighted with priority on "&amp;Brand_Profile!$G$23&amp;"."</f>
      </c>
      <c r="T7" s="50">
        <f>"Category "&amp;INDEX(Matching_Engine!$T$6:$T$95,$W7,1)&amp;"/100, sub category "&amp;INDEX(Matching_Engine!$U$6:$U$95,$W7,1)&amp;"/100, topics "&amp;INDEX(Matching_Engine!$V$6:$V$95,$W7,1)&amp;"/100, style "&amp;INDEX(Matching_Engine!$W$6:$W$95,$W7,1)&amp;"/100 — brief wants "&amp;Brand_Profile!$G$39&amp;", creator delivers "&amp;KOL_Database!$AJ$7&amp;"."</f>
      </c>
      <c r="U7" s="50">
        <f>"Personality "&amp;INDEX(Matching_Engine!$Y$6:$Y$95,$W7,1)&amp;"/100, tone vs style "&amp;INDEX(Matching_Engine!$Z$6:$Z$95,$W7,1)&amp;"/100, values "&amp;INDEX(Matching_Engine!$AA$6:$AA$95,$W7,1)&amp;"/100, communication "&amp;INDEX(Matching_Engine!$AB$6:$AB$95,$W7,1)&amp;"/100 — a "&amp;Brand_Profile!$G$25&amp;" / "&amp;Brand_Profile!$G$28&amp;" brand against a "&amp;KOL_Database!$AK$7&amp;" creator."</f>
      </c>
      <c r="V7" s="50">
        <f>IF(INDEX(Matching_Engine!$AM$6:$AM$95,$W7,1)="None","No risk flag. ",INDEX(Matching_Engine!$AM$6:$AM$95,$W7,1)&amp;" risk flag. ")&amp;"Brand Safety "&amp;INDEX(Matching_Engine!$AK$6:$AK$95,$W7,1)&amp;"/100, competitor saturation "&amp;INDEX(Matching_Engine!$AL$6:$AL$95,$W7,1)&amp;"/100"&amp;IF(INDEX(Matching_Engine!$AL$6:$AL$95,$W7,1)&gt;=70," — high, so treat it as a consideration rather than an automatic exclusion.",".")</f>
      </c>
      <c r="W7" s="50">
        <f>MATCH(Brand_Profile!$B$4&amp;"|"&amp;KOL_Database!$A$7,Matching_Engine!$AZ$6:$AZ$95,0)</f>
      </c>
      <c r="X7" s="52">
        <f>INDEX(Matching_Engine!$N$6:$N$95,$W7,1)+0.006</f>
      </c>
      <c r="Y7" s="52">
        <f>INDEX(Matching_Engine!$S$6:$S$95,$W7,1)+0.005</f>
      </c>
      <c r="Z7" s="52">
        <f>INDEX(Matching_Engine!$X$6:$X$95,$W7,1)+0.004</f>
      </c>
      <c r="AA7" s="52">
        <f>INDEX(Matching_Engine!$AC$6:$AC$95,$W7,1)+0.003</f>
      </c>
      <c r="AB7" s="52">
        <f>INDEX(Matching_Engine!$AJ$6:$AJ$95,$W7,1)+0.002</f>
      </c>
      <c r="AC7" s="52">
        <f>INDEX(Matching_Engine!$AO$6:$AO$95,$W7,1)+0.001</f>
      </c>
    </row>
    <row r="8" spans="1:29" x14ac:dyDescent="0.25">
      <c r="A8" s="50">
        <f>KOL_Database!$A$8</f>
      </c>
      <c r="B8" s="50">
        <f>KOL_Database!$B$8</f>
      </c>
      <c r="C8" s="50">
        <f>KOL_Database!$C$8</f>
      </c>
      <c r="D8" s="50">
        <f>KOL_Database!$D$8</f>
      </c>
      <c r="E8" s="50">
        <f>KOL_Database!$E$8</f>
      </c>
      <c r="F8" s="51">
        <f>INDEX(Matching_Engine!$AP$6:$AP$95,$W8,1)</f>
      </c>
      <c r="G8" s="50">
        <f>INDEX(Matching_Engine!$AQ$6:$AQ$95,$W8,1)</f>
      </c>
      <c r="H8" s="50">
        <f>INDEX(Matching_Engine!$AS$6:$AS$95,$W8,1)</f>
      </c>
      <c r="I8" s="50">
        <f>"Strongest on "&amp;INDEX(Lookup_Lists!$AC$6:$AC$11,MATCH(LARGE($X8:$AC8,1),$X8:$AC8,0),1)&amp;" at "&amp;ROUND(LARGE($X8:$AC8,1),0)&amp;"/100. "&amp;"Audience overlap "&amp;INDEX(Matching_Engine!$S$6:$S$95,$W8,1)&amp;"/100 against the "&amp;Brand_Profile!$G$16&amp;" / "&amp;Brand_Profile!$G$17&amp;" target; "&amp;KOL_Database!$E$8&amp;" content against a "&amp;Brand_Profile!$G$10&amp;" brief. "&amp;"Final Brand Match "&amp;INDEX(Matching_Engine!$AP$6:$AP$95,$W8,1)&amp;"/100 ("&amp;INDEX(Matching_Engine!$AQ$6:$AQ$95,$W8,1)&amp;")."</f>
      </c>
      <c r="J8" s="50">
        <f>IFERROR(INDEX(Lookup_Lists!$AC$6:$AC$11,MATCH(LARGE($X8:$AC8,1),$X8:$AC8,0),1)&amp;" — "&amp;ROUND(LARGE($X8:$AC8,1),0)&amp;"/100","")</f>
      </c>
      <c r="K8" s="50">
        <f>IFERROR(INDEX(Lookup_Lists!$AC$6:$AC$11,MATCH(LARGE($X8:$AC8,2),$X8:$AC8,0),1)&amp;" — "&amp;ROUND(LARGE($X8:$AC8,2),0)&amp;"/100","")</f>
      </c>
      <c r="L8" s="50">
        <f>IFERROR(INDEX(Lookup_Lists!$AC$6:$AC$11,MATCH(LARGE($X8:$AC8,3),$X8:$AC8,0),1)&amp;" — "&amp;ROUND(LARGE($X8:$AC8,3),0)&amp;"/100","")</f>
      </c>
      <c r="M8" s="50">
        <f>IFERROR(IF(SMALL($X8:$AC8,1)&gt;=Lookup_Lists!$D$161,"No material gap — "&amp;INDEX(Lookup_Lists!$AC$6:$AC$11,MATCH(SMALL($X8:$AC8,1),$X8:$AC8,0),1)&amp;" at "&amp;ROUND(SMALL($X8:$AC8,1),0)&amp;"/100",INDEX(Lookup_Lists!$AC$6:$AC$11,MATCH(SMALL($X8:$AC8,1),$X8:$AC8,0),1)&amp;" only "&amp;ROUND(SMALL($X8:$AC8,1),0)&amp;"/100"),"")</f>
      </c>
      <c r="N8" s="50">
        <f>IFERROR(IF(SMALL($X8:$AC8,2)&gt;=Lookup_Lists!$D$161,"No material gap — "&amp;INDEX(Lookup_Lists!$AC$6:$AC$11,MATCH(SMALL($X8:$AC8,2),$X8:$AC8,0),1)&amp;" at "&amp;ROUND(SMALL($X8:$AC8,2),0)&amp;"/100",INDEX(Lookup_Lists!$AC$6:$AC$11,MATCH(SMALL($X8:$AC8,2),$X8:$AC8,0),1)&amp;" only "&amp;ROUND(SMALL($X8:$AC8,2),0)&amp;"/100"),"")</f>
      </c>
      <c r="O8" s="50">
        <f>IFERROR(IF(SMALL($X8:$AC8,3)&gt;=Lookup_Lists!$D$161,"No material gap — "&amp;INDEX(Lookup_Lists!$AC$6:$AC$11,MATCH(SMALL($X8:$AC8,3),$X8:$AC8,0),1)&amp;" at "&amp;ROUND(SMALL($X8:$AC8,3),0)&amp;"/100",INDEX(Lookup_Lists!$AC$6:$AC$11,MATCH(SMALL($X8:$AC8,3),$X8:$AC8,0),1)&amp;" only "&amp;ROUND(SMALL($X8:$AC8,3),0)&amp;"/100"),"")</f>
      </c>
      <c r="P8" s="50">
        <f>IF(INDEX(Matching_Engine!$AM$6:$AM$95,$W8,1)="None","No risk flag — competitor saturation "&amp;INDEX(Matching_Engine!$AL$6:$AL$95,$W8,1)&amp;"/100",INDEX(Matching_Engine!$AM$6:$AM$95,$W8,1)&amp;" risk flag — competitor saturation "&amp;INDEX(Matching_Engine!$AL$6:$AL$95,$W8,1)&amp;"/100")</f>
      </c>
      <c r="Q8" s="50">
        <f>INDEX(Matching_Engine!$AX$6:$AX$95,$W8,1)</f>
      </c>
      <c r="R8" s="50">
        <f>"Industry "&amp;INDEX(Matching_Engine!$K$6:$K$95,$W8,1)&amp;"/100, category "&amp;INDEX(Matching_Engine!$L$6:$L$95,$W8,1)&amp;"/100, keywords "&amp;INDEX(Matching_Engine!$M$6:$M$95,$W8,1)&amp;"/100 — a "&amp;Brand_Profile!$G$10&amp;" brief against a "&amp;KOL_Database!$E$8&amp;" / "&amp;KOL_Database!$F$8&amp;" creator."</f>
      </c>
      <c r="S8" s="50">
        <f>"Age "&amp;INDEX(Matching_Engine!$O$6:$O$95,$W8,1)&amp;"/100, gender "&amp;INDEX(Matching_Engine!$P$6:$P$95,$W8,1)&amp;"/100, location "&amp;INDEX(Matching_Engine!$Q$6:$Q$95,$W8,1)&amp;"/100, interests "&amp;INDEX(Matching_Engine!$R$6:$R$95,$W8,1)&amp;"/100. Weighted with priority on "&amp;Brand_Profile!$G$23&amp;"."</f>
      </c>
      <c r="T8" s="50">
        <f>"Category "&amp;INDEX(Matching_Engine!$T$6:$T$95,$W8,1)&amp;"/100, sub category "&amp;INDEX(Matching_Engine!$U$6:$U$95,$W8,1)&amp;"/100, topics "&amp;INDEX(Matching_Engine!$V$6:$V$95,$W8,1)&amp;"/100, style "&amp;INDEX(Matching_Engine!$W$6:$W$95,$W8,1)&amp;"/100 — brief wants "&amp;Brand_Profile!$G$39&amp;", creator delivers "&amp;KOL_Database!$AJ$8&amp;"."</f>
      </c>
      <c r="U8" s="50">
        <f>"Personality "&amp;INDEX(Matching_Engine!$Y$6:$Y$95,$W8,1)&amp;"/100, tone vs style "&amp;INDEX(Matching_Engine!$Z$6:$Z$95,$W8,1)&amp;"/100, values "&amp;INDEX(Matching_Engine!$AA$6:$AA$95,$W8,1)&amp;"/100, communication "&amp;INDEX(Matching_Engine!$AB$6:$AB$95,$W8,1)&amp;"/100 — a "&amp;Brand_Profile!$G$25&amp;" / "&amp;Brand_Profile!$G$28&amp;" brand against a "&amp;KOL_Database!$AK$8&amp;" creator."</f>
      </c>
      <c r="V8" s="50">
        <f>IF(INDEX(Matching_Engine!$AM$6:$AM$95,$W8,1)="None","No risk flag. ",INDEX(Matching_Engine!$AM$6:$AM$95,$W8,1)&amp;" risk flag. ")&amp;"Brand Safety "&amp;INDEX(Matching_Engine!$AK$6:$AK$95,$W8,1)&amp;"/100, competitor saturation "&amp;INDEX(Matching_Engine!$AL$6:$AL$95,$W8,1)&amp;"/100"&amp;IF(INDEX(Matching_Engine!$AL$6:$AL$95,$W8,1)&gt;=70," — high, so treat it as a consideration rather than an automatic exclusion.",".")</f>
      </c>
      <c r="W8" s="50">
        <f>MATCH(Brand_Profile!$B$4&amp;"|"&amp;KOL_Database!$A$8,Matching_Engine!$AZ$6:$AZ$95,0)</f>
      </c>
      <c r="X8" s="52">
        <f>INDEX(Matching_Engine!$N$6:$N$95,$W8,1)+0.006</f>
      </c>
      <c r="Y8" s="52">
        <f>INDEX(Matching_Engine!$S$6:$S$95,$W8,1)+0.005</f>
      </c>
      <c r="Z8" s="52">
        <f>INDEX(Matching_Engine!$X$6:$X$95,$W8,1)+0.004</f>
      </c>
      <c r="AA8" s="52">
        <f>INDEX(Matching_Engine!$AC$6:$AC$95,$W8,1)+0.003</f>
      </c>
      <c r="AB8" s="52">
        <f>INDEX(Matching_Engine!$AJ$6:$AJ$95,$W8,1)+0.002</f>
      </c>
      <c r="AC8" s="52">
        <f>INDEX(Matching_Engine!$AO$6:$AO$95,$W8,1)+0.001</f>
      </c>
    </row>
    <row r="9" spans="1:29" x14ac:dyDescent="0.25">
      <c r="A9" s="50">
        <f>KOL_Database!$A$9</f>
      </c>
      <c r="B9" s="50">
        <f>KOL_Database!$B$9</f>
      </c>
      <c r="C9" s="50">
        <f>KOL_Database!$C$9</f>
      </c>
      <c r="D9" s="50">
        <f>KOL_Database!$D$9</f>
      </c>
      <c r="E9" s="50">
        <f>KOL_Database!$E$9</f>
      </c>
      <c r="F9" s="51">
        <f>INDEX(Matching_Engine!$AP$6:$AP$95,$W9,1)</f>
      </c>
      <c r="G9" s="50">
        <f>INDEX(Matching_Engine!$AQ$6:$AQ$95,$W9,1)</f>
      </c>
      <c r="H9" s="50">
        <f>INDEX(Matching_Engine!$AS$6:$AS$95,$W9,1)</f>
      </c>
      <c r="I9" s="50">
        <f>"Strongest on "&amp;INDEX(Lookup_Lists!$AC$6:$AC$11,MATCH(LARGE($X9:$AC9,1),$X9:$AC9,0),1)&amp;" at "&amp;ROUND(LARGE($X9:$AC9,1),0)&amp;"/100. "&amp;"Audience overlap "&amp;INDEX(Matching_Engine!$S$6:$S$95,$W9,1)&amp;"/100 against the "&amp;Brand_Profile!$G$16&amp;" / "&amp;Brand_Profile!$G$17&amp;" target; "&amp;KOL_Database!$E$9&amp;" content against a "&amp;Brand_Profile!$G$10&amp;" brief. "&amp;"Final Brand Match "&amp;INDEX(Matching_Engine!$AP$6:$AP$95,$W9,1)&amp;"/100 ("&amp;INDEX(Matching_Engine!$AQ$6:$AQ$95,$W9,1)&amp;")."</f>
      </c>
      <c r="J9" s="50">
        <f>IFERROR(INDEX(Lookup_Lists!$AC$6:$AC$11,MATCH(LARGE($X9:$AC9,1),$X9:$AC9,0),1)&amp;" — "&amp;ROUND(LARGE($X9:$AC9,1),0)&amp;"/100","")</f>
      </c>
      <c r="K9" s="50">
        <f>IFERROR(INDEX(Lookup_Lists!$AC$6:$AC$11,MATCH(LARGE($X9:$AC9,2),$X9:$AC9,0),1)&amp;" — "&amp;ROUND(LARGE($X9:$AC9,2),0)&amp;"/100","")</f>
      </c>
      <c r="L9" s="50">
        <f>IFERROR(INDEX(Lookup_Lists!$AC$6:$AC$11,MATCH(LARGE($X9:$AC9,3),$X9:$AC9,0),1)&amp;" — "&amp;ROUND(LARGE($X9:$AC9,3),0)&amp;"/100","")</f>
      </c>
      <c r="M9" s="50">
        <f>IFERROR(IF(SMALL($X9:$AC9,1)&gt;=Lookup_Lists!$D$161,"No material gap — "&amp;INDEX(Lookup_Lists!$AC$6:$AC$11,MATCH(SMALL($X9:$AC9,1),$X9:$AC9,0),1)&amp;" at "&amp;ROUND(SMALL($X9:$AC9,1),0)&amp;"/100",INDEX(Lookup_Lists!$AC$6:$AC$11,MATCH(SMALL($X9:$AC9,1),$X9:$AC9,0),1)&amp;" only "&amp;ROUND(SMALL($X9:$AC9,1),0)&amp;"/100"),"")</f>
      </c>
      <c r="N9" s="50">
        <f>IFERROR(IF(SMALL($X9:$AC9,2)&gt;=Lookup_Lists!$D$161,"No material gap — "&amp;INDEX(Lookup_Lists!$AC$6:$AC$11,MATCH(SMALL($X9:$AC9,2),$X9:$AC9,0),1)&amp;" at "&amp;ROUND(SMALL($X9:$AC9,2),0)&amp;"/100",INDEX(Lookup_Lists!$AC$6:$AC$11,MATCH(SMALL($X9:$AC9,2),$X9:$AC9,0),1)&amp;" only "&amp;ROUND(SMALL($X9:$AC9,2),0)&amp;"/100"),"")</f>
      </c>
      <c r="O9" s="50">
        <f>IFERROR(IF(SMALL($X9:$AC9,3)&gt;=Lookup_Lists!$D$161,"No material gap — "&amp;INDEX(Lookup_Lists!$AC$6:$AC$11,MATCH(SMALL($X9:$AC9,3),$X9:$AC9,0),1)&amp;" at "&amp;ROUND(SMALL($X9:$AC9,3),0)&amp;"/100",INDEX(Lookup_Lists!$AC$6:$AC$11,MATCH(SMALL($X9:$AC9,3),$X9:$AC9,0),1)&amp;" only "&amp;ROUND(SMALL($X9:$AC9,3),0)&amp;"/100"),"")</f>
      </c>
      <c r="P9" s="50">
        <f>IF(INDEX(Matching_Engine!$AM$6:$AM$95,$W9,1)="None","No risk flag — competitor saturation "&amp;INDEX(Matching_Engine!$AL$6:$AL$95,$W9,1)&amp;"/100",INDEX(Matching_Engine!$AM$6:$AM$95,$W9,1)&amp;" risk flag — competitor saturation "&amp;INDEX(Matching_Engine!$AL$6:$AL$95,$W9,1)&amp;"/100")</f>
      </c>
      <c r="Q9" s="50">
        <f>INDEX(Matching_Engine!$AX$6:$AX$95,$W9,1)</f>
      </c>
      <c r="R9" s="50">
        <f>"Industry "&amp;INDEX(Matching_Engine!$K$6:$K$95,$W9,1)&amp;"/100, category "&amp;INDEX(Matching_Engine!$L$6:$L$95,$W9,1)&amp;"/100, keywords "&amp;INDEX(Matching_Engine!$M$6:$M$95,$W9,1)&amp;"/100 — a "&amp;Brand_Profile!$G$10&amp;" brief against a "&amp;KOL_Database!$E$9&amp;" / "&amp;KOL_Database!$F$9&amp;" creator."</f>
      </c>
      <c r="S9" s="50">
        <f>"Age "&amp;INDEX(Matching_Engine!$O$6:$O$95,$W9,1)&amp;"/100, gender "&amp;INDEX(Matching_Engine!$P$6:$P$95,$W9,1)&amp;"/100, location "&amp;INDEX(Matching_Engine!$Q$6:$Q$95,$W9,1)&amp;"/100, interests "&amp;INDEX(Matching_Engine!$R$6:$R$95,$W9,1)&amp;"/100. Weighted with priority on "&amp;Brand_Profile!$G$23&amp;"."</f>
      </c>
      <c r="T9" s="50">
        <f>"Category "&amp;INDEX(Matching_Engine!$T$6:$T$95,$W9,1)&amp;"/100, sub category "&amp;INDEX(Matching_Engine!$U$6:$U$95,$W9,1)&amp;"/100, topics "&amp;INDEX(Matching_Engine!$V$6:$V$95,$W9,1)&amp;"/100, style "&amp;INDEX(Matching_Engine!$W$6:$W$95,$W9,1)&amp;"/100 — brief wants "&amp;Brand_Profile!$G$39&amp;", creator delivers "&amp;KOL_Database!$AJ$9&amp;"."</f>
      </c>
      <c r="U9" s="50">
        <f>"Personality "&amp;INDEX(Matching_Engine!$Y$6:$Y$95,$W9,1)&amp;"/100, tone vs style "&amp;INDEX(Matching_Engine!$Z$6:$Z$95,$W9,1)&amp;"/100, values "&amp;INDEX(Matching_Engine!$AA$6:$AA$95,$W9,1)&amp;"/100, communication "&amp;INDEX(Matching_Engine!$AB$6:$AB$95,$W9,1)&amp;"/100 — a "&amp;Brand_Profile!$G$25&amp;" / "&amp;Brand_Profile!$G$28&amp;" brand against a "&amp;KOL_Database!$AK$9&amp;" creator."</f>
      </c>
      <c r="V9" s="50">
        <f>IF(INDEX(Matching_Engine!$AM$6:$AM$95,$W9,1)="None","No risk flag. ",INDEX(Matching_Engine!$AM$6:$AM$95,$W9,1)&amp;" risk flag. ")&amp;"Brand Safety "&amp;INDEX(Matching_Engine!$AK$6:$AK$95,$W9,1)&amp;"/100, competitor saturation "&amp;INDEX(Matching_Engine!$AL$6:$AL$95,$W9,1)&amp;"/100"&amp;IF(INDEX(Matching_Engine!$AL$6:$AL$95,$W9,1)&gt;=70," — high, so treat it as a consideration rather than an automatic exclusion.",".")</f>
      </c>
      <c r="W9" s="50">
        <f>MATCH(Brand_Profile!$B$4&amp;"|"&amp;KOL_Database!$A$9,Matching_Engine!$AZ$6:$AZ$95,0)</f>
      </c>
      <c r="X9" s="52">
        <f>INDEX(Matching_Engine!$N$6:$N$95,$W9,1)+0.006</f>
      </c>
      <c r="Y9" s="52">
        <f>INDEX(Matching_Engine!$S$6:$S$95,$W9,1)+0.005</f>
      </c>
      <c r="Z9" s="52">
        <f>INDEX(Matching_Engine!$X$6:$X$95,$W9,1)+0.004</f>
      </c>
      <c r="AA9" s="52">
        <f>INDEX(Matching_Engine!$AC$6:$AC$95,$W9,1)+0.003</f>
      </c>
      <c r="AB9" s="52">
        <f>INDEX(Matching_Engine!$AJ$6:$AJ$95,$W9,1)+0.002</f>
      </c>
      <c r="AC9" s="52">
        <f>INDEX(Matching_Engine!$AO$6:$AO$95,$W9,1)+0.001</f>
      </c>
    </row>
    <row r="10" spans="1:29" x14ac:dyDescent="0.25">
      <c r="A10" s="50">
        <f>KOL_Database!$A$10</f>
      </c>
      <c r="B10" s="50">
        <f>KOL_Database!$B$10</f>
      </c>
      <c r="C10" s="50">
        <f>KOL_Database!$C$10</f>
      </c>
      <c r="D10" s="50">
        <f>KOL_Database!$D$10</f>
      </c>
      <c r="E10" s="50">
        <f>KOL_Database!$E$10</f>
      </c>
      <c r="F10" s="51">
        <f>INDEX(Matching_Engine!$AP$6:$AP$95,$W10,1)</f>
      </c>
      <c r="G10" s="50">
        <f>INDEX(Matching_Engine!$AQ$6:$AQ$95,$W10,1)</f>
      </c>
      <c r="H10" s="50">
        <f>INDEX(Matching_Engine!$AS$6:$AS$95,$W10,1)</f>
      </c>
      <c r="I10" s="50">
        <f>"Strongest on "&amp;INDEX(Lookup_Lists!$AC$6:$AC$11,MATCH(LARGE($X10:$AC10,1),$X10:$AC10,0),1)&amp;" at "&amp;ROUND(LARGE($X10:$AC10,1),0)&amp;"/100. "&amp;"Audience overlap "&amp;INDEX(Matching_Engine!$S$6:$S$95,$W10,1)&amp;"/100 against the "&amp;Brand_Profile!$G$16&amp;" / "&amp;Brand_Profile!$G$17&amp;" target; "&amp;KOL_Database!$E$10&amp;" content against a "&amp;Brand_Profile!$G$10&amp;" brief. "&amp;"Final Brand Match "&amp;INDEX(Matching_Engine!$AP$6:$AP$95,$W10,1)&amp;"/100 ("&amp;INDEX(Matching_Engine!$AQ$6:$AQ$95,$W10,1)&amp;")."</f>
      </c>
      <c r="J10" s="50">
        <f>IFERROR(INDEX(Lookup_Lists!$AC$6:$AC$11,MATCH(LARGE($X10:$AC10,1),$X10:$AC10,0),1)&amp;" — "&amp;ROUND(LARGE($X10:$AC10,1),0)&amp;"/100","")</f>
      </c>
      <c r="K10" s="50">
        <f>IFERROR(INDEX(Lookup_Lists!$AC$6:$AC$11,MATCH(LARGE($X10:$AC10,2),$X10:$AC10,0),1)&amp;" — "&amp;ROUND(LARGE($X10:$AC10,2),0)&amp;"/100","")</f>
      </c>
      <c r="L10" s="50">
        <f>IFERROR(INDEX(Lookup_Lists!$AC$6:$AC$11,MATCH(LARGE($X10:$AC10,3),$X10:$AC10,0),1)&amp;" — "&amp;ROUND(LARGE($X10:$AC10,3),0)&amp;"/100","")</f>
      </c>
      <c r="M10" s="50">
        <f>IFERROR(IF(SMALL($X10:$AC10,1)&gt;=Lookup_Lists!$D$161,"No material gap — "&amp;INDEX(Lookup_Lists!$AC$6:$AC$11,MATCH(SMALL($X10:$AC10,1),$X10:$AC10,0),1)&amp;" at "&amp;ROUND(SMALL($X10:$AC10,1),0)&amp;"/100",INDEX(Lookup_Lists!$AC$6:$AC$11,MATCH(SMALL($X10:$AC10,1),$X10:$AC10,0),1)&amp;" only "&amp;ROUND(SMALL($X10:$AC10,1),0)&amp;"/100"),"")</f>
      </c>
      <c r="N10" s="50">
        <f>IFERROR(IF(SMALL($X10:$AC10,2)&gt;=Lookup_Lists!$D$161,"No material gap — "&amp;INDEX(Lookup_Lists!$AC$6:$AC$11,MATCH(SMALL($X10:$AC10,2),$X10:$AC10,0),1)&amp;" at "&amp;ROUND(SMALL($X10:$AC10,2),0)&amp;"/100",INDEX(Lookup_Lists!$AC$6:$AC$11,MATCH(SMALL($X10:$AC10,2),$X10:$AC10,0),1)&amp;" only "&amp;ROUND(SMALL($X10:$AC10,2),0)&amp;"/100"),"")</f>
      </c>
      <c r="O10" s="50">
        <f>IFERROR(IF(SMALL($X10:$AC10,3)&gt;=Lookup_Lists!$D$161,"No material gap — "&amp;INDEX(Lookup_Lists!$AC$6:$AC$11,MATCH(SMALL($X10:$AC10,3),$X10:$AC10,0),1)&amp;" at "&amp;ROUND(SMALL($X10:$AC10,3),0)&amp;"/100",INDEX(Lookup_Lists!$AC$6:$AC$11,MATCH(SMALL($X10:$AC10,3),$X10:$AC10,0),1)&amp;" only "&amp;ROUND(SMALL($X10:$AC10,3),0)&amp;"/100"),"")</f>
      </c>
      <c r="P10" s="50">
        <f>IF(INDEX(Matching_Engine!$AM$6:$AM$95,$W10,1)="None","No risk flag — competitor saturation "&amp;INDEX(Matching_Engine!$AL$6:$AL$95,$W10,1)&amp;"/100",INDEX(Matching_Engine!$AM$6:$AM$95,$W10,1)&amp;" risk flag — competitor saturation "&amp;INDEX(Matching_Engine!$AL$6:$AL$95,$W10,1)&amp;"/100")</f>
      </c>
      <c r="Q10" s="50">
        <f>INDEX(Matching_Engine!$AX$6:$AX$95,$W10,1)</f>
      </c>
      <c r="R10" s="50">
        <f>"Industry "&amp;INDEX(Matching_Engine!$K$6:$K$95,$W10,1)&amp;"/100, category "&amp;INDEX(Matching_Engine!$L$6:$L$95,$W10,1)&amp;"/100, keywords "&amp;INDEX(Matching_Engine!$M$6:$M$95,$W10,1)&amp;"/100 — a "&amp;Brand_Profile!$G$10&amp;" brief against a "&amp;KOL_Database!$E$10&amp;" / "&amp;KOL_Database!$F$10&amp;" creator."</f>
      </c>
      <c r="S10" s="50">
        <f>"Age "&amp;INDEX(Matching_Engine!$O$6:$O$95,$W10,1)&amp;"/100, gender "&amp;INDEX(Matching_Engine!$P$6:$P$95,$W10,1)&amp;"/100, location "&amp;INDEX(Matching_Engine!$Q$6:$Q$95,$W10,1)&amp;"/100, interests "&amp;INDEX(Matching_Engine!$R$6:$R$95,$W10,1)&amp;"/100. Weighted with priority on "&amp;Brand_Profile!$G$23&amp;"."</f>
      </c>
      <c r="T10" s="50">
        <f>"Category "&amp;INDEX(Matching_Engine!$T$6:$T$95,$W10,1)&amp;"/100, sub category "&amp;INDEX(Matching_Engine!$U$6:$U$95,$W10,1)&amp;"/100, topics "&amp;INDEX(Matching_Engine!$V$6:$V$95,$W10,1)&amp;"/100, style "&amp;INDEX(Matching_Engine!$W$6:$W$95,$W10,1)&amp;"/100 — brief wants "&amp;Brand_Profile!$G$39&amp;", creator delivers "&amp;KOL_Database!$AJ$10&amp;"."</f>
      </c>
      <c r="U10" s="50">
        <f>"Personality "&amp;INDEX(Matching_Engine!$Y$6:$Y$95,$W10,1)&amp;"/100, tone vs style "&amp;INDEX(Matching_Engine!$Z$6:$Z$95,$W10,1)&amp;"/100, values "&amp;INDEX(Matching_Engine!$AA$6:$AA$95,$W10,1)&amp;"/100, communication "&amp;INDEX(Matching_Engine!$AB$6:$AB$95,$W10,1)&amp;"/100 — a "&amp;Brand_Profile!$G$25&amp;" / "&amp;Brand_Profile!$G$28&amp;" brand against a "&amp;KOL_Database!$AK$10&amp;" creator."</f>
      </c>
      <c r="V10" s="50">
        <f>IF(INDEX(Matching_Engine!$AM$6:$AM$95,$W10,1)="None","No risk flag. ",INDEX(Matching_Engine!$AM$6:$AM$95,$W10,1)&amp;" risk flag. ")&amp;"Brand Safety "&amp;INDEX(Matching_Engine!$AK$6:$AK$95,$W10,1)&amp;"/100, competitor saturation "&amp;INDEX(Matching_Engine!$AL$6:$AL$95,$W10,1)&amp;"/100"&amp;IF(INDEX(Matching_Engine!$AL$6:$AL$95,$W10,1)&gt;=70," — high, so treat it as a consideration rather than an automatic exclusion.",".")</f>
      </c>
      <c r="W10" s="50">
        <f>MATCH(Brand_Profile!$B$4&amp;"|"&amp;KOL_Database!$A$10,Matching_Engine!$AZ$6:$AZ$95,0)</f>
      </c>
      <c r="X10" s="52">
        <f>INDEX(Matching_Engine!$N$6:$N$95,$W10,1)+0.006</f>
      </c>
      <c r="Y10" s="52">
        <f>INDEX(Matching_Engine!$S$6:$S$95,$W10,1)+0.005</f>
      </c>
      <c r="Z10" s="52">
        <f>INDEX(Matching_Engine!$X$6:$X$95,$W10,1)+0.004</f>
      </c>
      <c r="AA10" s="52">
        <f>INDEX(Matching_Engine!$AC$6:$AC$95,$W10,1)+0.003</f>
      </c>
      <c r="AB10" s="52">
        <f>INDEX(Matching_Engine!$AJ$6:$AJ$95,$W10,1)+0.002</f>
      </c>
      <c r="AC10" s="52">
        <f>INDEX(Matching_Engine!$AO$6:$AO$95,$W10,1)+0.001</f>
      </c>
    </row>
    <row r="11" spans="1:29" x14ac:dyDescent="0.25">
      <c r="A11" s="50">
        <f>KOL_Database!$A$11</f>
      </c>
      <c r="B11" s="50">
        <f>KOL_Database!$B$11</f>
      </c>
      <c r="C11" s="50">
        <f>KOL_Database!$C$11</f>
      </c>
      <c r="D11" s="50">
        <f>KOL_Database!$D$11</f>
      </c>
      <c r="E11" s="50">
        <f>KOL_Database!$E$11</f>
      </c>
      <c r="F11" s="51">
        <f>INDEX(Matching_Engine!$AP$6:$AP$95,$W11,1)</f>
      </c>
      <c r="G11" s="50">
        <f>INDEX(Matching_Engine!$AQ$6:$AQ$95,$W11,1)</f>
      </c>
      <c r="H11" s="50">
        <f>INDEX(Matching_Engine!$AS$6:$AS$95,$W11,1)</f>
      </c>
      <c r="I11" s="50">
        <f>"Strongest on "&amp;INDEX(Lookup_Lists!$AC$6:$AC$11,MATCH(LARGE($X11:$AC11,1),$X11:$AC11,0),1)&amp;" at "&amp;ROUND(LARGE($X11:$AC11,1),0)&amp;"/100. "&amp;"Audience overlap "&amp;INDEX(Matching_Engine!$S$6:$S$95,$W11,1)&amp;"/100 against the "&amp;Brand_Profile!$G$16&amp;" / "&amp;Brand_Profile!$G$17&amp;" target; "&amp;KOL_Database!$E$11&amp;" content against a "&amp;Brand_Profile!$G$10&amp;" brief. "&amp;"Final Brand Match "&amp;INDEX(Matching_Engine!$AP$6:$AP$95,$W11,1)&amp;"/100 ("&amp;INDEX(Matching_Engine!$AQ$6:$AQ$95,$W11,1)&amp;")."</f>
      </c>
      <c r="J11" s="50">
        <f>IFERROR(INDEX(Lookup_Lists!$AC$6:$AC$11,MATCH(LARGE($X11:$AC11,1),$X11:$AC11,0),1)&amp;" — "&amp;ROUND(LARGE($X11:$AC11,1),0)&amp;"/100","")</f>
      </c>
      <c r="K11" s="50">
        <f>IFERROR(INDEX(Lookup_Lists!$AC$6:$AC$11,MATCH(LARGE($X11:$AC11,2),$X11:$AC11,0),1)&amp;" — "&amp;ROUND(LARGE($X11:$AC11,2),0)&amp;"/100","")</f>
      </c>
      <c r="L11" s="50">
        <f>IFERROR(INDEX(Lookup_Lists!$AC$6:$AC$11,MATCH(LARGE($X11:$AC11,3),$X11:$AC11,0),1)&amp;" — "&amp;ROUND(LARGE($X11:$AC11,3),0)&amp;"/100","")</f>
      </c>
      <c r="M11" s="50">
        <f>IFERROR(IF(SMALL($X11:$AC11,1)&gt;=Lookup_Lists!$D$161,"No material gap — "&amp;INDEX(Lookup_Lists!$AC$6:$AC$11,MATCH(SMALL($X11:$AC11,1),$X11:$AC11,0),1)&amp;" at "&amp;ROUND(SMALL($X11:$AC11,1),0)&amp;"/100",INDEX(Lookup_Lists!$AC$6:$AC$11,MATCH(SMALL($X11:$AC11,1),$X11:$AC11,0),1)&amp;" only "&amp;ROUND(SMALL($X11:$AC11,1),0)&amp;"/100"),"")</f>
      </c>
      <c r="N11" s="50">
        <f>IFERROR(IF(SMALL($X11:$AC11,2)&gt;=Lookup_Lists!$D$161,"No material gap — "&amp;INDEX(Lookup_Lists!$AC$6:$AC$11,MATCH(SMALL($X11:$AC11,2),$X11:$AC11,0),1)&amp;" at "&amp;ROUND(SMALL($X11:$AC11,2),0)&amp;"/100",INDEX(Lookup_Lists!$AC$6:$AC$11,MATCH(SMALL($X11:$AC11,2),$X11:$AC11,0),1)&amp;" only "&amp;ROUND(SMALL($X11:$AC11,2),0)&amp;"/100"),"")</f>
      </c>
      <c r="O11" s="50">
        <f>IFERROR(IF(SMALL($X11:$AC11,3)&gt;=Lookup_Lists!$D$161,"No material gap — "&amp;INDEX(Lookup_Lists!$AC$6:$AC$11,MATCH(SMALL($X11:$AC11,3),$X11:$AC11,0),1)&amp;" at "&amp;ROUND(SMALL($X11:$AC11,3),0)&amp;"/100",INDEX(Lookup_Lists!$AC$6:$AC$11,MATCH(SMALL($X11:$AC11,3),$X11:$AC11,0),1)&amp;" only "&amp;ROUND(SMALL($X11:$AC11,3),0)&amp;"/100"),"")</f>
      </c>
      <c r="P11" s="50">
        <f>IF(INDEX(Matching_Engine!$AM$6:$AM$95,$W11,1)="None","No risk flag — competitor saturation "&amp;INDEX(Matching_Engine!$AL$6:$AL$95,$W11,1)&amp;"/100",INDEX(Matching_Engine!$AM$6:$AM$95,$W11,1)&amp;" risk flag — competitor saturation "&amp;INDEX(Matching_Engine!$AL$6:$AL$95,$W11,1)&amp;"/100")</f>
      </c>
      <c r="Q11" s="50">
        <f>INDEX(Matching_Engine!$AX$6:$AX$95,$W11,1)</f>
      </c>
      <c r="R11" s="50">
        <f>"Industry "&amp;INDEX(Matching_Engine!$K$6:$K$95,$W11,1)&amp;"/100, category "&amp;INDEX(Matching_Engine!$L$6:$L$95,$W11,1)&amp;"/100, keywords "&amp;INDEX(Matching_Engine!$M$6:$M$95,$W11,1)&amp;"/100 — a "&amp;Brand_Profile!$G$10&amp;" brief against a "&amp;KOL_Database!$E$11&amp;" / "&amp;KOL_Database!$F$11&amp;" creator."</f>
      </c>
      <c r="S11" s="50">
        <f>"Age "&amp;INDEX(Matching_Engine!$O$6:$O$95,$W11,1)&amp;"/100, gender "&amp;INDEX(Matching_Engine!$P$6:$P$95,$W11,1)&amp;"/100, location "&amp;INDEX(Matching_Engine!$Q$6:$Q$95,$W11,1)&amp;"/100, interests "&amp;INDEX(Matching_Engine!$R$6:$R$95,$W11,1)&amp;"/100. Weighted with priority on "&amp;Brand_Profile!$G$23&amp;"."</f>
      </c>
      <c r="T11" s="50">
        <f>"Category "&amp;INDEX(Matching_Engine!$T$6:$T$95,$W11,1)&amp;"/100, sub category "&amp;INDEX(Matching_Engine!$U$6:$U$95,$W11,1)&amp;"/100, topics "&amp;INDEX(Matching_Engine!$V$6:$V$95,$W11,1)&amp;"/100, style "&amp;INDEX(Matching_Engine!$W$6:$W$95,$W11,1)&amp;"/100 — brief wants "&amp;Brand_Profile!$G$39&amp;", creator delivers "&amp;KOL_Database!$AJ$11&amp;"."</f>
      </c>
      <c r="U11" s="50">
        <f>"Personality "&amp;INDEX(Matching_Engine!$Y$6:$Y$95,$W11,1)&amp;"/100, tone vs style "&amp;INDEX(Matching_Engine!$Z$6:$Z$95,$W11,1)&amp;"/100, values "&amp;INDEX(Matching_Engine!$AA$6:$AA$95,$W11,1)&amp;"/100, communication "&amp;INDEX(Matching_Engine!$AB$6:$AB$95,$W11,1)&amp;"/100 — a "&amp;Brand_Profile!$G$25&amp;" / "&amp;Brand_Profile!$G$28&amp;" brand against a "&amp;KOL_Database!$AK$11&amp;" creator."</f>
      </c>
      <c r="V11" s="50">
        <f>IF(INDEX(Matching_Engine!$AM$6:$AM$95,$W11,1)="None","No risk flag. ",INDEX(Matching_Engine!$AM$6:$AM$95,$W11,1)&amp;" risk flag. ")&amp;"Brand Safety "&amp;INDEX(Matching_Engine!$AK$6:$AK$95,$W11,1)&amp;"/100, competitor saturation "&amp;INDEX(Matching_Engine!$AL$6:$AL$95,$W11,1)&amp;"/100"&amp;IF(INDEX(Matching_Engine!$AL$6:$AL$95,$W11,1)&gt;=70," — high, so treat it as a consideration rather than an automatic exclusion.",".")</f>
      </c>
      <c r="W11" s="50">
        <f>MATCH(Brand_Profile!$B$4&amp;"|"&amp;KOL_Database!$A$11,Matching_Engine!$AZ$6:$AZ$95,0)</f>
      </c>
      <c r="X11" s="52">
        <f>INDEX(Matching_Engine!$N$6:$N$95,$W11,1)+0.006</f>
      </c>
      <c r="Y11" s="52">
        <f>INDEX(Matching_Engine!$S$6:$S$95,$W11,1)+0.005</f>
      </c>
      <c r="Z11" s="52">
        <f>INDEX(Matching_Engine!$X$6:$X$95,$W11,1)+0.004</f>
      </c>
      <c r="AA11" s="52">
        <f>INDEX(Matching_Engine!$AC$6:$AC$95,$W11,1)+0.003</f>
      </c>
      <c r="AB11" s="52">
        <f>INDEX(Matching_Engine!$AJ$6:$AJ$95,$W11,1)+0.002</f>
      </c>
      <c r="AC11" s="52">
        <f>INDEX(Matching_Engine!$AO$6:$AO$95,$W11,1)+0.001</f>
      </c>
    </row>
    <row r="12" spans="1:29" x14ac:dyDescent="0.25">
      <c r="A12" s="50">
        <f>KOL_Database!$A$12</f>
      </c>
      <c r="B12" s="50">
        <f>KOL_Database!$B$12</f>
      </c>
      <c r="C12" s="50">
        <f>KOL_Database!$C$12</f>
      </c>
      <c r="D12" s="50">
        <f>KOL_Database!$D$12</f>
      </c>
      <c r="E12" s="50">
        <f>KOL_Database!$E$12</f>
      </c>
      <c r="F12" s="51">
        <f>INDEX(Matching_Engine!$AP$6:$AP$95,$W12,1)</f>
      </c>
      <c r="G12" s="50">
        <f>INDEX(Matching_Engine!$AQ$6:$AQ$95,$W12,1)</f>
      </c>
      <c r="H12" s="50">
        <f>INDEX(Matching_Engine!$AS$6:$AS$95,$W12,1)</f>
      </c>
      <c r="I12" s="50">
        <f>"Strongest on "&amp;INDEX(Lookup_Lists!$AC$6:$AC$11,MATCH(LARGE($X12:$AC12,1),$X12:$AC12,0),1)&amp;" at "&amp;ROUND(LARGE($X12:$AC12,1),0)&amp;"/100. "&amp;"Audience overlap "&amp;INDEX(Matching_Engine!$S$6:$S$95,$W12,1)&amp;"/100 against the "&amp;Brand_Profile!$G$16&amp;" / "&amp;Brand_Profile!$G$17&amp;" target; "&amp;KOL_Database!$E$12&amp;" content against a "&amp;Brand_Profile!$G$10&amp;" brief. "&amp;"Final Brand Match "&amp;INDEX(Matching_Engine!$AP$6:$AP$95,$W12,1)&amp;"/100 ("&amp;INDEX(Matching_Engine!$AQ$6:$AQ$95,$W12,1)&amp;")."</f>
      </c>
      <c r="J12" s="50">
        <f>IFERROR(INDEX(Lookup_Lists!$AC$6:$AC$11,MATCH(LARGE($X12:$AC12,1),$X12:$AC12,0),1)&amp;" — "&amp;ROUND(LARGE($X12:$AC12,1),0)&amp;"/100","")</f>
      </c>
      <c r="K12" s="50">
        <f>IFERROR(INDEX(Lookup_Lists!$AC$6:$AC$11,MATCH(LARGE($X12:$AC12,2),$X12:$AC12,0),1)&amp;" — "&amp;ROUND(LARGE($X12:$AC12,2),0)&amp;"/100","")</f>
      </c>
      <c r="L12" s="50">
        <f>IFERROR(INDEX(Lookup_Lists!$AC$6:$AC$11,MATCH(LARGE($X12:$AC12,3),$X12:$AC12,0),1)&amp;" — "&amp;ROUND(LARGE($X12:$AC12,3),0)&amp;"/100","")</f>
      </c>
      <c r="M12" s="50">
        <f>IFERROR(IF(SMALL($X12:$AC12,1)&gt;=Lookup_Lists!$D$161,"No material gap — "&amp;INDEX(Lookup_Lists!$AC$6:$AC$11,MATCH(SMALL($X12:$AC12,1),$X12:$AC12,0),1)&amp;" at "&amp;ROUND(SMALL($X12:$AC12,1),0)&amp;"/100",INDEX(Lookup_Lists!$AC$6:$AC$11,MATCH(SMALL($X12:$AC12,1),$X12:$AC12,0),1)&amp;" only "&amp;ROUND(SMALL($X12:$AC12,1),0)&amp;"/100"),"")</f>
      </c>
      <c r="N12" s="50">
        <f>IFERROR(IF(SMALL($X12:$AC12,2)&gt;=Lookup_Lists!$D$161,"No material gap — "&amp;INDEX(Lookup_Lists!$AC$6:$AC$11,MATCH(SMALL($X12:$AC12,2),$X12:$AC12,0),1)&amp;" at "&amp;ROUND(SMALL($X12:$AC12,2),0)&amp;"/100",INDEX(Lookup_Lists!$AC$6:$AC$11,MATCH(SMALL($X12:$AC12,2),$X12:$AC12,0),1)&amp;" only "&amp;ROUND(SMALL($X12:$AC12,2),0)&amp;"/100"),"")</f>
      </c>
      <c r="O12" s="50">
        <f>IFERROR(IF(SMALL($X12:$AC12,3)&gt;=Lookup_Lists!$D$161,"No material gap — "&amp;INDEX(Lookup_Lists!$AC$6:$AC$11,MATCH(SMALL($X12:$AC12,3),$X12:$AC12,0),1)&amp;" at "&amp;ROUND(SMALL($X12:$AC12,3),0)&amp;"/100",INDEX(Lookup_Lists!$AC$6:$AC$11,MATCH(SMALL($X12:$AC12,3),$X12:$AC12,0),1)&amp;" only "&amp;ROUND(SMALL($X12:$AC12,3),0)&amp;"/100"),"")</f>
      </c>
      <c r="P12" s="50">
        <f>IF(INDEX(Matching_Engine!$AM$6:$AM$95,$W12,1)="None","No risk flag — competitor saturation "&amp;INDEX(Matching_Engine!$AL$6:$AL$95,$W12,1)&amp;"/100",INDEX(Matching_Engine!$AM$6:$AM$95,$W12,1)&amp;" risk flag — competitor saturation "&amp;INDEX(Matching_Engine!$AL$6:$AL$95,$W12,1)&amp;"/100")</f>
      </c>
      <c r="Q12" s="50">
        <f>INDEX(Matching_Engine!$AX$6:$AX$95,$W12,1)</f>
      </c>
      <c r="R12" s="50">
        <f>"Industry "&amp;INDEX(Matching_Engine!$K$6:$K$95,$W12,1)&amp;"/100, category "&amp;INDEX(Matching_Engine!$L$6:$L$95,$W12,1)&amp;"/100, keywords "&amp;INDEX(Matching_Engine!$M$6:$M$95,$W12,1)&amp;"/100 — a "&amp;Brand_Profile!$G$10&amp;" brief against a "&amp;KOL_Database!$E$12&amp;" / "&amp;KOL_Database!$F$12&amp;" creator."</f>
      </c>
      <c r="S12" s="50">
        <f>"Age "&amp;INDEX(Matching_Engine!$O$6:$O$95,$W12,1)&amp;"/100, gender "&amp;INDEX(Matching_Engine!$P$6:$P$95,$W12,1)&amp;"/100, location "&amp;INDEX(Matching_Engine!$Q$6:$Q$95,$W12,1)&amp;"/100, interests "&amp;INDEX(Matching_Engine!$R$6:$R$95,$W12,1)&amp;"/100. Weighted with priority on "&amp;Brand_Profile!$G$23&amp;"."</f>
      </c>
      <c r="T12" s="50">
        <f>"Category "&amp;INDEX(Matching_Engine!$T$6:$T$95,$W12,1)&amp;"/100, sub category "&amp;INDEX(Matching_Engine!$U$6:$U$95,$W12,1)&amp;"/100, topics "&amp;INDEX(Matching_Engine!$V$6:$V$95,$W12,1)&amp;"/100, style "&amp;INDEX(Matching_Engine!$W$6:$W$95,$W12,1)&amp;"/100 — brief wants "&amp;Brand_Profile!$G$39&amp;", creator delivers "&amp;KOL_Database!$AJ$12&amp;"."</f>
      </c>
      <c r="U12" s="50">
        <f>"Personality "&amp;INDEX(Matching_Engine!$Y$6:$Y$95,$W12,1)&amp;"/100, tone vs style "&amp;INDEX(Matching_Engine!$Z$6:$Z$95,$W12,1)&amp;"/100, values "&amp;INDEX(Matching_Engine!$AA$6:$AA$95,$W12,1)&amp;"/100, communication "&amp;INDEX(Matching_Engine!$AB$6:$AB$95,$W12,1)&amp;"/100 — a "&amp;Brand_Profile!$G$25&amp;" / "&amp;Brand_Profile!$G$28&amp;" brand against a "&amp;KOL_Database!$AK$12&amp;" creator."</f>
      </c>
      <c r="V12" s="50">
        <f>IF(INDEX(Matching_Engine!$AM$6:$AM$95,$W12,1)="None","No risk flag. ",INDEX(Matching_Engine!$AM$6:$AM$95,$W12,1)&amp;" risk flag. ")&amp;"Brand Safety "&amp;INDEX(Matching_Engine!$AK$6:$AK$95,$W12,1)&amp;"/100, competitor saturation "&amp;INDEX(Matching_Engine!$AL$6:$AL$95,$W12,1)&amp;"/100"&amp;IF(INDEX(Matching_Engine!$AL$6:$AL$95,$W12,1)&gt;=70," — high, so treat it as a consideration rather than an automatic exclusion.",".")</f>
      </c>
      <c r="W12" s="50">
        <f>MATCH(Brand_Profile!$B$4&amp;"|"&amp;KOL_Database!$A$12,Matching_Engine!$AZ$6:$AZ$95,0)</f>
      </c>
      <c r="X12" s="52">
        <f>INDEX(Matching_Engine!$N$6:$N$95,$W12,1)+0.006</f>
      </c>
      <c r="Y12" s="52">
        <f>INDEX(Matching_Engine!$S$6:$S$95,$W12,1)+0.005</f>
      </c>
      <c r="Z12" s="52">
        <f>INDEX(Matching_Engine!$X$6:$X$95,$W12,1)+0.004</f>
      </c>
      <c r="AA12" s="52">
        <f>INDEX(Matching_Engine!$AC$6:$AC$95,$W12,1)+0.003</f>
      </c>
      <c r="AB12" s="52">
        <f>INDEX(Matching_Engine!$AJ$6:$AJ$95,$W12,1)+0.002</f>
      </c>
      <c r="AC12" s="52">
        <f>INDEX(Matching_Engine!$AO$6:$AO$95,$W12,1)+0.001</f>
      </c>
    </row>
    <row r="13" spans="1:29" x14ac:dyDescent="0.25">
      <c r="A13" s="50">
        <f>KOL_Database!$A$13</f>
      </c>
      <c r="B13" s="50">
        <f>KOL_Database!$B$13</f>
      </c>
      <c r="C13" s="50">
        <f>KOL_Database!$C$13</f>
      </c>
      <c r="D13" s="50">
        <f>KOL_Database!$D$13</f>
      </c>
      <c r="E13" s="50">
        <f>KOL_Database!$E$13</f>
      </c>
      <c r="F13" s="51">
        <f>INDEX(Matching_Engine!$AP$6:$AP$95,$W13,1)</f>
      </c>
      <c r="G13" s="50">
        <f>INDEX(Matching_Engine!$AQ$6:$AQ$95,$W13,1)</f>
      </c>
      <c r="H13" s="50">
        <f>INDEX(Matching_Engine!$AS$6:$AS$95,$W13,1)</f>
      </c>
      <c r="I13" s="50">
        <f>"Strongest on "&amp;INDEX(Lookup_Lists!$AC$6:$AC$11,MATCH(LARGE($X13:$AC13,1),$X13:$AC13,0),1)&amp;" at "&amp;ROUND(LARGE($X13:$AC13,1),0)&amp;"/100. "&amp;"Audience overlap "&amp;INDEX(Matching_Engine!$S$6:$S$95,$W13,1)&amp;"/100 against the "&amp;Brand_Profile!$G$16&amp;" / "&amp;Brand_Profile!$G$17&amp;" target; "&amp;KOL_Database!$E$13&amp;" content against a "&amp;Brand_Profile!$G$10&amp;" brief. "&amp;"Final Brand Match "&amp;INDEX(Matching_Engine!$AP$6:$AP$95,$W13,1)&amp;"/100 ("&amp;INDEX(Matching_Engine!$AQ$6:$AQ$95,$W13,1)&amp;")."</f>
      </c>
      <c r="J13" s="50">
        <f>IFERROR(INDEX(Lookup_Lists!$AC$6:$AC$11,MATCH(LARGE($X13:$AC13,1),$X13:$AC13,0),1)&amp;" — "&amp;ROUND(LARGE($X13:$AC13,1),0)&amp;"/100","")</f>
      </c>
      <c r="K13" s="50">
        <f>IFERROR(INDEX(Lookup_Lists!$AC$6:$AC$11,MATCH(LARGE($X13:$AC13,2),$X13:$AC13,0),1)&amp;" — "&amp;ROUND(LARGE($X13:$AC13,2),0)&amp;"/100","")</f>
      </c>
      <c r="L13" s="50">
        <f>IFERROR(INDEX(Lookup_Lists!$AC$6:$AC$11,MATCH(LARGE($X13:$AC13,3),$X13:$AC13,0),1)&amp;" — "&amp;ROUND(LARGE($X13:$AC13,3),0)&amp;"/100","")</f>
      </c>
      <c r="M13" s="50">
        <f>IFERROR(IF(SMALL($X13:$AC13,1)&gt;=Lookup_Lists!$D$161,"No material gap — "&amp;INDEX(Lookup_Lists!$AC$6:$AC$11,MATCH(SMALL($X13:$AC13,1),$X13:$AC13,0),1)&amp;" at "&amp;ROUND(SMALL($X13:$AC13,1),0)&amp;"/100",INDEX(Lookup_Lists!$AC$6:$AC$11,MATCH(SMALL($X13:$AC13,1),$X13:$AC13,0),1)&amp;" only "&amp;ROUND(SMALL($X13:$AC13,1),0)&amp;"/100"),"")</f>
      </c>
      <c r="N13" s="50">
        <f>IFERROR(IF(SMALL($X13:$AC13,2)&gt;=Lookup_Lists!$D$161,"No material gap — "&amp;INDEX(Lookup_Lists!$AC$6:$AC$11,MATCH(SMALL($X13:$AC13,2),$X13:$AC13,0),1)&amp;" at "&amp;ROUND(SMALL($X13:$AC13,2),0)&amp;"/100",INDEX(Lookup_Lists!$AC$6:$AC$11,MATCH(SMALL($X13:$AC13,2),$X13:$AC13,0),1)&amp;" only "&amp;ROUND(SMALL($X13:$AC13,2),0)&amp;"/100"),"")</f>
      </c>
      <c r="O13" s="50">
        <f>IFERROR(IF(SMALL($X13:$AC13,3)&gt;=Lookup_Lists!$D$161,"No material gap — "&amp;INDEX(Lookup_Lists!$AC$6:$AC$11,MATCH(SMALL($X13:$AC13,3),$X13:$AC13,0),1)&amp;" at "&amp;ROUND(SMALL($X13:$AC13,3),0)&amp;"/100",INDEX(Lookup_Lists!$AC$6:$AC$11,MATCH(SMALL($X13:$AC13,3),$X13:$AC13,0),1)&amp;" only "&amp;ROUND(SMALL($X13:$AC13,3),0)&amp;"/100"),"")</f>
      </c>
      <c r="P13" s="50">
        <f>IF(INDEX(Matching_Engine!$AM$6:$AM$95,$W13,1)="None","No risk flag — competitor saturation "&amp;INDEX(Matching_Engine!$AL$6:$AL$95,$W13,1)&amp;"/100",INDEX(Matching_Engine!$AM$6:$AM$95,$W13,1)&amp;" risk flag — competitor saturation "&amp;INDEX(Matching_Engine!$AL$6:$AL$95,$W13,1)&amp;"/100")</f>
      </c>
      <c r="Q13" s="50">
        <f>INDEX(Matching_Engine!$AX$6:$AX$95,$W13,1)</f>
      </c>
      <c r="R13" s="50">
        <f>"Industry "&amp;INDEX(Matching_Engine!$K$6:$K$95,$W13,1)&amp;"/100, category "&amp;INDEX(Matching_Engine!$L$6:$L$95,$W13,1)&amp;"/100, keywords "&amp;INDEX(Matching_Engine!$M$6:$M$95,$W13,1)&amp;"/100 — a "&amp;Brand_Profile!$G$10&amp;" brief against a "&amp;KOL_Database!$E$13&amp;" / "&amp;KOL_Database!$F$13&amp;" creator."</f>
      </c>
      <c r="S13" s="50">
        <f>"Age "&amp;INDEX(Matching_Engine!$O$6:$O$95,$W13,1)&amp;"/100, gender "&amp;INDEX(Matching_Engine!$P$6:$P$95,$W13,1)&amp;"/100, location "&amp;INDEX(Matching_Engine!$Q$6:$Q$95,$W13,1)&amp;"/100, interests "&amp;INDEX(Matching_Engine!$R$6:$R$95,$W13,1)&amp;"/100. Weighted with priority on "&amp;Brand_Profile!$G$23&amp;"."</f>
      </c>
      <c r="T13" s="50">
        <f>"Category "&amp;INDEX(Matching_Engine!$T$6:$T$95,$W13,1)&amp;"/100, sub category "&amp;INDEX(Matching_Engine!$U$6:$U$95,$W13,1)&amp;"/100, topics "&amp;INDEX(Matching_Engine!$V$6:$V$95,$W13,1)&amp;"/100, style "&amp;INDEX(Matching_Engine!$W$6:$W$95,$W13,1)&amp;"/100 — brief wants "&amp;Brand_Profile!$G$39&amp;", creator delivers "&amp;KOL_Database!$AJ$13&amp;"."</f>
      </c>
      <c r="U13" s="50">
        <f>"Personality "&amp;INDEX(Matching_Engine!$Y$6:$Y$95,$W13,1)&amp;"/100, tone vs style "&amp;INDEX(Matching_Engine!$Z$6:$Z$95,$W13,1)&amp;"/100, values "&amp;INDEX(Matching_Engine!$AA$6:$AA$95,$W13,1)&amp;"/100, communication "&amp;INDEX(Matching_Engine!$AB$6:$AB$95,$W13,1)&amp;"/100 — a "&amp;Brand_Profile!$G$25&amp;" / "&amp;Brand_Profile!$G$28&amp;" brand against a "&amp;KOL_Database!$AK$13&amp;" creator."</f>
      </c>
      <c r="V13" s="50">
        <f>IF(INDEX(Matching_Engine!$AM$6:$AM$95,$W13,1)="None","No risk flag. ",INDEX(Matching_Engine!$AM$6:$AM$95,$W13,1)&amp;" risk flag. ")&amp;"Brand Safety "&amp;INDEX(Matching_Engine!$AK$6:$AK$95,$W13,1)&amp;"/100, competitor saturation "&amp;INDEX(Matching_Engine!$AL$6:$AL$95,$W13,1)&amp;"/100"&amp;IF(INDEX(Matching_Engine!$AL$6:$AL$95,$W13,1)&gt;=70," — high, so treat it as a consideration rather than an automatic exclusion.",".")</f>
      </c>
      <c r="W13" s="50">
        <f>MATCH(Brand_Profile!$B$4&amp;"|"&amp;KOL_Database!$A$13,Matching_Engine!$AZ$6:$AZ$95,0)</f>
      </c>
      <c r="X13" s="52">
        <f>INDEX(Matching_Engine!$N$6:$N$95,$W13,1)+0.006</f>
      </c>
      <c r="Y13" s="52">
        <f>INDEX(Matching_Engine!$S$6:$S$95,$W13,1)+0.005</f>
      </c>
      <c r="Z13" s="52">
        <f>INDEX(Matching_Engine!$X$6:$X$95,$W13,1)+0.004</f>
      </c>
      <c r="AA13" s="52">
        <f>INDEX(Matching_Engine!$AC$6:$AC$95,$W13,1)+0.003</f>
      </c>
      <c r="AB13" s="52">
        <f>INDEX(Matching_Engine!$AJ$6:$AJ$95,$W13,1)+0.002</f>
      </c>
      <c r="AC13" s="52">
        <f>INDEX(Matching_Engine!$AO$6:$AO$95,$W13,1)+0.001</f>
      </c>
    </row>
    <row r="14" spans="1:29" x14ac:dyDescent="0.25">
      <c r="A14" s="50">
        <f>KOL_Database!$A$14</f>
      </c>
      <c r="B14" s="50">
        <f>KOL_Database!$B$14</f>
      </c>
      <c r="C14" s="50">
        <f>KOL_Database!$C$14</f>
      </c>
      <c r="D14" s="50">
        <f>KOL_Database!$D$14</f>
      </c>
      <c r="E14" s="50">
        <f>KOL_Database!$E$14</f>
      </c>
      <c r="F14" s="51">
        <f>INDEX(Matching_Engine!$AP$6:$AP$95,$W14,1)</f>
      </c>
      <c r="G14" s="50">
        <f>INDEX(Matching_Engine!$AQ$6:$AQ$95,$W14,1)</f>
      </c>
      <c r="H14" s="50">
        <f>INDEX(Matching_Engine!$AS$6:$AS$95,$W14,1)</f>
      </c>
      <c r="I14" s="50">
        <f>"Strongest on "&amp;INDEX(Lookup_Lists!$AC$6:$AC$11,MATCH(LARGE($X14:$AC14,1),$X14:$AC14,0),1)&amp;" at "&amp;ROUND(LARGE($X14:$AC14,1),0)&amp;"/100. "&amp;"Audience overlap "&amp;INDEX(Matching_Engine!$S$6:$S$95,$W14,1)&amp;"/100 against the "&amp;Brand_Profile!$G$16&amp;" / "&amp;Brand_Profile!$G$17&amp;" target; "&amp;KOL_Database!$E$14&amp;" content against a "&amp;Brand_Profile!$G$10&amp;" brief. "&amp;"Final Brand Match "&amp;INDEX(Matching_Engine!$AP$6:$AP$95,$W14,1)&amp;"/100 ("&amp;INDEX(Matching_Engine!$AQ$6:$AQ$95,$W14,1)&amp;")."</f>
      </c>
      <c r="J14" s="50">
        <f>IFERROR(INDEX(Lookup_Lists!$AC$6:$AC$11,MATCH(LARGE($X14:$AC14,1),$X14:$AC14,0),1)&amp;" — "&amp;ROUND(LARGE($X14:$AC14,1),0)&amp;"/100","")</f>
      </c>
      <c r="K14" s="50">
        <f>IFERROR(INDEX(Lookup_Lists!$AC$6:$AC$11,MATCH(LARGE($X14:$AC14,2),$X14:$AC14,0),1)&amp;" — "&amp;ROUND(LARGE($X14:$AC14,2),0)&amp;"/100","")</f>
      </c>
      <c r="L14" s="50">
        <f>IFERROR(INDEX(Lookup_Lists!$AC$6:$AC$11,MATCH(LARGE($X14:$AC14,3),$X14:$AC14,0),1)&amp;" — "&amp;ROUND(LARGE($X14:$AC14,3),0)&amp;"/100","")</f>
      </c>
      <c r="M14" s="50">
        <f>IFERROR(IF(SMALL($X14:$AC14,1)&gt;=Lookup_Lists!$D$161,"No material gap — "&amp;INDEX(Lookup_Lists!$AC$6:$AC$11,MATCH(SMALL($X14:$AC14,1),$X14:$AC14,0),1)&amp;" at "&amp;ROUND(SMALL($X14:$AC14,1),0)&amp;"/100",INDEX(Lookup_Lists!$AC$6:$AC$11,MATCH(SMALL($X14:$AC14,1),$X14:$AC14,0),1)&amp;" only "&amp;ROUND(SMALL($X14:$AC14,1),0)&amp;"/100"),"")</f>
      </c>
      <c r="N14" s="50">
        <f>IFERROR(IF(SMALL($X14:$AC14,2)&gt;=Lookup_Lists!$D$161,"No material gap — "&amp;INDEX(Lookup_Lists!$AC$6:$AC$11,MATCH(SMALL($X14:$AC14,2),$X14:$AC14,0),1)&amp;" at "&amp;ROUND(SMALL($X14:$AC14,2),0)&amp;"/100",INDEX(Lookup_Lists!$AC$6:$AC$11,MATCH(SMALL($X14:$AC14,2),$X14:$AC14,0),1)&amp;" only "&amp;ROUND(SMALL($X14:$AC14,2),0)&amp;"/100"),"")</f>
      </c>
      <c r="O14" s="50">
        <f>IFERROR(IF(SMALL($X14:$AC14,3)&gt;=Lookup_Lists!$D$161,"No material gap — "&amp;INDEX(Lookup_Lists!$AC$6:$AC$11,MATCH(SMALL($X14:$AC14,3),$X14:$AC14,0),1)&amp;" at "&amp;ROUND(SMALL($X14:$AC14,3),0)&amp;"/100",INDEX(Lookup_Lists!$AC$6:$AC$11,MATCH(SMALL($X14:$AC14,3),$X14:$AC14,0),1)&amp;" only "&amp;ROUND(SMALL($X14:$AC14,3),0)&amp;"/100"),"")</f>
      </c>
      <c r="P14" s="50">
        <f>IF(INDEX(Matching_Engine!$AM$6:$AM$95,$W14,1)="None","No risk flag — competitor saturation "&amp;INDEX(Matching_Engine!$AL$6:$AL$95,$W14,1)&amp;"/100",INDEX(Matching_Engine!$AM$6:$AM$95,$W14,1)&amp;" risk flag — competitor saturation "&amp;INDEX(Matching_Engine!$AL$6:$AL$95,$W14,1)&amp;"/100")</f>
      </c>
      <c r="Q14" s="50">
        <f>INDEX(Matching_Engine!$AX$6:$AX$95,$W14,1)</f>
      </c>
      <c r="R14" s="50">
        <f>"Industry "&amp;INDEX(Matching_Engine!$K$6:$K$95,$W14,1)&amp;"/100, category "&amp;INDEX(Matching_Engine!$L$6:$L$95,$W14,1)&amp;"/100, keywords "&amp;INDEX(Matching_Engine!$M$6:$M$95,$W14,1)&amp;"/100 — a "&amp;Brand_Profile!$G$10&amp;" brief against a "&amp;KOL_Database!$E$14&amp;" / "&amp;KOL_Database!$F$14&amp;" creator."</f>
      </c>
      <c r="S14" s="50">
        <f>"Age "&amp;INDEX(Matching_Engine!$O$6:$O$95,$W14,1)&amp;"/100, gender "&amp;INDEX(Matching_Engine!$P$6:$P$95,$W14,1)&amp;"/100, location "&amp;INDEX(Matching_Engine!$Q$6:$Q$95,$W14,1)&amp;"/100, interests "&amp;INDEX(Matching_Engine!$R$6:$R$95,$W14,1)&amp;"/100. Weighted with priority on "&amp;Brand_Profile!$G$23&amp;"."</f>
      </c>
      <c r="T14" s="50">
        <f>"Category "&amp;INDEX(Matching_Engine!$T$6:$T$95,$W14,1)&amp;"/100, sub category "&amp;INDEX(Matching_Engine!$U$6:$U$95,$W14,1)&amp;"/100, topics "&amp;INDEX(Matching_Engine!$V$6:$V$95,$W14,1)&amp;"/100, style "&amp;INDEX(Matching_Engine!$W$6:$W$95,$W14,1)&amp;"/100 — brief wants "&amp;Brand_Profile!$G$39&amp;", creator delivers "&amp;KOL_Database!$AJ$14&amp;"."</f>
      </c>
      <c r="U14" s="50">
        <f>"Personality "&amp;INDEX(Matching_Engine!$Y$6:$Y$95,$W14,1)&amp;"/100, tone vs style "&amp;INDEX(Matching_Engine!$Z$6:$Z$95,$W14,1)&amp;"/100, values "&amp;INDEX(Matching_Engine!$AA$6:$AA$95,$W14,1)&amp;"/100, communication "&amp;INDEX(Matching_Engine!$AB$6:$AB$95,$W14,1)&amp;"/100 — a "&amp;Brand_Profile!$G$25&amp;" / "&amp;Brand_Profile!$G$28&amp;" brand against a "&amp;KOL_Database!$AK$14&amp;" creator."</f>
      </c>
      <c r="V14" s="50">
        <f>IF(INDEX(Matching_Engine!$AM$6:$AM$95,$W14,1)="None","No risk flag. ",INDEX(Matching_Engine!$AM$6:$AM$95,$W14,1)&amp;" risk flag. ")&amp;"Brand Safety "&amp;INDEX(Matching_Engine!$AK$6:$AK$95,$W14,1)&amp;"/100, competitor saturation "&amp;INDEX(Matching_Engine!$AL$6:$AL$95,$W14,1)&amp;"/100"&amp;IF(INDEX(Matching_Engine!$AL$6:$AL$95,$W14,1)&gt;=70," — high, so treat it as a consideration rather than an automatic exclusion.",".")</f>
      </c>
      <c r="W14" s="50">
        <f>MATCH(Brand_Profile!$B$4&amp;"|"&amp;KOL_Database!$A$14,Matching_Engine!$AZ$6:$AZ$95,0)</f>
      </c>
      <c r="X14" s="52">
        <f>INDEX(Matching_Engine!$N$6:$N$95,$W14,1)+0.006</f>
      </c>
      <c r="Y14" s="52">
        <f>INDEX(Matching_Engine!$S$6:$S$95,$W14,1)+0.005</f>
      </c>
      <c r="Z14" s="52">
        <f>INDEX(Matching_Engine!$X$6:$X$95,$W14,1)+0.004</f>
      </c>
      <c r="AA14" s="52">
        <f>INDEX(Matching_Engine!$AC$6:$AC$95,$W14,1)+0.003</f>
      </c>
      <c r="AB14" s="52">
        <f>INDEX(Matching_Engine!$AJ$6:$AJ$95,$W14,1)+0.002</f>
      </c>
      <c r="AC14" s="52">
        <f>INDEX(Matching_Engine!$AO$6:$AO$95,$W14,1)+0.001</f>
      </c>
    </row>
    <row r="15" spans="1:29" x14ac:dyDescent="0.25">
      <c r="A15" s="50">
        <f>KOL_Database!$A$15</f>
      </c>
      <c r="B15" s="50">
        <f>KOL_Database!$B$15</f>
      </c>
      <c r="C15" s="50">
        <f>KOL_Database!$C$15</f>
      </c>
      <c r="D15" s="50">
        <f>KOL_Database!$D$15</f>
      </c>
      <c r="E15" s="50">
        <f>KOL_Database!$E$15</f>
      </c>
      <c r="F15" s="51">
        <f>INDEX(Matching_Engine!$AP$6:$AP$95,$W15,1)</f>
      </c>
      <c r="G15" s="50">
        <f>INDEX(Matching_Engine!$AQ$6:$AQ$95,$W15,1)</f>
      </c>
      <c r="H15" s="50">
        <f>INDEX(Matching_Engine!$AS$6:$AS$95,$W15,1)</f>
      </c>
      <c r="I15" s="50">
        <f>"Strongest on "&amp;INDEX(Lookup_Lists!$AC$6:$AC$11,MATCH(LARGE($X15:$AC15,1),$X15:$AC15,0),1)&amp;" at "&amp;ROUND(LARGE($X15:$AC15,1),0)&amp;"/100. "&amp;"Audience overlap "&amp;INDEX(Matching_Engine!$S$6:$S$95,$W15,1)&amp;"/100 against the "&amp;Brand_Profile!$G$16&amp;" / "&amp;Brand_Profile!$G$17&amp;" target; "&amp;KOL_Database!$E$15&amp;" content against a "&amp;Brand_Profile!$G$10&amp;" brief. "&amp;"Final Brand Match "&amp;INDEX(Matching_Engine!$AP$6:$AP$95,$W15,1)&amp;"/100 ("&amp;INDEX(Matching_Engine!$AQ$6:$AQ$95,$W15,1)&amp;")."</f>
      </c>
      <c r="J15" s="50">
        <f>IFERROR(INDEX(Lookup_Lists!$AC$6:$AC$11,MATCH(LARGE($X15:$AC15,1),$X15:$AC15,0),1)&amp;" — "&amp;ROUND(LARGE($X15:$AC15,1),0)&amp;"/100","")</f>
      </c>
      <c r="K15" s="50">
        <f>IFERROR(INDEX(Lookup_Lists!$AC$6:$AC$11,MATCH(LARGE($X15:$AC15,2),$X15:$AC15,0),1)&amp;" — "&amp;ROUND(LARGE($X15:$AC15,2),0)&amp;"/100","")</f>
      </c>
      <c r="L15" s="50">
        <f>IFERROR(INDEX(Lookup_Lists!$AC$6:$AC$11,MATCH(LARGE($X15:$AC15,3),$X15:$AC15,0),1)&amp;" — "&amp;ROUND(LARGE($X15:$AC15,3),0)&amp;"/100","")</f>
      </c>
      <c r="M15" s="50">
        <f>IFERROR(IF(SMALL($X15:$AC15,1)&gt;=Lookup_Lists!$D$161,"No material gap — "&amp;INDEX(Lookup_Lists!$AC$6:$AC$11,MATCH(SMALL($X15:$AC15,1),$X15:$AC15,0),1)&amp;" at "&amp;ROUND(SMALL($X15:$AC15,1),0)&amp;"/100",INDEX(Lookup_Lists!$AC$6:$AC$11,MATCH(SMALL($X15:$AC15,1),$X15:$AC15,0),1)&amp;" only "&amp;ROUND(SMALL($X15:$AC15,1),0)&amp;"/100"),"")</f>
      </c>
      <c r="N15" s="50">
        <f>IFERROR(IF(SMALL($X15:$AC15,2)&gt;=Lookup_Lists!$D$161,"No material gap — "&amp;INDEX(Lookup_Lists!$AC$6:$AC$11,MATCH(SMALL($X15:$AC15,2),$X15:$AC15,0),1)&amp;" at "&amp;ROUND(SMALL($X15:$AC15,2),0)&amp;"/100",INDEX(Lookup_Lists!$AC$6:$AC$11,MATCH(SMALL($X15:$AC15,2),$X15:$AC15,0),1)&amp;" only "&amp;ROUND(SMALL($X15:$AC15,2),0)&amp;"/100"),"")</f>
      </c>
      <c r="O15" s="50">
        <f>IFERROR(IF(SMALL($X15:$AC15,3)&gt;=Lookup_Lists!$D$161,"No material gap — "&amp;INDEX(Lookup_Lists!$AC$6:$AC$11,MATCH(SMALL($X15:$AC15,3),$X15:$AC15,0),1)&amp;" at "&amp;ROUND(SMALL($X15:$AC15,3),0)&amp;"/100",INDEX(Lookup_Lists!$AC$6:$AC$11,MATCH(SMALL($X15:$AC15,3),$X15:$AC15,0),1)&amp;" only "&amp;ROUND(SMALL($X15:$AC15,3),0)&amp;"/100"),"")</f>
      </c>
      <c r="P15" s="50">
        <f>IF(INDEX(Matching_Engine!$AM$6:$AM$95,$W15,1)="None","No risk flag — competitor saturation "&amp;INDEX(Matching_Engine!$AL$6:$AL$95,$W15,1)&amp;"/100",INDEX(Matching_Engine!$AM$6:$AM$95,$W15,1)&amp;" risk flag — competitor saturation "&amp;INDEX(Matching_Engine!$AL$6:$AL$95,$W15,1)&amp;"/100")</f>
      </c>
      <c r="Q15" s="50">
        <f>INDEX(Matching_Engine!$AX$6:$AX$95,$W15,1)</f>
      </c>
      <c r="R15" s="50">
        <f>"Industry "&amp;INDEX(Matching_Engine!$K$6:$K$95,$W15,1)&amp;"/100, category "&amp;INDEX(Matching_Engine!$L$6:$L$95,$W15,1)&amp;"/100, keywords "&amp;INDEX(Matching_Engine!$M$6:$M$95,$W15,1)&amp;"/100 — a "&amp;Brand_Profile!$G$10&amp;" brief against a "&amp;KOL_Database!$E$15&amp;" / "&amp;KOL_Database!$F$15&amp;" creator."</f>
      </c>
      <c r="S15" s="50">
        <f>"Age "&amp;INDEX(Matching_Engine!$O$6:$O$95,$W15,1)&amp;"/100, gender "&amp;INDEX(Matching_Engine!$P$6:$P$95,$W15,1)&amp;"/100, location "&amp;INDEX(Matching_Engine!$Q$6:$Q$95,$W15,1)&amp;"/100, interests "&amp;INDEX(Matching_Engine!$R$6:$R$95,$W15,1)&amp;"/100. Weighted with priority on "&amp;Brand_Profile!$G$23&amp;"."</f>
      </c>
      <c r="T15" s="50">
        <f>"Category "&amp;INDEX(Matching_Engine!$T$6:$T$95,$W15,1)&amp;"/100, sub category "&amp;INDEX(Matching_Engine!$U$6:$U$95,$W15,1)&amp;"/100, topics "&amp;INDEX(Matching_Engine!$V$6:$V$95,$W15,1)&amp;"/100, style "&amp;INDEX(Matching_Engine!$W$6:$W$95,$W15,1)&amp;"/100 — brief wants "&amp;Brand_Profile!$G$39&amp;", creator delivers "&amp;KOL_Database!$AJ$15&amp;"."</f>
      </c>
      <c r="U15" s="50">
        <f>"Personality "&amp;INDEX(Matching_Engine!$Y$6:$Y$95,$W15,1)&amp;"/100, tone vs style "&amp;INDEX(Matching_Engine!$Z$6:$Z$95,$W15,1)&amp;"/100, values "&amp;INDEX(Matching_Engine!$AA$6:$AA$95,$W15,1)&amp;"/100, communication "&amp;INDEX(Matching_Engine!$AB$6:$AB$95,$W15,1)&amp;"/100 — a "&amp;Brand_Profile!$G$25&amp;" / "&amp;Brand_Profile!$G$28&amp;" brand against a "&amp;KOL_Database!$AK$15&amp;" creator."</f>
      </c>
      <c r="V15" s="50">
        <f>IF(INDEX(Matching_Engine!$AM$6:$AM$95,$W15,1)="None","No risk flag. ",INDEX(Matching_Engine!$AM$6:$AM$95,$W15,1)&amp;" risk flag. ")&amp;"Brand Safety "&amp;INDEX(Matching_Engine!$AK$6:$AK$95,$W15,1)&amp;"/100, competitor saturation "&amp;INDEX(Matching_Engine!$AL$6:$AL$95,$W15,1)&amp;"/100"&amp;IF(INDEX(Matching_Engine!$AL$6:$AL$95,$W15,1)&gt;=70," — high, so treat it as a consideration rather than an automatic exclusion.",".")</f>
      </c>
      <c r="W15" s="50">
        <f>MATCH(Brand_Profile!$B$4&amp;"|"&amp;KOL_Database!$A$15,Matching_Engine!$AZ$6:$AZ$95,0)</f>
      </c>
      <c r="X15" s="52">
        <f>INDEX(Matching_Engine!$N$6:$N$95,$W15,1)+0.006</f>
      </c>
      <c r="Y15" s="52">
        <f>INDEX(Matching_Engine!$S$6:$S$95,$W15,1)+0.005</f>
      </c>
      <c r="Z15" s="52">
        <f>INDEX(Matching_Engine!$X$6:$X$95,$W15,1)+0.004</f>
      </c>
      <c r="AA15" s="52">
        <f>INDEX(Matching_Engine!$AC$6:$AC$95,$W15,1)+0.003</f>
      </c>
      <c r="AB15" s="52">
        <f>INDEX(Matching_Engine!$AJ$6:$AJ$95,$W15,1)+0.002</f>
      </c>
      <c r="AC15" s="52">
        <f>INDEX(Matching_Engine!$AO$6:$AO$95,$W15,1)+0.001</f>
      </c>
    </row>
    <row r="16" spans="1:29" x14ac:dyDescent="0.25">
      <c r="A16" s="50">
        <f>KOL_Database!$A$16</f>
      </c>
      <c r="B16" s="50">
        <f>KOL_Database!$B$16</f>
      </c>
      <c r="C16" s="50">
        <f>KOL_Database!$C$16</f>
      </c>
      <c r="D16" s="50">
        <f>KOL_Database!$D$16</f>
      </c>
      <c r="E16" s="50">
        <f>KOL_Database!$E$16</f>
      </c>
      <c r="F16" s="51">
        <f>INDEX(Matching_Engine!$AP$6:$AP$95,$W16,1)</f>
      </c>
      <c r="G16" s="50">
        <f>INDEX(Matching_Engine!$AQ$6:$AQ$95,$W16,1)</f>
      </c>
      <c r="H16" s="50">
        <f>INDEX(Matching_Engine!$AS$6:$AS$95,$W16,1)</f>
      </c>
      <c r="I16" s="50">
        <f>"Strongest on "&amp;INDEX(Lookup_Lists!$AC$6:$AC$11,MATCH(LARGE($X16:$AC16,1),$X16:$AC16,0),1)&amp;" at "&amp;ROUND(LARGE($X16:$AC16,1),0)&amp;"/100. "&amp;"Audience overlap "&amp;INDEX(Matching_Engine!$S$6:$S$95,$W16,1)&amp;"/100 against the "&amp;Brand_Profile!$G$16&amp;" / "&amp;Brand_Profile!$G$17&amp;" target; "&amp;KOL_Database!$E$16&amp;" content against a "&amp;Brand_Profile!$G$10&amp;" brief. "&amp;"Final Brand Match "&amp;INDEX(Matching_Engine!$AP$6:$AP$95,$W16,1)&amp;"/100 ("&amp;INDEX(Matching_Engine!$AQ$6:$AQ$95,$W16,1)&amp;")."</f>
      </c>
      <c r="J16" s="50">
        <f>IFERROR(INDEX(Lookup_Lists!$AC$6:$AC$11,MATCH(LARGE($X16:$AC16,1),$X16:$AC16,0),1)&amp;" — "&amp;ROUND(LARGE($X16:$AC16,1),0)&amp;"/100","")</f>
      </c>
      <c r="K16" s="50">
        <f>IFERROR(INDEX(Lookup_Lists!$AC$6:$AC$11,MATCH(LARGE($X16:$AC16,2),$X16:$AC16,0),1)&amp;" — "&amp;ROUND(LARGE($X16:$AC16,2),0)&amp;"/100","")</f>
      </c>
      <c r="L16" s="50">
        <f>IFERROR(INDEX(Lookup_Lists!$AC$6:$AC$11,MATCH(LARGE($X16:$AC16,3),$X16:$AC16,0),1)&amp;" — "&amp;ROUND(LARGE($X16:$AC16,3),0)&amp;"/100","")</f>
      </c>
      <c r="M16" s="50">
        <f>IFERROR(IF(SMALL($X16:$AC16,1)&gt;=Lookup_Lists!$D$161,"No material gap — "&amp;INDEX(Lookup_Lists!$AC$6:$AC$11,MATCH(SMALL($X16:$AC16,1),$X16:$AC16,0),1)&amp;" at "&amp;ROUND(SMALL($X16:$AC16,1),0)&amp;"/100",INDEX(Lookup_Lists!$AC$6:$AC$11,MATCH(SMALL($X16:$AC16,1),$X16:$AC16,0),1)&amp;" only "&amp;ROUND(SMALL($X16:$AC16,1),0)&amp;"/100"),"")</f>
      </c>
      <c r="N16" s="50">
        <f>IFERROR(IF(SMALL($X16:$AC16,2)&gt;=Lookup_Lists!$D$161,"No material gap — "&amp;INDEX(Lookup_Lists!$AC$6:$AC$11,MATCH(SMALL($X16:$AC16,2),$X16:$AC16,0),1)&amp;" at "&amp;ROUND(SMALL($X16:$AC16,2),0)&amp;"/100",INDEX(Lookup_Lists!$AC$6:$AC$11,MATCH(SMALL($X16:$AC16,2),$X16:$AC16,0),1)&amp;" only "&amp;ROUND(SMALL($X16:$AC16,2),0)&amp;"/100"),"")</f>
      </c>
      <c r="O16" s="50">
        <f>IFERROR(IF(SMALL($X16:$AC16,3)&gt;=Lookup_Lists!$D$161,"No material gap — "&amp;INDEX(Lookup_Lists!$AC$6:$AC$11,MATCH(SMALL($X16:$AC16,3),$X16:$AC16,0),1)&amp;" at "&amp;ROUND(SMALL($X16:$AC16,3),0)&amp;"/100",INDEX(Lookup_Lists!$AC$6:$AC$11,MATCH(SMALL($X16:$AC16,3),$X16:$AC16,0),1)&amp;" only "&amp;ROUND(SMALL($X16:$AC16,3),0)&amp;"/100"),"")</f>
      </c>
      <c r="P16" s="50">
        <f>IF(INDEX(Matching_Engine!$AM$6:$AM$95,$W16,1)="None","No risk flag — competitor saturation "&amp;INDEX(Matching_Engine!$AL$6:$AL$95,$W16,1)&amp;"/100",INDEX(Matching_Engine!$AM$6:$AM$95,$W16,1)&amp;" risk flag — competitor saturation "&amp;INDEX(Matching_Engine!$AL$6:$AL$95,$W16,1)&amp;"/100")</f>
      </c>
      <c r="Q16" s="50">
        <f>INDEX(Matching_Engine!$AX$6:$AX$95,$W16,1)</f>
      </c>
      <c r="R16" s="50">
        <f>"Industry "&amp;INDEX(Matching_Engine!$K$6:$K$95,$W16,1)&amp;"/100, category "&amp;INDEX(Matching_Engine!$L$6:$L$95,$W16,1)&amp;"/100, keywords "&amp;INDEX(Matching_Engine!$M$6:$M$95,$W16,1)&amp;"/100 — a "&amp;Brand_Profile!$G$10&amp;" brief against a "&amp;KOL_Database!$E$16&amp;" / "&amp;KOL_Database!$F$16&amp;" creator."</f>
      </c>
      <c r="S16" s="50">
        <f>"Age "&amp;INDEX(Matching_Engine!$O$6:$O$95,$W16,1)&amp;"/100, gender "&amp;INDEX(Matching_Engine!$P$6:$P$95,$W16,1)&amp;"/100, location "&amp;INDEX(Matching_Engine!$Q$6:$Q$95,$W16,1)&amp;"/100, interests "&amp;INDEX(Matching_Engine!$R$6:$R$95,$W16,1)&amp;"/100. Weighted with priority on "&amp;Brand_Profile!$G$23&amp;"."</f>
      </c>
      <c r="T16" s="50">
        <f>"Category "&amp;INDEX(Matching_Engine!$T$6:$T$95,$W16,1)&amp;"/100, sub category "&amp;INDEX(Matching_Engine!$U$6:$U$95,$W16,1)&amp;"/100, topics "&amp;INDEX(Matching_Engine!$V$6:$V$95,$W16,1)&amp;"/100, style "&amp;INDEX(Matching_Engine!$W$6:$W$95,$W16,1)&amp;"/100 — brief wants "&amp;Brand_Profile!$G$39&amp;", creator delivers "&amp;KOL_Database!$AJ$16&amp;"."</f>
      </c>
      <c r="U16" s="50">
        <f>"Personality "&amp;INDEX(Matching_Engine!$Y$6:$Y$95,$W16,1)&amp;"/100, tone vs style "&amp;INDEX(Matching_Engine!$Z$6:$Z$95,$W16,1)&amp;"/100, values "&amp;INDEX(Matching_Engine!$AA$6:$AA$95,$W16,1)&amp;"/100, communication "&amp;INDEX(Matching_Engine!$AB$6:$AB$95,$W16,1)&amp;"/100 — a "&amp;Brand_Profile!$G$25&amp;" / "&amp;Brand_Profile!$G$28&amp;" brand against a "&amp;KOL_Database!$AK$16&amp;" creator."</f>
      </c>
      <c r="V16" s="50">
        <f>IF(INDEX(Matching_Engine!$AM$6:$AM$95,$W16,1)="None","No risk flag. ",INDEX(Matching_Engine!$AM$6:$AM$95,$W16,1)&amp;" risk flag. ")&amp;"Brand Safety "&amp;INDEX(Matching_Engine!$AK$6:$AK$95,$W16,1)&amp;"/100, competitor saturation "&amp;INDEX(Matching_Engine!$AL$6:$AL$95,$W16,1)&amp;"/100"&amp;IF(INDEX(Matching_Engine!$AL$6:$AL$95,$W16,1)&gt;=70," — high, so treat it as a consideration rather than an automatic exclusion.",".")</f>
      </c>
      <c r="W16" s="50">
        <f>MATCH(Brand_Profile!$B$4&amp;"|"&amp;KOL_Database!$A$16,Matching_Engine!$AZ$6:$AZ$95,0)</f>
      </c>
      <c r="X16" s="52">
        <f>INDEX(Matching_Engine!$N$6:$N$95,$W16,1)+0.006</f>
      </c>
      <c r="Y16" s="52">
        <f>INDEX(Matching_Engine!$S$6:$S$95,$W16,1)+0.005</f>
      </c>
      <c r="Z16" s="52">
        <f>INDEX(Matching_Engine!$X$6:$X$95,$W16,1)+0.004</f>
      </c>
      <c r="AA16" s="52">
        <f>INDEX(Matching_Engine!$AC$6:$AC$95,$W16,1)+0.003</f>
      </c>
      <c r="AB16" s="52">
        <f>INDEX(Matching_Engine!$AJ$6:$AJ$95,$W16,1)+0.002</f>
      </c>
      <c r="AC16" s="52">
        <f>INDEX(Matching_Engine!$AO$6:$AO$95,$W16,1)+0.001</f>
      </c>
    </row>
    <row r="17" spans="1:29" x14ac:dyDescent="0.25">
      <c r="A17" s="50">
        <f>KOL_Database!$A$17</f>
      </c>
      <c r="B17" s="50">
        <f>KOL_Database!$B$17</f>
      </c>
      <c r="C17" s="50">
        <f>KOL_Database!$C$17</f>
      </c>
      <c r="D17" s="50">
        <f>KOL_Database!$D$17</f>
      </c>
      <c r="E17" s="50">
        <f>KOL_Database!$E$17</f>
      </c>
      <c r="F17" s="51">
        <f>INDEX(Matching_Engine!$AP$6:$AP$95,$W17,1)</f>
      </c>
      <c r="G17" s="50">
        <f>INDEX(Matching_Engine!$AQ$6:$AQ$95,$W17,1)</f>
      </c>
      <c r="H17" s="50">
        <f>INDEX(Matching_Engine!$AS$6:$AS$95,$W17,1)</f>
      </c>
      <c r="I17" s="50">
        <f>"Strongest on "&amp;INDEX(Lookup_Lists!$AC$6:$AC$11,MATCH(LARGE($X17:$AC17,1),$X17:$AC17,0),1)&amp;" at "&amp;ROUND(LARGE($X17:$AC17,1),0)&amp;"/100. "&amp;"Audience overlap "&amp;INDEX(Matching_Engine!$S$6:$S$95,$W17,1)&amp;"/100 against the "&amp;Brand_Profile!$G$16&amp;" / "&amp;Brand_Profile!$G$17&amp;" target; "&amp;KOL_Database!$E$17&amp;" content against a "&amp;Brand_Profile!$G$10&amp;" brief. "&amp;"Final Brand Match "&amp;INDEX(Matching_Engine!$AP$6:$AP$95,$W17,1)&amp;"/100 ("&amp;INDEX(Matching_Engine!$AQ$6:$AQ$95,$W17,1)&amp;")."</f>
      </c>
      <c r="J17" s="50">
        <f>IFERROR(INDEX(Lookup_Lists!$AC$6:$AC$11,MATCH(LARGE($X17:$AC17,1),$X17:$AC17,0),1)&amp;" — "&amp;ROUND(LARGE($X17:$AC17,1),0)&amp;"/100","")</f>
      </c>
      <c r="K17" s="50">
        <f>IFERROR(INDEX(Lookup_Lists!$AC$6:$AC$11,MATCH(LARGE($X17:$AC17,2),$X17:$AC17,0),1)&amp;" — "&amp;ROUND(LARGE($X17:$AC17,2),0)&amp;"/100","")</f>
      </c>
      <c r="L17" s="50">
        <f>IFERROR(INDEX(Lookup_Lists!$AC$6:$AC$11,MATCH(LARGE($X17:$AC17,3),$X17:$AC17,0),1)&amp;" — "&amp;ROUND(LARGE($X17:$AC17,3),0)&amp;"/100","")</f>
      </c>
      <c r="M17" s="50">
        <f>IFERROR(IF(SMALL($X17:$AC17,1)&gt;=Lookup_Lists!$D$161,"No material gap — "&amp;INDEX(Lookup_Lists!$AC$6:$AC$11,MATCH(SMALL($X17:$AC17,1),$X17:$AC17,0),1)&amp;" at "&amp;ROUND(SMALL($X17:$AC17,1),0)&amp;"/100",INDEX(Lookup_Lists!$AC$6:$AC$11,MATCH(SMALL($X17:$AC17,1),$X17:$AC17,0),1)&amp;" only "&amp;ROUND(SMALL($X17:$AC17,1),0)&amp;"/100"),"")</f>
      </c>
      <c r="N17" s="50">
        <f>IFERROR(IF(SMALL($X17:$AC17,2)&gt;=Lookup_Lists!$D$161,"No material gap — "&amp;INDEX(Lookup_Lists!$AC$6:$AC$11,MATCH(SMALL($X17:$AC17,2),$X17:$AC17,0),1)&amp;" at "&amp;ROUND(SMALL($X17:$AC17,2),0)&amp;"/100",INDEX(Lookup_Lists!$AC$6:$AC$11,MATCH(SMALL($X17:$AC17,2),$X17:$AC17,0),1)&amp;" only "&amp;ROUND(SMALL($X17:$AC17,2),0)&amp;"/100"),"")</f>
      </c>
      <c r="O17" s="50">
        <f>IFERROR(IF(SMALL($X17:$AC17,3)&gt;=Lookup_Lists!$D$161,"No material gap — "&amp;INDEX(Lookup_Lists!$AC$6:$AC$11,MATCH(SMALL($X17:$AC17,3),$X17:$AC17,0),1)&amp;" at "&amp;ROUND(SMALL($X17:$AC17,3),0)&amp;"/100",INDEX(Lookup_Lists!$AC$6:$AC$11,MATCH(SMALL($X17:$AC17,3),$X17:$AC17,0),1)&amp;" only "&amp;ROUND(SMALL($X17:$AC17,3),0)&amp;"/100"),"")</f>
      </c>
      <c r="P17" s="50">
        <f>IF(INDEX(Matching_Engine!$AM$6:$AM$95,$W17,1)="None","No risk flag — competitor saturation "&amp;INDEX(Matching_Engine!$AL$6:$AL$95,$W17,1)&amp;"/100",INDEX(Matching_Engine!$AM$6:$AM$95,$W17,1)&amp;" risk flag — competitor saturation "&amp;INDEX(Matching_Engine!$AL$6:$AL$95,$W17,1)&amp;"/100")</f>
      </c>
      <c r="Q17" s="50">
        <f>INDEX(Matching_Engine!$AX$6:$AX$95,$W17,1)</f>
      </c>
      <c r="R17" s="50">
        <f>"Industry "&amp;INDEX(Matching_Engine!$K$6:$K$95,$W17,1)&amp;"/100, category "&amp;INDEX(Matching_Engine!$L$6:$L$95,$W17,1)&amp;"/100, keywords "&amp;INDEX(Matching_Engine!$M$6:$M$95,$W17,1)&amp;"/100 — a "&amp;Brand_Profile!$G$10&amp;" brief against a "&amp;KOL_Database!$E$17&amp;" / "&amp;KOL_Database!$F$17&amp;" creator."</f>
      </c>
      <c r="S17" s="50">
        <f>"Age "&amp;INDEX(Matching_Engine!$O$6:$O$95,$W17,1)&amp;"/100, gender "&amp;INDEX(Matching_Engine!$P$6:$P$95,$W17,1)&amp;"/100, location "&amp;INDEX(Matching_Engine!$Q$6:$Q$95,$W17,1)&amp;"/100, interests "&amp;INDEX(Matching_Engine!$R$6:$R$95,$W17,1)&amp;"/100. Weighted with priority on "&amp;Brand_Profile!$G$23&amp;"."</f>
      </c>
      <c r="T17" s="50">
        <f>"Category "&amp;INDEX(Matching_Engine!$T$6:$T$95,$W17,1)&amp;"/100, sub category "&amp;INDEX(Matching_Engine!$U$6:$U$95,$W17,1)&amp;"/100, topics "&amp;INDEX(Matching_Engine!$V$6:$V$95,$W17,1)&amp;"/100, style "&amp;INDEX(Matching_Engine!$W$6:$W$95,$W17,1)&amp;"/100 — brief wants "&amp;Brand_Profile!$G$39&amp;", creator delivers "&amp;KOL_Database!$AJ$17&amp;"."</f>
      </c>
      <c r="U17" s="50">
        <f>"Personality "&amp;INDEX(Matching_Engine!$Y$6:$Y$95,$W17,1)&amp;"/100, tone vs style "&amp;INDEX(Matching_Engine!$Z$6:$Z$95,$W17,1)&amp;"/100, values "&amp;INDEX(Matching_Engine!$AA$6:$AA$95,$W17,1)&amp;"/100, communication "&amp;INDEX(Matching_Engine!$AB$6:$AB$95,$W17,1)&amp;"/100 — a "&amp;Brand_Profile!$G$25&amp;" / "&amp;Brand_Profile!$G$28&amp;" brand against a "&amp;KOL_Database!$AK$17&amp;" creator."</f>
      </c>
      <c r="V17" s="50">
        <f>IF(INDEX(Matching_Engine!$AM$6:$AM$95,$W17,1)="None","No risk flag. ",INDEX(Matching_Engine!$AM$6:$AM$95,$W17,1)&amp;" risk flag. ")&amp;"Brand Safety "&amp;INDEX(Matching_Engine!$AK$6:$AK$95,$W17,1)&amp;"/100, competitor saturation "&amp;INDEX(Matching_Engine!$AL$6:$AL$95,$W17,1)&amp;"/100"&amp;IF(INDEX(Matching_Engine!$AL$6:$AL$95,$W17,1)&gt;=70," — high, so treat it as a consideration rather than an automatic exclusion.",".")</f>
      </c>
      <c r="W17" s="50">
        <f>MATCH(Brand_Profile!$B$4&amp;"|"&amp;KOL_Database!$A$17,Matching_Engine!$AZ$6:$AZ$95,0)</f>
      </c>
      <c r="X17" s="52">
        <f>INDEX(Matching_Engine!$N$6:$N$95,$W17,1)+0.006</f>
      </c>
      <c r="Y17" s="52">
        <f>INDEX(Matching_Engine!$S$6:$S$95,$W17,1)+0.005</f>
      </c>
      <c r="Z17" s="52">
        <f>INDEX(Matching_Engine!$X$6:$X$95,$W17,1)+0.004</f>
      </c>
      <c r="AA17" s="52">
        <f>INDEX(Matching_Engine!$AC$6:$AC$95,$W17,1)+0.003</f>
      </c>
      <c r="AB17" s="52">
        <f>INDEX(Matching_Engine!$AJ$6:$AJ$95,$W17,1)+0.002</f>
      </c>
      <c r="AC17" s="52">
        <f>INDEX(Matching_Engine!$AO$6:$AO$95,$W17,1)+0.001</f>
      </c>
    </row>
    <row r="18" spans="1:29" x14ac:dyDescent="0.25">
      <c r="A18" s="50">
        <f>KOL_Database!$A$18</f>
      </c>
      <c r="B18" s="50">
        <f>KOL_Database!$B$18</f>
      </c>
      <c r="C18" s="50">
        <f>KOL_Database!$C$18</f>
      </c>
      <c r="D18" s="50">
        <f>KOL_Database!$D$18</f>
      </c>
      <c r="E18" s="50">
        <f>KOL_Database!$E$18</f>
      </c>
      <c r="F18" s="51">
        <f>INDEX(Matching_Engine!$AP$6:$AP$95,$W18,1)</f>
      </c>
      <c r="G18" s="50">
        <f>INDEX(Matching_Engine!$AQ$6:$AQ$95,$W18,1)</f>
      </c>
      <c r="H18" s="50">
        <f>INDEX(Matching_Engine!$AS$6:$AS$95,$W18,1)</f>
      </c>
      <c r="I18" s="50">
        <f>"Strongest on "&amp;INDEX(Lookup_Lists!$AC$6:$AC$11,MATCH(LARGE($X18:$AC18,1),$X18:$AC18,0),1)&amp;" at "&amp;ROUND(LARGE($X18:$AC18,1),0)&amp;"/100. "&amp;"Audience overlap "&amp;INDEX(Matching_Engine!$S$6:$S$95,$W18,1)&amp;"/100 against the "&amp;Brand_Profile!$G$16&amp;" / "&amp;Brand_Profile!$G$17&amp;" target; "&amp;KOL_Database!$E$18&amp;" content against a "&amp;Brand_Profile!$G$10&amp;" brief. "&amp;"Final Brand Match "&amp;INDEX(Matching_Engine!$AP$6:$AP$95,$W18,1)&amp;"/100 ("&amp;INDEX(Matching_Engine!$AQ$6:$AQ$95,$W18,1)&amp;")."</f>
      </c>
      <c r="J18" s="50">
        <f>IFERROR(INDEX(Lookup_Lists!$AC$6:$AC$11,MATCH(LARGE($X18:$AC18,1),$X18:$AC18,0),1)&amp;" — "&amp;ROUND(LARGE($X18:$AC18,1),0)&amp;"/100","")</f>
      </c>
      <c r="K18" s="50">
        <f>IFERROR(INDEX(Lookup_Lists!$AC$6:$AC$11,MATCH(LARGE($X18:$AC18,2),$X18:$AC18,0),1)&amp;" — "&amp;ROUND(LARGE($X18:$AC18,2),0)&amp;"/100","")</f>
      </c>
      <c r="L18" s="50">
        <f>IFERROR(INDEX(Lookup_Lists!$AC$6:$AC$11,MATCH(LARGE($X18:$AC18,3),$X18:$AC18,0),1)&amp;" — "&amp;ROUND(LARGE($X18:$AC18,3),0)&amp;"/100","")</f>
      </c>
      <c r="M18" s="50">
        <f>IFERROR(IF(SMALL($X18:$AC18,1)&gt;=Lookup_Lists!$D$161,"No material gap — "&amp;INDEX(Lookup_Lists!$AC$6:$AC$11,MATCH(SMALL($X18:$AC18,1),$X18:$AC18,0),1)&amp;" at "&amp;ROUND(SMALL($X18:$AC18,1),0)&amp;"/100",INDEX(Lookup_Lists!$AC$6:$AC$11,MATCH(SMALL($X18:$AC18,1),$X18:$AC18,0),1)&amp;" only "&amp;ROUND(SMALL($X18:$AC18,1),0)&amp;"/100"),"")</f>
      </c>
      <c r="N18" s="50">
        <f>IFERROR(IF(SMALL($X18:$AC18,2)&gt;=Lookup_Lists!$D$161,"No material gap — "&amp;INDEX(Lookup_Lists!$AC$6:$AC$11,MATCH(SMALL($X18:$AC18,2),$X18:$AC18,0),1)&amp;" at "&amp;ROUND(SMALL($X18:$AC18,2),0)&amp;"/100",INDEX(Lookup_Lists!$AC$6:$AC$11,MATCH(SMALL($X18:$AC18,2),$X18:$AC18,0),1)&amp;" only "&amp;ROUND(SMALL($X18:$AC18,2),0)&amp;"/100"),"")</f>
      </c>
      <c r="O18" s="50">
        <f>IFERROR(IF(SMALL($X18:$AC18,3)&gt;=Lookup_Lists!$D$161,"No material gap — "&amp;INDEX(Lookup_Lists!$AC$6:$AC$11,MATCH(SMALL($X18:$AC18,3),$X18:$AC18,0),1)&amp;" at "&amp;ROUND(SMALL($X18:$AC18,3),0)&amp;"/100",INDEX(Lookup_Lists!$AC$6:$AC$11,MATCH(SMALL($X18:$AC18,3),$X18:$AC18,0),1)&amp;" only "&amp;ROUND(SMALL($X18:$AC18,3),0)&amp;"/100"),"")</f>
      </c>
      <c r="P18" s="50">
        <f>IF(INDEX(Matching_Engine!$AM$6:$AM$95,$W18,1)="None","No risk flag — competitor saturation "&amp;INDEX(Matching_Engine!$AL$6:$AL$95,$W18,1)&amp;"/100",INDEX(Matching_Engine!$AM$6:$AM$95,$W18,1)&amp;" risk flag — competitor saturation "&amp;INDEX(Matching_Engine!$AL$6:$AL$95,$W18,1)&amp;"/100")</f>
      </c>
      <c r="Q18" s="50">
        <f>INDEX(Matching_Engine!$AX$6:$AX$95,$W18,1)</f>
      </c>
      <c r="R18" s="50">
        <f>"Industry "&amp;INDEX(Matching_Engine!$K$6:$K$95,$W18,1)&amp;"/100, category "&amp;INDEX(Matching_Engine!$L$6:$L$95,$W18,1)&amp;"/100, keywords "&amp;INDEX(Matching_Engine!$M$6:$M$95,$W18,1)&amp;"/100 — a "&amp;Brand_Profile!$G$10&amp;" brief against a "&amp;KOL_Database!$E$18&amp;" / "&amp;KOL_Database!$F$18&amp;" creator."</f>
      </c>
      <c r="S18" s="50">
        <f>"Age "&amp;INDEX(Matching_Engine!$O$6:$O$95,$W18,1)&amp;"/100, gender "&amp;INDEX(Matching_Engine!$P$6:$P$95,$W18,1)&amp;"/100, location "&amp;INDEX(Matching_Engine!$Q$6:$Q$95,$W18,1)&amp;"/100, interests "&amp;INDEX(Matching_Engine!$R$6:$R$95,$W18,1)&amp;"/100. Weighted with priority on "&amp;Brand_Profile!$G$23&amp;"."</f>
      </c>
      <c r="T18" s="50">
        <f>"Category "&amp;INDEX(Matching_Engine!$T$6:$T$95,$W18,1)&amp;"/100, sub category "&amp;INDEX(Matching_Engine!$U$6:$U$95,$W18,1)&amp;"/100, topics "&amp;INDEX(Matching_Engine!$V$6:$V$95,$W18,1)&amp;"/100, style "&amp;INDEX(Matching_Engine!$W$6:$W$95,$W18,1)&amp;"/100 — brief wants "&amp;Brand_Profile!$G$39&amp;", creator delivers "&amp;KOL_Database!$AJ$18&amp;"."</f>
      </c>
      <c r="U18" s="50">
        <f>"Personality "&amp;INDEX(Matching_Engine!$Y$6:$Y$95,$W18,1)&amp;"/100, tone vs style "&amp;INDEX(Matching_Engine!$Z$6:$Z$95,$W18,1)&amp;"/100, values "&amp;INDEX(Matching_Engine!$AA$6:$AA$95,$W18,1)&amp;"/100, communication "&amp;INDEX(Matching_Engine!$AB$6:$AB$95,$W18,1)&amp;"/100 — a "&amp;Brand_Profile!$G$25&amp;" / "&amp;Brand_Profile!$G$28&amp;" brand against a "&amp;KOL_Database!$AK$18&amp;" creator."</f>
      </c>
      <c r="V18" s="50">
        <f>IF(INDEX(Matching_Engine!$AM$6:$AM$95,$W18,1)="None","No risk flag. ",INDEX(Matching_Engine!$AM$6:$AM$95,$W18,1)&amp;" risk flag. ")&amp;"Brand Safety "&amp;INDEX(Matching_Engine!$AK$6:$AK$95,$W18,1)&amp;"/100, competitor saturation "&amp;INDEX(Matching_Engine!$AL$6:$AL$95,$W18,1)&amp;"/100"&amp;IF(INDEX(Matching_Engine!$AL$6:$AL$95,$W18,1)&gt;=70," — high, so treat it as a consideration rather than an automatic exclusion.",".")</f>
      </c>
      <c r="W18" s="50">
        <f>MATCH(Brand_Profile!$B$4&amp;"|"&amp;KOL_Database!$A$18,Matching_Engine!$AZ$6:$AZ$95,0)</f>
      </c>
      <c r="X18" s="52">
        <f>INDEX(Matching_Engine!$N$6:$N$95,$W18,1)+0.006</f>
      </c>
      <c r="Y18" s="52">
        <f>INDEX(Matching_Engine!$S$6:$S$95,$W18,1)+0.005</f>
      </c>
      <c r="Z18" s="52">
        <f>INDEX(Matching_Engine!$X$6:$X$95,$W18,1)+0.004</f>
      </c>
      <c r="AA18" s="52">
        <f>INDEX(Matching_Engine!$AC$6:$AC$95,$W18,1)+0.003</f>
      </c>
      <c r="AB18" s="52">
        <f>INDEX(Matching_Engine!$AJ$6:$AJ$95,$W18,1)+0.002</f>
      </c>
      <c r="AC18" s="52">
        <f>INDEX(Matching_Engine!$AO$6:$AO$95,$W18,1)+0.001</f>
      </c>
    </row>
    <row r="19" spans="1:29" x14ac:dyDescent="0.25">
      <c r="A19" s="50">
        <f>KOL_Database!$A$19</f>
      </c>
      <c r="B19" s="50">
        <f>KOL_Database!$B$19</f>
      </c>
      <c r="C19" s="50">
        <f>KOL_Database!$C$19</f>
      </c>
      <c r="D19" s="50">
        <f>KOL_Database!$D$19</f>
      </c>
      <c r="E19" s="50">
        <f>KOL_Database!$E$19</f>
      </c>
      <c r="F19" s="51">
        <f>INDEX(Matching_Engine!$AP$6:$AP$95,$W19,1)</f>
      </c>
      <c r="G19" s="50">
        <f>INDEX(Matching_Engine!$AQ$6:$AQ$95,$W19,1)</f>
      </c>
      <c r="H19" s="50">
        <f>INDEX(Matching_Engine!$AS$6:$AS$95,$W19,1)</f>
      </c>
      <c r="I19" s="50">
        <f>"Strongest on "&amp;INDEX(Lookup_Lists!$AC$6:$AC$11,MATCH(LARGE($X19:$AC19,1),$X19:$AC19,0),1)&amp;" at "&amp;ROUND(LARGE($X19:$AC19,1),0)&amp;"/100. "&amp;"Audience overlap "&amp;INDEX(Matching_Engine!$S$6:$S$95,$W19,1)&amp;"/100 against the "&amp;Brand_Profile!$G$16&amp;" / "&amp;Brand_Profile!$G$17&amp;" target; "&amp;KOL_Database!$E$19&amp;" content against a "&amp;Brand_Profile!$G$10&amp;" brief. "&amp;"Final Brand Match "&amp;INDEX(Matching_Engine!$AP$6:$AP$95,$W19,1)&amp;"/100 ("&amp;INDEX(Matching_Engine!$AQ$6:$AQ$95,$W19,1)&amp;")."</f>
      </c>
      <c r="J19" s="50">
        <f>IFERROR(INDEX(Lookup_Lists!$AC$6:$AC$11,MATCH(LARGE($X19:$AC19,1),$X19:$AC19,0),1)&amp;" — "&amp;ROUND(LARGE($X19:$AC19,1),0)&amp;"/100","")</f>
      </c>
      <c r="K19" s="50">
        <f>IFERROR(INDEX(Lookup_Lists!$AC$6:$AC$11,MATCH(LARGE($X19:$AC19,2),$X19:$AC19,0),1)&amp;" — "&amp;ROUND(LARGE($X19:$AC19,2),0)&amp;"/100","")</f>
      </c>
      <c r="L19" s="50">
        <f>IFERROR(INDEX(Lookup_Lists!$AC$6:$AC$11,MATCH(LARGE($X19:$AC19,3),$X19:$AC19,0),1)&amp;" — "&amp;ROUND(LARGE($X19:$AC19,3),0)&amp;"/100","")</f>
      </c>
      <c r="M19" s="50">
        <f>IFERROR(IF(SMALL($X19:$AC19,1)&gt;=Lookup_Lists!$D$161,"No material gap — "&amp;INDEX(Lookup_Lists!$AC$6:$AC$11,MATCH(SMALL($X19:$AC19,1),$X19:$AC19,0),1)&amp;" at "&amp;ROUND(SMALL($X19:$AC19,1),0)&amp;"/100",INDEX(Lookup_Lists!$AC$6:$AC$11,MATCH(SMALL($X19:$AC19,1),$X19:$AC19,0),1)&amp;" only "&amp;ROUND(SMALL($X19:$AC19,1),0)&amp;"/100"),"")</f>
      </c>
      <c r="N19" s="50">
        <f>IFERROR(IF(SMALL($X19:$AC19,2)&gt;=Lookup_Lists!$D$161,"No material gap — "&amp;INDEX(Lookup_Lists!$AC$6:$AC$11,MATCH(SMALL($X19:$AC19,2),$X19:$AC19,0),1)&amp;" at "&amp;ROUND(SMALL($X19:$AC19,2),0)&amp;"/100",INDEX(Lookup_Lists!$AC$6:$AC$11,MATCH(SMALL($X19:$AC19,2),$X19:$AC19,0),1)&amp;" only "&amp;ROUND(SMALL($X19:$AC19,2),0)&amp;"/100"),"")</f>
      </c>
      <c r="O19" s="50">
        <f>IFERROR(IF(SMALL($X19:$AC19,3)&gt;=Lookup_Lists!$D$161,"No material gap — "&amp;INDEX(Lookup_Lists!$AC$6:$AC$11,MATCH(SMALL($X19:$AC19,3),$X19:$AC19,0),1)&amp;" at "&amp;ROUND(SMALL($X19:$AC19,3),0)&amp;"/100",INDEX(Lookup_Lists!$AC$6:$AC$11,MATCH(SMALL($X19:$AC19,3),$X19:$AC19,0),1)&amp;" only "&amp;ROUND(SMALL($X19:$AC19,3),0)&amp;"/100"),"")</f>
      </c>
      <c r="P19" s="50">
        <f>IF(INDEX(Matching_Engine!$AM$6:$AM$95,$W19,1)="None","No risk flag — competitor saturation "&amp;INDEX(Matching_Engine!$AL$6:$AL$95,$W19,1)&amp;"/100",INDEX(Matching_Engine!$AM$6:$AM$95,$W19,1)&amp;" risk flag — competitor saturation "&amp;INDEX(Matching_Engine!$AL$6:$AL$95,$W19,1)&amp;"/100")</f>
      </c>
      <c r="Q19" s="50">
        <f>INDEX(Matching_Engine!$AX$6:$AX$95,$W19,1)</f>
      </c>
      <c r="R19" s="50">
        <f>"Industry "&amp;INDEX(Matching_Engine!$K$6:$K$95,$W19,1)&amp;"/100, category "&amp;INDEX(Matching_Engine!$L$6:$L$95,$W19,1)&amp;"/100, keywords "&amp;INDEX(Matching_Engine!$M$6:$M$95,$W19,1)&amp;"/100 — a "&amp;Brand_Profile!$G$10&amp;" brief against a "&amp;KOL_Database!$E$19&amp;" / "&amp;KOL_Database!$F$19&amp;" creator."</f>
      </c>
      <c r="S19" s="50">
        <f>"Age "&amp;INDEX(Matching_Engine!$O$6:$O$95,$W19,1)&amp;"/100, gender "&amp;INDEX(Matching_Engine!$P$6:$P$95,$W19,1)&amp;"/100, location "&amp;INDEX(Matching_Engine!$Q$6:$Q$95,$W19,1)&amp;"/100, interests "&amp;INDEX(Matching_Engine!$R$6:$R$95,$W19,1)&amp;"/100. Weighted with priority on "&amp;Brand_Profile!$G$23&amp;"."</f>
      </c>
      <c r="T19" s="50">
        <f>"Category "&amp;INDEX(Matching_Engine!$T$6:$T$95,$W19,1)&amp;"/100, sub category "&amp;INDEX(Matching_Engine!$U$6:$U$95,$W19,1)&amp;"/100, topics "&amp;INDEX(Matching_Engine!$V$6:$V$95,$W19,1)&amp;"/100, style "&amp;INDEX(Matching_Engine!$W$6:$W$95,$W19,1)&amp;"/100 — brief wants "&amp;Brand_Profile!$G$39&amp;", creator delivers "&amp;KOL_Database!$AJ$19&amp;"."</f>
      </c>
      <c r="U19" s="50">
        <f>"Personality "&amp;INDEX(Matching_Engine!$Y$6:$Y$95,$W19,1)&amp;"/100, tone vs style "&amp;INDEX(Matching_Engine!$Z$6:$Z$95,$W19,1)&amp;"/100, values "&amp;INDEX(Matching_Engine!$AA$6:$AA$95,$W19,1)&amp;"/100, communication "&amp;INDEX(Matching_Engine!$AB$6:$AB$95,$W19,1)&amp;"/100 — a "&amp;Brand_Profile!$G$25&amp;" / "&amp;Brand_Profile!$G$28&amp;" brand against a "&amp;KOL_Database!$AK$19&amp;" creator."</f>
      </c>
      <c r="V19" s="50">
        <f>IF(INDEX(Matching_Engine!$AM$6:$AM$95,$W19,1)="None","No risk flag. ",INDEX(Matching_Engine!$AM$6:$AM$95,$W19,1)&amp;" risk flag. ")&amp;"Brand Safety "&amp;INDEX(Matching_Engine!$AK$6:$AK$95,$W19,1)&amp;"/100, competitor saturation "&amp;INDEX(Matching_Engine!$AL$6:$AL$95,$W19,1)&amp;"/100"&amp;IF(INDEX(Matching_Engine!$AL$6:$AL$95,$W19,1)&gt;=70," — high, so treat it as a consideration rather than an automatic exclusion.",".")</f>
      </c>
      <c r="W19" s="50">
        <f>MATCH(Brand_Profile!$B$4&amp;"|"&amp;KOL_Database!$A$19,Matching_Engine!$AZ$6:$AZ$95,0)</f>
      </c>
      <c r="X19" s="52">
        <f>INDEX(Matching_Engine!$N$6:$N$95,$W19,1)+0.006</f>
      </c>
      <c r="Y19" s="52">
        <f>INDEX(Matching_Engine!$S$6:$S$95,$W19,1)+0.005</f>
      </c>
      <c r="Z19" s="52">
        <f>INDEX(Matching_Engine!$X$6:$X$95,$W19,1)+0.004</f>
      </c>
      <c r="AA19" s="52">
        <f>INDEX(Matching_Engine!$AC$6:$AC$95,$W19,1)+0.003</f>
      </c>
      <c r="AB19" s="52">
        <f>INDEX(Matching_Engine!$AJ$6:$AJ$95,$W19,1)+0.002</f>
      </c>
      <c r="AC19" s="52">
        <f>INDEX(Matching_Engine!$AO$6:$AO$95,$W19,1)+0.001</f>
      </c>
    </row>
    <row r="20" spans="1:29" x14ac:dyDescent="0.25">
      <c r="A20" s="50">
        <f>KOL_Database!$A$20</f>
      </c>
      <c r="B20" s="50">
        <f>KOL_Database!$B$20</f>
      </c>
      <c r="C20" s="50">
        <f>KOL_Database!$C$20</f>
      </c>
      <c r="D20" s="50">
        <f>KOL_Database!$D$20</f>
      </c>
      <c r="E20" s="50">
        <f>KOL_Database!$E$20</f>
      </c>
      <c r="F20" s="51">
        <f>INDEX(Matching_Engine!$AP$6:$AP$95,$W20,1)</f>
      </c>
      <c r="G20" s="50">
        <f>INDEX(Matching_Engine!$AQ$6:$AQ$95,$W20,1)</f>
      </c>
      <c r="H20" s="50">
        <f>INDEX(Matching_Engine!$AS$6:$AS$95,$W20,1)</f>
      </c>
      <c r="I20" s="50">
        <f>"Strongest on "&amp;INDEX(Lookup_Lists!$AC$6:$AC$11,MATCH(LARGE($X20:$AC20,1),$X20:$AC20,0),1)&amp;" at "&amp;ROUND(LARGE($X20:$AC20,1),0)&amp;"/100. "&amp;"Audience overlap "&amp;INDEX(Matching_Engine!$S$6:$S$95,$W20,1)&amp;"/100 against the "&amp;Brand_Profile!$G$16&amp;" / "&amp;Brand_Profile!$G$17&amp;" target; "&amp;KOL_Database!$E$20&amp;" content against a "&amp;Brand_Profile!$G$10&amp;" brief. "&amp;"Final Brand Match "&amp;INDEX(Matching_Engine!$AP$6:$AP$95,$W20,1)&amp;"/100 ("&amp;INDEX(Matching_Engine!$AQ$6:$AQ$95,$W20,1)&amp;")."</f>
      </c>
      <c r="J20" s="50">
        <f>IFERROR(INDEX(Lookup_Lists!$AC$6:$AC$11,MATCH(LARGE($X20:$AC20,1),$X20:$AC20,0),1)&amp;" — "&amp;ROUND(LARGE($X20:$AC20,1),0)&amp;"/100","")</f>
      </c>
      <c r="K20" s="50">
        <f>IFERROR(INDEX(Lookup_Lists!$AC$6:$AC$11,MATCH(LARGE($X20:$AC20,2),$X20:$AC20,0),1)&amp;" — "&amp;ROUND(LARGE($X20:$AC20,2),0)&amp;"/100","")</f>
      </c>
      <c r="L20" s="50">
        <f>IFERROR(INDEX(Lookup_Lists!$AC$6:$AC$11,MATCH(LARGE($X20:$AC20,3),$X20:$AC20,0),1)&amp;" — "&amp;ROUND(LARGE($X20:$AC20,3),0)&amp;"/100","")</f>
      </c>
      <c r="M20" s="50">
        <f>IFERROR(IF(SMALL($X20:$AC20,1)&gt;=Lookup_Lists!$D$161,"No material gap — "&amp;INDEX(Lookup_Lists!$AC$6:$AC$11,MATCH(SMALL($X20:$AC20,1),$X20:$AC20,0),1)&amp;" at "&amp;ROUND(SMALL($X20:$AC20,1),0)&amp;"/100",INDEX(Lookup_Lists!$AC$6:$AC$11,MATCH(SMALL($X20:$AC20,1),$X20:$AC20,0),1)&amp;" only "&amp;ROUND(SMALL($X20:$AC20,1),0)&amp;"/100"),"")</f>
      </c>
      <c r="N20" s="50">
        <f>IFERROR(IF(SMALL($X20:$AC20,2)&gt;=Lookup_Lists!$D$161,"No material gap — "&amp;INDEX(Lookup_Lists!$AC$6:$AC$11,MATCH(SMALL($X20:$AC20,2),$X20:$AC20,0),1)&amp;" at "&amp;ROUND(SMALL($X20:$AC20,2),0)&amp;"/100",INDEX(Lookup_Lists!$AC$6:$AC$11,MATCH(SMALL($X20:$AC20,2),$X20:$AC20,0),1)&amp;" only "&amp;ROUND(SMALL($X20:$AC20,2),0)&amp;"/100"),"")</f>
      </c>
      <c r="O20" s="50">
        <f>IFERROR(IF(SMALL($X20:$AC20,3)&gt;=Lookup_Lists!$D$161,"No material gap — "&amp;INDEX(Lookup_Lists!$AC$6:$AC$11,MATCH(SMALL($X20:$AC20,3),$X20:$AC20,0),1)&amp;" at "&amp;ROUND(SMALL($X20:$AC20,3),0)&amp;"/100",INDEX(Lookup_Lists!$AC$6:$AC$11,MATCH(SMALL($X20:$AC20,3),$X20:$AC20,0),1)&amp;" only "&amp;ROUND(SMALL($X20:$AC20,3),0)&amp;"/100"),"")</f>
      </c>
      <c r="P20" s="50">
        <f>IF(INDEX(Matching_Engine!$AM$6:$AM$95,$W20,1)="None","No risk flag — competitor saturation "&amp;INDEX(Matching_Engine!$AL$6:$AL$95,$W20,1)&amp;"/100",INDEX(Matching_Engine!$AM$6:$AM$95,$W20,1)&amp;" risk flag — competitor saturation "&amp;INDEX(Matching_Engine!$AL$6:$AL$95,$W20,1)&amp;"/100")</f>
      </c>
      <c r="Q20" s="50">
        <f>INDEX(Matching_Engine!$AX$6:$AX$95,$W20,1)</f>
      </c>
      <c r="R20" s="50">
        <f>"Industry "&amp;INDEX(Matching_Engine!$K$6:$K$95,$W20,1)&amp;"/100, category "&amp;INDEX(Matching_Engine!$L$6:$L$95,$W20,1)&amp;"/100, keywords "&amp;INDEX(Matching_Engine!$M$6:$M$95,$W20,1)&amp;"/100 — a "&amp;Brand_Profile!$G$10&amp;" brief against a "&amp;KOL_Database!$E$20&amp;" / "&amp;KOL_Database!$F$20&amp;" creator."</f>
      </c>
      <c r="S20" s="50">
        <f>"Age "&amp;INDEX(Matching_Engine!$O$6:$O$95,$W20,1)&amp;"/100, gender "&amp;INDEX(Matching_Engine!$P$6:$P$95,$W20,1)&amp;"/100, location "&amp;INDEX(Matching_Engine!$Q$6:$Q$95,$W20,1)&amp;"/100, interests "&amp;INDEX(Matching_Engine!$R$6:$R$95,$W20,1)&amp;"/100. Weighted with priority on "&amp;Brand_Profile!$G$23&amp;"."</f>
      </c>
      <c r="T20" s="50">
        <f>"Category "&amp;INDEX(Matching_Engine!$T$6:$T$95,$W20,1)&amp;"/100, sub category "&amp;INDEX(Matching_Engine!$U$6:$U$95,$W20,1)&amp;"/100, topics "&amp;INDEX(Matching_Engine!$V$6:$V$95,$W20,1)&amp;"/100, style "&amp;INDEX(Matching_Engine!$W$6:$W$95,$W20,1)&amp;"/100 — brief wants "&amp;Brand_Profile!$G$39&amp;", creator delivers "&amp;KOL_Database!$AJ$20&amp;"."</f>
      </c>
      <c r="U20" s="50">
        <f>"Personality "&amp;INDEX(Matching_Engine!$Y$6:$Y$95,$W20,1)&amp;"/100, tone vs style "&amp;INDEX(Matching_Engine!$Z$6:$Z$95,$W20,1)&amp;"/100, values "&amp;INDEX(Matching_Engine!$AA$6:$AA$95,$W20,1)&amp;"/100, communication "&amp;INDEX(Matching_Engine!$AB$6:$AB$95,$W20,1)&amp;"/100 — a "&amp;Brand_Profile!$G$25&amp;" / "&amp;Brand_Profile!$G$28&amp;" brand against a "&amp;KOL_Database!$AK$20&amp;" creator."</f>
      </c>
      <c r="V20" s="50">
        <f>IF(INDEX(Matching_Engine!$AM$6:$AM$95,$W20,1)="None","No risk flag. ",INDEX(Matching_Engine!$AM$6:$AM$95,$W20,1)&amp;" risk flag. ")&amp;"Brand Safety "&amp;INDEX(Matching_Engine!$AK$6:$AK$95,$W20,1)&amp;"/100, competitor saturation "&amp;INDEX(Matching_Engine!$AL$6:$AL$95,$W20,1)&amp;"/100"&amp;IF(INDEX(Matching_Engine!$AL$6:$AL$95,$W20,1)&gt;=70," — high, so treat it as a consideration rather than an automatic exclusion.",".")</f>
      </c>
      <c r="W20" s="50">
        <f>MATCH(Brand_Profile!$B$4&amp;"|"&amp;KOL_Database!$A$20,Matching_Engine!$AZ$6:$AZ$95,0)</f>
      </c>
      <c r="X20" s="52">
        <f>INDEX(Matching_Engine!$N$6:$N$95,$W20,1)+0.006</f>
      </c>
      <c r="Y20" s="52">
        <f>INDEX(Matching_Engine!$S$6:$S$95,$W20,1)+0.005</f>
      </c>
      <c r="Z20" s="52">
        <f>INDEX(Matching_Engine!$X$6:$X$95,$W20,1)+0.004</f>
      </c>
      <c r="AA20" s="52">
        <f>INDEX(Matching_Engine!$AC$6:$AC$95,$W20,1)+0.003</f>
      </c>
      <c r="AB20" s="52">
        <f>INDEX(Matching_Engine!$AJ$6:$AJ$95,$W20,1)+0.002</f>
      </c>
      <c r="AC20" s="52">
        <f>INDEX(Matching_Engine!$AO$6:$AO$95,$W20,1)+0.001</f>
      </c>
    </row>
    <row r="21" spans="1:29" x14ac:dyDescent="0.25">
      <c r="A21" s="50">
        <f>KOL_Database!$A$21</f>
      </c>
      <c r="B21" s="50">
        <f>KOL_Database!$B$21</f>
      </c>
      <c r="C21" s="50">
        <f>KOL_Database!$C$21</f>
      </c>
      <c r="D21" s="50">
        <f>KOL_Database!$D$21</f>
      </c>
      <c r="E21" s="50">
        <f>KOL_Database!$E$21</f>
      </c>
      <c r="F21" s="51">
        <f>INDEX(Matching_Engine!$AP$6:$AP$95,$W21,1)</f>
      </c>
      <c r="G21" s="50">
        <f>INDEX(Matching_Engine!$AQ$6:$AQ$95,$W21,1)</f>
      </c>
      <c r="H21" s="50">
        <f>INDEX(Matching_Engine!$AS$6:$AS$95,$W21,1)</f>
      </c>
      <c r="I21" s="50">
        <f>"Strongest on "&amp;INDEX(Lookup_Lists!$AC$6:$AC$11,MATCH(LARGE($X21:$AC21,1),$X21:$AC21,0),1)&amp;" at "&amp;ROUND(LARGE($X21:$AC21,1),0)&amp;"/100. "&amp;"Audience overlap "&amp;INDEX(Matching_Engine!$S$6:$S$95,$W21,1)&amp;"/100 against the "&amp;Brand_Profile!$G$16&amp;" / "&amp;Brand_Profile!$G$17&amp;" target; "&amp;KOL_Database!$E$21&amp;" content against a "&amp;Brand_Profile!$G$10&amp;" brief. "&amp;"Final Brand Match "&amp;INDEX(Matching_Engine!$AP$6:$AP$95,$W21,1)&amp;"/100 ("&amp;INDEX(Matching_Engine!$AQ$6:$AQ$95,$W21,1)&amp;")."</f>
      </c>
      <c r="J21" s="50">
        <f>IFERROR(INDEX(Lookup_Lists!$AC$6:$AC$11,MATCH(LARGE($X21:$AC21,1),$X21:$AC21,0),1)&amp;" — "&amp;ROUND(LARGE($X21:$AC21,1),0)&amp;"/100","")</f>
      </c>
      <c r="K21" s="50">
        <f>IFERROR(INDEX(Lookup_Lists!$AC$6:$AC$11,MATCH(LARGE($X21:$AC21,2),$X21:$AC21,0),1)&amp;" — "&amp;ROUND(LARGE($X21:$AC21,2),0)&amp;"/100","")</f>
      </c>
      <c r="L21" s="50">
        <f>IFERROR(INDEX(Lookup_Lists!$AC$6:$AC$11,MATCH(LARGE($X21:$AC21,3),$X21:$AC21,0),1)&amp;" — "&amp;ROUND(LARGE($X21:$AC21,3),0)&amp;"/100","")</f>
      </c>
      <c r="M21" s="50">
        <f>IFERROR(IF(SMALL($X21:$AC21,1)&gt;=Lookup_Lists!$D$161,"No material gap — "&amp;INDEX(Lookup_Lists!$AC$6:$AC$11,MATCH(SMALL($X21:$AC21,1),$X21:$AC21,0),1)&amp;" at "&amp;ROUND(SMALL($X21:$AC21,1),0)&amp;"/100",INDEX(Lookup_Lists!$AC$6:$AC$11,MATCH(SMALL($X21:$AC21,1),$X21:$AC21,0),1)&amp;" only "&amp;ROUND(SMALL($X21:$AC21,1),0)&amp;"/100"),"")</f>
      </c>
      <c r="N21" s="50">
        <f>IFERROR(IF(SMALL($X21:$AC21,2)&gt;=Lookup_Lists!$D$161,"No material gap — "&amp;INDEX(Lookup_Lists!$AC$6:$AC$11,MATCH(SMALL($X21:$AC21,2),$X21:$AC21,0),1)&amp;" at "&amp;ROUND(SMALL($X21:$AC21,2),0)&amp;"/100",INDEX(Lookup_Lists!$AC$6:$AC$11,MATCH(SMALL($X21:$AC21,2),$X21:$AC21,0),1)&amp;" only "&amp;ROUND(SMALL($X21:$AC21,2),0)&amp;"/100"),"")</f>
      </c>
      <c r="O21" s="50">
        <f>IFERROR(IF(SMALL($X21:$AC21,3)&gt;=Lookup_Lists!$D$161,"No material gap — "&amp;INDEX(Lookup_Lists!$AC$6:$AC$11,MATCH(SMALL($X21:$AC21,3),$X21:$AC21,0),1)&amp;" at "&amp;ROUND(SMALL($X21:$AC21,3),0)&amp;"/100",INDEX(Lookup_Lists!$AC$6:$AC$11,MATCH(SMALL($X21:$AC21,3),$X21:$AC21,0),1)&amp;" only "&amp;ROUND(SMALL($X21:$AC21,3),0)&amp;"/100"),"")</f>
      </c>
      <c r="P21" s="50">
        <f>IF(INDEX(Matching_Engine!$AM$6:$AM$95,$W21,1)="None","No risk flag — competitor saturation "&amp;INDEX(Matching_Engine!$AL$6:$AL$95,$W21,1)&amp;"/100",INDEX(Matching_Engine!$AM$6:$AM$95,$W21,1)&amp;" risk flag — competitor saturation "&amp;INDEX(Matching_Engine!$AL$6:$AL$95,$W21,1)&amp;"/100")</f>
      </c>
      <c r="Q21" s="50">
        <f>INDEX(Matching_Engine!$AX$6:$AX$95,$W21,1)</f>
      </c>
      <c r="R21" s="50">
        <f>"Industry "&amp;INDEX(Matching_Engine!$K$6:$K$95,$W21,1)&amp;"/100, category "&amp;INDEX(Matching_Engine!$L$6:$L$95,$W21,1)&amp;"/100, keywords "&amp;INDEX(Matching_Engine!$M$6:$M$95,$W21,1)&amp;"/100 — a "&amp;Brand_Profile!$G$10&amp;" brief against a "&amp;KOL_Database!$E$21&amp;" / "&amp;KOL_Database!$F$21&amp;" creator."</f>
      </c>
      <c r="S21" s="50">
        <f>"Age "&amp;INDEX(Matching_Engine!$O$6:$O$95,$W21,1)&amp;"/100, gender "&amp;INDEX(Matching_Engine!$P$6:$P$95,$W21,1)&amp;"/100, location "&amp;INDEX(Matching_Engine!$Q$6:$Q$95,$W21,1)&amp;"/100, interests "&amp;INDEX(Matching_Engine!$R$6:$R$95,$W21,1)&amp;"/100. Weighted with priority on "&amp;Brand_Profile!$G$23&amp;"."</f>
      </c>
      <c r="T21" s="50">
        <f>"Category "&amp;INDEX(Matching_Engine!$T$6:$T$95,$W21,1)&amp;"/100, sub category "&amp;INDEX(Matching_Engine!$U$6:$U$95,$W21,1)&amp;"/100, topics "&amp;INDEX(Matching_Engine!$V$6:$V$95,$W21,1)&amp;"/100, style "&amp;INDEX(Matching_Engine!$W$6:$W$95,$W21,1)&amp;"/100 — brief wants "&amp;Brand_Profile!$G$39&amp;", creator delivers "&amp;KOL_Database!$AJ$21&amp;"."</f>
      </c>
      <c r="U21" s="50">
        <f>"Personality "&amp;INDEX(Matching_Engine!$Y$6:$Y$95,$W21,1)&amp;"/100, tone vs style "&amp;INDEX(Matching_Engine!$Z$6:$Z$95,$W21,1)&amp;"/100, values "&amp;INDEX(Matching_Engine!$AA$6:$AA$95,$W21,1)&amp;"/100, communication "&amp;INDEX(Matching_Engine!$AB$6:$AB$95,$W21,1)&amp;"/100 — a "&amp;Brand_Profile!$G$25&amp;" / "&amp;Brand_Profile!$G$28&amp;" brand against a "&amp;KOL_Database!$AK$21&amp;" creator."</f>
      </c>
      <c r="V21" s="50">
        <f>IF(INDEX(Matching_Engine!$AM$6:$AM$95,$W21,1)="None","No risk flag. ",INDEX(Matching_Engine!$AM$6:$AM$95,$W21,1)&amp;" risk flag. ")&amp;"Brand Safety "&amp;INDEX(Matching_Engine!$AK$6:$AK$95,$W21,1)&amp;"/100, competitor saturation "&amp;INDEX(Matching_Engine!$AL$6:$AL$95,$W21,1)&amp;"/100"&amp;IF(INDEX(Matching_Engine!$AL$6:$AL$95,$W21,1)&gt;=70," — high, so treat it as a consideration rather than an automatic exclusion.",".")</f>
      </c>
      <c r="W21" s="50">
        <f>MATCH(Brand_Profile!$B$4&amp;"|"&amp;KOL_Database!$A$21,Matching_Engine!$AZ$6:$AZ$95,0)</f>
      </c>
      <c r="X21" s="52">
        <f>INDEX(Matching_Engine!$N$6:$N$95,$W21,1)+0.006</f>
      </c>
      <c r="Y21" s="52">
        <f>INDEX(Matching_Engine!$S$6:$S$95,$W21,1)+0.005</f>
      </c>
      <c r="Z21" s="52">
        <f>INDEX(Matching_Engine!$X$6:$X$95,$W21,1)+0.004</f>
      </c>
      <c r="AA21" s="52">
        <f>INDEX(Matching_Engine!$AC$6:$AC$95,$W21,1)+0.003</f>
      </c>
      <c r="AB21" s="52">
        <f>INDEX(Matching_Engine!$AJ$6:$AJ$95,$W21,1)+0.002</f>
      </c>
      <c r="AC21" s="52">
        <f>INDEX(Matching_Engine!$AO$6:$AO$95,$W21,1)+0.001</f>
      </c>
    </row>
    <row r="22" spans="1:29" x14ac:dyDescent="0.25">
      <c r="A22" s="50">
        <f>KOL_Database!$A$22</f>
      </c>
      <c r="B22" s="50">
        <f>KOL_Database!$B$22</f>
      </c>
      <c r="C22" s="50">
        <f>KOL_Database!$C$22</f>
      </c>
      <c r="D22" s="50">
        <f>KOL_Database!$D$22</f>
      </c>
      <c r="E22" s="50">
        <f>KOL_Database!$E$22</f>
      </c>
      <c r="F22" s="51">
        <f>INDEX(Matching_Engine!$AP$6:$AP$95,$W22,1)</f>
      </c>
      <c r="G22" s="50">
        <f>INDEX(Matching_Engine!$AQ$6:$AQ$95,$W22,1)</f>
      </c>
      <c r="H22" s="50">
        <f>INDEX(Matching_Engine!$AS$6:$AS$95,$W22,1)</f>
      </c>
      <c r="I22" s="50">
        <f>"Strongest on "&amp;INDEX(Lookup_Lists!$AC$6:$AC$11,MATCH(LARGE($X22:$AC22,1),$X22:$AC22,0),1)&amp;" at "&amp;ROUND(LARGE($X22:$AC22,1),0)&amp;"/100. "&amp;"Audience overlap "&amp;INDEX(Matching_Engine!$S$6:$S$95,$W22,1)&amp;"/100 against the "&amp;Brand_Profile!$G$16&amp;" / "&amp;Brand_Profile!$G$17&amp;" target; "&amp;KOL_Database!$E$22&amp;" content against a "&amp;Brand_Profile!$G$10&amp;" brief. "&amp;"Final Brand Match "&amp;INDEX(Matching_Engine!$AP$6:$AP$95,$W22,1)&amp;"/100 ("&amp;INDEX(Matching_Engine!$AQ$6:$AQ$95,$W22,1)&amp;")."</f>
      </c>
      <c r="J22" s="50">
        <f>IFERROR(INDEX(Lookup_Lists!$AC$6:$AC$11,MATCH(LARGE($X22:$AC22,1),$X22:$AC22,0),1)&amp;" — "&amp;ROUND(LARGE($X22:$AC22,1),0)&amp;"/100","")</f>
      </c>
      <c r="K22" s="50">
        <f>IFERROR(INDEX(Lookup_Lists!$AC$6:$AC$11,MATCH(LARGE($X22:$AC22,2),$X22:$AC22,0),1)&amp;" — "&amp;ROUND(LARGE($X22:$AC22,2),0)&amp;"/100","")</f>
      </c>
      <c r="L22" s="50">
        <f>IFERROR(INDEX(Lookup_Lists!$AC$6:$AC$11,MATCH(LARGE($X22:$AC22,3),$X22:$AC22,0),1)&amp;" — "&amp;ROUND(LARGE($X22:$AC22,3),0)&amp;"/100","")</f>
      </c>
      <c r="M22" s="50">
        <f>IFERROR(IF(SMALL($X22:$AC22,1)&gt;=Lookup_Lists!$D$161,"No material gap — "&amp;INDEX(Lookup_Lists!$AC$6:$AC$11,MATCH(SMALL($X22:$AC22,1),$X22:$AC22,0),1)&amp;" at "&amp;ROUND(SMALL($X22:$AC22,1),0)&amp;"/100",INDEX(Lookup_Lists!$AC$6:$AC$11,MATCH(SMALL($X22:$AC22,1),$X22:$AC22,0),1)&amp;" only "&amp;ROUND(SMALL($X22:$AC22,1),0)&amp;"/100"),"")</f>
      </c>
      <c r="N22" s="50">
        <f>IFERROR(IF(SMALL($X22:$AC22,2)&gt;=Lookup_Lists!$D$161,"No material gap — "&amp;INDEX(Lookup_Lists!$AC$6:$AC$11,MATCH(SMALL($X22:$AC22,2),$X22:$AC22,0),1)&amp;" at "&amp;ROUND(SMALL($X22:$AC22,2),0)&amp;"/100",INDEX(Lookup_Lists!$AC$6:$AC$11,MATCH(SMALL($X22:$AC22,2),$X22:$AC22,0),1)&amp;" only "&amp;ROUND(SMALL($X22:$AC22,2),0)&amp;"/100"),"")</f>
      </c>
      <c r="O22" s="50">
        <f>IFERROR(IF(SMALL($X22:$AC22,3)&gt;=Lookup_Lists!$D$161,"No material gap — "&amp;INDEX(Lookup_Lists!$AC$6:$AC$11,MATCH(SMALL($X22:$AC22,3),$X22:$AC22,0),1)&amp;" at "&amp;ROUND(SMALL($X22:$AC22,3),0)&amp;"/100",INDEX(Lookup_Lists!$AC$6:$AC$11,MATCH(SMALL($X22:$AC22,3),$X22:$AC22,0),1)&amp;" only "&amp;ROUND(SMALL($X22:$AC22,3),0)&amp;"/100"),"")</f>
      </c>
      <c r="P22" s="50">
        <f>IF(INDEX(Matching_Engine!$AM$6:$AM$95,$W22,1)="None","No risk flag — competitor saturation "&amp;INDEX(Matching_Engine!$AL$6:$AL$95,$W22,1)&amp;"/100",INDEX(Matching_Engine!$AM$6:$AM$95,$W22,1)&amp;" risk flag — competitor saturation "&amp;INDEX(Matching_Engine!$AL$6:$AL$95,$W22,1)&amp;"/100")</f>
      </c>
      <c r="Q22" s="50">
        <f>INDEX(Matching_Engine!$AX$6:$AX$95,$W22,1)</f>
      </c>
      <c r="R22" s="50">
        <f>"Industry "&amp;INDEX(Matching_Engine!$K$6:$K$95,$W22,1)&amp;"/100, category "&amp;INDEX(Matching_Engine!$L$6:$L$95,$W22,1)&amp;"/100, keywords "&amp;INDEX(Matching_Engine!$M$6:$M$95,$W22,1)&amp;"/100 — a "&amp;Brand_Profile!$G$10&amp;" brief against a "&amp;KOL_Database!$E$22&amp;" / "&amp;KOL_Database!$F$22&amp;" creator."</f>
      </c>
      <c r="S22" s="50">
        <f>"Age "&amp;INDEX(Matching_Engine!$O$6:$O$95,$W22,1)&amp;"/100, gender "&amp;INDEX(Matching_Engine!$P$6:$P$95,$W22,1)&amp;"/100, location "&amp;INDEX(Matching_Engine!$Q$6:$Q$95,$W22,1)&amp;"/100, interests "&amp;INDEX(Matching_Engine!$R$6:$R$95,$W22,1)&amp;"/100. Weighted with priority on "&amp;Brand_Profile!$G$23&amp;"."</f>
      </c>
      <c r="T22" s="50">
        <f>"Category "&amp;INDEX(Matching_Engine!$T$6:$T$95,$W22,1)&amp;"/100, sub category "&amp;INDEX(Matching_Engine!$U$6:$U$95,$W22,1)&amp;"/100, topics "&amp;INDEX(Matching_Engine!$V$6:$V$95,$W22,1)&amp;"/100, style "&amp;INDEX(Matching_Engine!$W$6:$W$95,$W22,1)&amp;"/100 — brief wants "&amp;Brand_Profile!$G$39&amp;", creator delivers "&amp;KOL_Database!$AJ$22&amp;"."</f>
      </c>
      <c r="U22" s="50">
        <f>"Personality "&amp;INDEX(Matching_Engine!$Y$6:$Y$95,$W22,1)&amp;"/100, tone vs style "&amp;INDEX(Matching_Engine!$Z$6:$Z$95,$W22,1)&amp;"/100, values "&amp;INDEX(Matching_Engine!$AA$6:$AA$95,$W22,1)&amp;"/100, communication "&amp;INDEX(Matching_Engine!$AB$6:$AB$95,$W22,1)&amp;"/100 — a "&amp;Brand_Profile!$G$25&amp;" / "&amp;Brand_Profile!$G$28&amp;" brand against a "&amp;KOL_Database!$AK$22&amp;" creator."</f>
      </c>
      <c r="V22" s="50">
        <f>IF(INDEX(Matching_Engine!$AM$6:$AM$95,$W22,1)="None","No risk flag. ",INDEX(Matching_Engine!$AM$6:$AM$95,$W22,1)&amp;" risk flag. ")&amp;"Brand Safety "&amp;INDEX(Matching_Engine!$AK$6:$AK$95,$W22,1)&amp;"/100, competitor saturation "&amp;INDEX(Matching_Engine!$AL$6:$AL$95,$W22,1)&amp;"/100"&amp;IF(INDEX(Matching_Engine!$AL$6:$AL$95,$W22,1)&gt;=70," — high, so treat it as a consideration rather than an automatic exclusion.",".")</f>
      </c>
      <c r="W22" s="50">
        <f>MATCH(Brand_Profile!$B$4&amp;"|"&amp;KOL_Database!$A$22,Matching_Engine!$AZ$6:$AZ$95,0)</f>
      </c>
      <c r="X22" s="52">
        <f>INDEX(Matching_Engine!$N$6:$N$95,$W22,1)+0.006</f>
      </c>
      <c r="Y22" s="52">
        <f>INDEX(Matching_Engine!$S$6:$S$95,$W22,1)+0.005</f>
      </c>
      <c r="Z22" s="52">
        <f>INDEX(Matching_Engine!$X$6:$X$95,$W22,1)+0.004</f>
      </c>
      <c r="AA22" s="52">
        <f>INDEX(Matching_Engine!$AC$6:$AC$95,$W22,1)+0.003</f>
      </c>
      <c r="AB22" s="52">
        <f>INDEX(Matching_Engine!$AJ$6:$AJ$95,$W22,1)+0.002</f>
      </c>
      <c r="AC22" s="52">
        <f>INDEX(Matching_Engine!$AO$6:$AO$95,$W22,1)+0.001</f>
      </c>
    </row>
    <row r="23" spans="1:29" x14ac:dyDescent="0.25">
      <c r="A23" s="50">
        <f>KOL_Database!$A$23</f>
      </c>
      <c r="B23" s="50">
        <f>KOL_Database!$B$23</f>
      </c>
      <c r="C23" s="50">
        <f>KOL_Database!$C$23</f>
      </c>
      <c r="D23" s="50">
        <f>KOL_Database!$D$23</f>
      </c>
      <c r="E23" s="50">
        <f>KOL_Database!$E$23</f>
      </c>
      <c r="F23" s="51">
        <f>INDEX(Matching_Engine!$AP$6:$AP$95,$W23,1)</f>
      </c>
      <c r="G23" s="50">
        <f>INDEX(Matching_Engine!$AQ$6:$AQ$95,$W23,1)</f>
      </c>
      <c r="H23" s="50">
        <f>INDEX(Matching_Engine!$AS$6:$AS$95,$W23,1)</f>
      </c>
      <c r="I23" s="50">
        <f>"Strongest on "&amp;INDEX(Lookup_Lists!$AC$6:$AC$11,MATCH(LARGE($X23:$AC23,1),$X23:$AC23,0),1)&amp;" at "&amp;ROUND(LARGE($X23:$AC23,1),0)&amp;"/100. "&amp;"Audience overlap "&amp;INDEX(Matching_Engine!$S$6:$S$95,$W23,1)&amp;"/100 against the "&amp;Brand_Profile!$G$16&amp;" / "&amp;Brand_Profile!$G$17&amp;" target; "&amp;KOL_Database!$E$23&amp;" content against a "&amp;Brand_Profile!$G$10&amp;" brief. "&amp;"Final Brand Match "&amp;INDEX(Matching_Engine!$AP$6:$AP$95,$W23,1)&amp;"/100 ("&amp;INDEX(Matching_Engine!$AQ$6:$AQ$95,$W23,1)&amp;")."</f>
      </c>
      <c r="J23" s="50">
        <f>IFERROR(INDEX(Lookup_Lists!$AC$6:$AC$11,MATCH(LARGE($X23:$AC23,1),$X23:$AC23,0),1)&amp;" — "&amp;ROUND(LARGE($X23:$AC23,1),0)&amp;"/100","")</f>
      </c>
      <c r="K23" s="50">
        <f>IFERROR(INDEX(Lookup_Lists!$AC$6:$AC$11,MATCH(LARGE($X23:$AC23,2),$X23:$AC23,0),1)&amp;" — "&amp;ROUND(LARGE($X23:$AC23,2),0)&amp;"/100","")</f>
      </c>
      <c r="L23" s="50">
        <f>IFERROR(INDEX(Lookup_Lists!$AC$6:$AC$11,MATCH(LARGE($X23:$AC23,3),$X23:$AC23,0),1)&amp;" — "&amp;ROUND(LARGE($X23:$AC23,3),0)&amp;"/100","")</f>
      </c>
      <c r="M23" s="50">
        <f>IFERROR(IF(SMALL($X23:$AC23,1)&gt;=Lookup_Lists!$D$161,"No material gap — "&amp;INDEX(Lookup_Lists!$AC$6:$AC$11,MATCH(SMALL($X23:$AC23,1),$X23:$AC23,0),1)&amp;" at "&amp;ROUND(SMALL($X23:$AC23,1),0)&amp;"/100",INDEX(Lookup_Lists!$AC$6:$AC$11,MATCH(SMALL($X23:$AC23,1),$X23:$AC23,0),1)&amp;" only "&amp;ROUND(SMALL($X23:$AC23,1),0)&amp;"/100"),"")</f>
      </c>
      <c r="N23" s="50">
        <f>IFERROR(IF(SMALL($X23:$AC23,2)&gt;=Lookup_Lists!$D$161,"No material gap — "&amp;INDEX(Lookup_Lists!$AC$6:$AC$11,MATCH(SMALL($X23:$AC23,2),$X23:$AC23,0),1)&amp;" at "&amp;ROUND(SMALL($X23:$AC23,2),0)&amp;"/100",INDEX(Lookup_Lists!$AC$6:$AC$11,MATCH(SMALL($X23:$AC23,2),$X23:$AC23,0),1)&amp;" only "&amp;ROUND(SMALL($X23:$AC23,2),0)&amp;"/100"),"")</f>
      </c>
      <c r="O23" s="50">
        <f>IFERROR(IF(SMALL($X23:$AC23,3)&gt;=Lookup_Lists!$D$161,"No material gap — "&amp;INDEX(Lookup_Lists!$AC$6:$AC$11,MATCH(SMALL($X23:$AC23,3),$X23:$AC23,0),1)&amp;" at "&amp;ROUND(SMALL($X23:$AC23,3),0)&amp;"/100",INDEX(Lookup_Lists!$AC$6:$AC$11,MATCH(SMALL($X23:$AC23,3),$X23:$AC23,0),1)&amp;" only "&amp;ROUND(SMALL($X23:$AC23,3),0)&amp;"/100"),"")</f>
      </c>
      <c r="P23" s="50">
        <f>IF(INDEX(Matching_Engine!$AM$6:$AM$95,$W23,1)="None","No risk flag — competitor saturation "&amp;INDEX(Matching_Engine!$AL$6:$AL$95,$W23,1)&amp;"/100",INDEX(Matching_Engine!$AM$6:$AM$95,$W23,1)&amp;" risk flag — competitor saturation "&amp;INDEX(Matching_Engine!$AL$6:$AL$95,$W23,1)&amp;"/100")</f>
      </c>
      <c r="Q23" s="50">
        <f>INDEX(Matching_Engine!$AX$6:$AX$95,$W23,1)</f>
      </c>
      <c r="R23" s="50">
        <f>"Industry "&amp;INDEX(Matching_Engine!$K$6:$K$95,$W23,1)&amp;"/100, category "&amp;INDEX(Matching_Engine!$L$6:$L$95,$W23,1)&amp;"/100, keywords "&amp;INDEX(Matching_Engine!$M$6:$M$95,$W23,1)&amp;"/100 — a "&amp;Brand_Profile!$G$10&amp;" brief against a "&amp;KOL_Database!$E$23&amp;" / "&amp;KOL_Database!$F$23&amp;" creator."</f>
      </c>
      <c r="S23" s="50">
        <f>"Age "&amp;INDEX(Matching_Engine!$O$6:$O$95,$W23,1)&amp;"/100, gender "&amp;INDEX(Matching_Engine!$P$6:$P$95,$W23,1)&amp;"/100, location "&amp;INDEX(Matching_Engine!$Q$6:$Q$95,$W23,1)&amp;"/100, interests "&amp;INDEX(Matching_Engine!$R$6:$R$95,$W23,1)&amp;"/100. Weighted with priority on "&amp;Brand_Profile!$G$23&amp;"."</f>
      </c>
      <c r="T23" s="50">
        <f>"Category "&amp;INDEX(Matching_Engine!$T$6:$T$95,$W23,1)&amp;"/100, sub category "&amp;INDEX(Matching_Engine!$U$6:$U$95,$W23,1)&amp;"/100, topics "&amp;INDEX(Matching_Engine!$V$6:$V$95,$W23,1)&amp;"/100, style "&amp;INDEX(Matching_Engine!$W$6:$W$95,$W23,1)&amp;"/100 — brief wants "&amp;Brand_Profile!$G$39&amp;", creator delivers "&amp;KOL_Database!$AJ$23&amp;"."</f>
      </c>
      <c r="U23" s="50">
        <f>"Personality "&amp;INDEX(Matching_Engine!$Y$6:$Y$95,$W23,1)&amp;"/100, tone vs style "&amp;INDEX(Matching_Engine!$Z$6:$Z$95,$W23,1)&amp;"/100, values "&amp;INDEX(Matching_Engine!$AA$6:$AA$95,$W23,1)&amp;"/100, communication "&amp;INDEX(Matching_Engine!$AB$6:$AB$95,$W23,1)&amp;"/100 — a "&amp;Brand_Profile!$G$25&amp;" / "&amp;Brand_Profile!$G$28&amp;" brand against a "&amp;KOL_Database!$AK$23&amp;" creator."</f>
      </c>
      <c r="V23" s="50">
        <f>IF(INDEX(Matching_Engine!$AM$6:$AM$95,$W23,1)="None","No risk flag. ",INDEX(Matching_Engine!$AM$6:$AM$95,$W23,1)&amp;" risk flag. ")&amp;"Brand Safety "&amp;INDEX(Matching_Engine!$AK$6:$AK$95,$W23,1)&amp;"/100, competitor saturation "&amp;INDEX(Matching_Engine!$AL$6:$AL$95,$W23,1)&amp;"/100"&amp;IF(INDEX(Matching_Engine!$AL$6:$AL$95,$W23,1)&gt;=70," — high, so treat it as a consideration rather than an automatic exclusion.",".")</f>
      </c>
      <c r="W23" s="50">
        <f>MATCH(Brand_Profile!$B$4&amp;"|"&amp;KOL_Database!$A$23,Matching_Engine!$AZ$6:$AZ$95,0)</f>
      </c>
      <c r="X23" s="52">
        <f>INDEX(Matching_Engine!$N$6:$N$95,$W23,1)+0.006</f>
      </c>
      <c r="Y23" s="52">
        <f>INDEX(Matching_Engine!$S$6:$S$95,$W23,1)+0.005</f>
      </c>
      <c r="Z23" s="52">
        <f>INDEX(Matching_Engine!$X$6:$X$95,$W23,1)+0.004</f>
      </c>
      <c r="AA23" s="52">
        <f>INDEX(Matching_Engine!$AC$6:$AC$95,$W23,1)+0.003</f>
      </c>
      <c r="AB23" s="52">
        <f>INDEX(Matching_Engine!$AJ$6:$AJ$95,$W23,1)+0.002</f>
      </c>
      <c r="AC23" s="52">
        <f>INDEX(Matching_Engine!$AO$6:$AO$95,$W23,1)+0.001</f>
      </c>
    </row>
    <row r="24" spans="1:29" x14ac:dyDescent="0.25">
      <c r="A24" s="50">
        <f>KOL_Database!$A$24</f>
      </c>
      <c r="B24" s="50">
        <f>KOL_Database!$B$24</f>
      </c>
      <c r="C24" s="50">
        <f>KOL_Database!$C$24</f>
      </c>
      <c r="D24" s="50">
        <f>KOL_Database!$D$24</f>
      </c>
      <c r="E24" s="50">
        <f>KOL_Database!$E$24</f>
      </c>
      <c r="F24" s="51">
        <f>INDEX(Matching_Engine!$AP$6:$AP$95,$W24,1)</f>
      </c>
      <c r="G24" s="50">
        <f>INDEX(Matching_Engine!$AQ$6:$AQ$95,$W24,1)</f>
      </c>
      <c r="H24" s="50">
        <f>INDEX(Matching_Engine!$AS$6:$AS$95,$W24,1)</f>
      </c>
      <c r="I24" s="50">
        <f>"Strongest on "&amp;INDEX(Lookup_Lists!$AC$6:$AC$11,MATCH(LARGE($X24:$AC24,1),$X24:$AC24,0),1)&amp;" at "&amp;ROUND(LARGE($X24:$AC24,1),0)&amp;"/100. "&amp;"Audience overlap "&amp;INDEX(Matching_Engine!$S$6:$S$95,$W24,1)&amp;"/100 against the "&amp;Brand_Profile!$G$16&amp;" / "&amp;Brand_Profile!$G$17&amp;" target; "&amp;KOL_Database!$E$24&amp;" content against a "&amp;Brand_Profile!$G$10&amp;" brief. "&amp;"Final Brand Match "&amp;INDEX(Matching_Engine!$AP$6:$AP$95,$W24,1)&amp;"/100 ("&amp;INDEX(Matching_Engine!$AQ$6:$AQ$95,$W24,1)&amp;")."</f>
      </c>
      <c r="J24" s="50">
        <f>IFERROR(INDEX(Lookup_Lists!$AC$6:$AC$11,MATCH(LARGE($X24:$AC24,1),$X24:$AC24,0),1)&amp;" — "&amp;ROUND(LARGE($X24:$AC24,1),0)&amp;"/100","")</f>
      </c>
      <c r="K24" s="50">
        <f>IFERROR(INDEX(Lookup_Lists!$AC$6:$AC$11,MATCH(LARGE($X24:$AC24,2),$X24:$AC24,0),1)&amp;" — "&amp;ROUND(LARGE($X24:$AC24,2),0)&amp;"/100","")</f>
      </c>
      <c r="L24" s="50">
        <f>IFERROR(INDEX(Lookup_Lists!$AC$6:$AC$11,MATCH(LARGE($X24:$AC24,3),$X24:$AC24,0),1)&amp;" — "&amp;ROUND(LARGE($X24:$AC24,3),0)&amp;"/100","")</f>
      </c>
      <c r="M24" s="50">
        <f>IFERROR(IF(SMALL($X24:$AC24,1)&gt;=Lookup_Lists!$D$161,"No material gap — "&amp;INDEX(Lookup_Lists!$AC$6:$AC$11,MATCH(SMALL($X24:$AC24,1),$X24:$AC24,0),1)&amp;" at "&amp;ROUND(SMALL($X24:$AC24,1),0)&amp;"/100",INDEX(Lookup_Lists!$AC$6:$AC$11,MATCH(SMALL($X24:$AC24,1),$X24:$AC24,0),1)&amp;" only "&amp;ROUND(SMALL($X24:$AC24,1),0)&amp;"/100"),"")</f>
      </c>
      <c r="N24" s="50">
        <f>IFERROR(IF(SMALL($X24:$AC24,2)&gt;=Lookup_Lists!$D$161,"No material gap — "&amp;INDEX(Lookup_Lists!$AC$6:$AC$11,MATCH(SMALL($X24:$AC24,2),$X24:$AC24,0),1)&amp;" at "&amp;ROUND(SMALL($X24:$AC24,2),0)&amp;"/100",INDEX(Lookup_Lists!$AC$6:$AC$11,MATCH(SMALL($X24:$AC24,2),$X24:$AC24,0),1)&amp;" only "&amp;ROUND(SMALL($X24:$AC24,2),0)&amp;"/100"),"")</f>
      </c>
      <c r="O24" s="50">
        <f>IFERROR(IF(SMALL($X24:$AC24,3)&gt;=Lookup_Lists!$D$161,"No material gap — "&amp;INDEX(Lookup_Lists!$AC$6:$AC$11,MATCH(SMALL($X24:$AC24,3),$X24:$AC24,0),1)&amp;" at "&amp;ROUND(SMALL($X24:$AC24,3),0)&amp;"/100",INDEX(Lookup_Lists!$AC$6:$AC$11,MATCH(SMALL($X24:$AC24,3),$X24:$AC24,0),1)&amp;" only "&amp;ROUND(SMALL($X24:$AC24,3),0)&amp;"/100"),"")</f>
      </c>
      <c r="P24" s="50">
        <f>IF(INDEX(Matching_Engine!$AM$6:$AM$95,$W24,1)="None","No risk flag — competitor saturation "&amp;INDEX(Matching_Engine!$AL$6:$AL$95,$W24,1)&amp;"/100",INDEX(Matching_Engine!$AM$6:$AM$95,$W24,1)&amp;" risk flag — competitor saturation "&amp;INDEX(Matching_Engine!$AL$6:$AL$95,$W24,1)&amp;"/100")</f>
      </c>
      <c r="Q24" s="50">
        <f>INDEX(Matching_Engine!$AX$6:$AX$95,$W24,1)</f>
      </c>
      <c r="R24" s="50">
        <f>"Industry "&amp;INDEX(Matching_Engine!$K$6:$K$95,$W24,1)&amp;"/100, category "&amp;INDEX(Matching_Engine!$L$6:$L$95,$W24,1)&amp;"/100, keywords "&amp;INDEX(Matching_Engine!$M$6:$M$95,$W24,1)&amp;"/100 — a "&amp;Brand_Profile!$G$10&amp;" brief against a "&amp;KOL_Database!$E$24&amp;" / "&amp;KOL_Database!$F$24&amp;" creator."</f>
      </c>
      <c r="S24" s="50">
        <f>"Age "&amp;INDEX(Matching_Engine!$O$6:$O$95,$W24,1)&amp;"/100, gender "&amp;INDEX(Matching_Engine!$P$6:$P$95,$W24,1)&amp;"/100, location "&amp;INDEX(Matching_Engine!$Q$6:$Q$95,$W24,1)&amp;"/100, interests "&amp;INDEX(Matching_Engine!$R$6:$R$95,$W24,1)&amp;"/100. Weighted with priority on "&amp;Brand_Profile!$G$23&amp;"."</f>
      </c>
      <c r="T24" s="50">
        <f>"Category "&amp;INDEX(Matching_Engine!$T$6:$T$95,$W24,1)&amp;"/100, sub category "&amp;INDEX(Matching_Engine!$U$6:$U$95,$W24,1)&amp;"/100, topics "&amp;INDEX(Matching_Engine!$V$6:$V$95,$W24,1)&amp;"/100, style "&amp;INDEX(Matching_Engine!$W$6:$W$95,$W24,1)&amp;"/100 — brief wants "&amp;Brand_Profile!$G$39&amp;", creator delivers "&amp;KOL_Database!$AJ$24&amp;"."</f>
      </c>
      <c r="U24" s="50">
        <f>"Personality "&amp;INDEX(Matching_Engine!$Y$6:$Y$95,$W24,1)&amp;"/100, tone vs style "&amp;INDEX(Matching_Engine!$Z$6:$Z$95,$W24,1)&amp;"/100, values "&amp;INDEX(Matching_Engine!$AA$6:$AA$95,$W24,1)&amp;"/100, communication "&amp;INDEX(Matching_Engine!$AB$6:$AB$95,$W24,1)&amp;"/100 — a "&amp;Brand_Profile!$G$25&amp;" / "&amp;Brand_Profile!$G$28&amp;" brand against a "&amp;KOL_Database!$AK$24&amp;" creator."</f>
      </c>
      <c r="V24" s="50">
        <f>IF(INDEX(Matching_Engine!$AM$6:$AM$95,$W24,1)="None","No risk flag. ",INDEX(Matching_Engine!$AM$6:$AM$95,$W24,1)&amp;" risk flag. ")&amp;"Brand Safety "&amp;INDEX(Matching_Engine!$AK$6:$AK$95,$W24,1)&amp;"/100, competitor saturation "&amp;INDEX(Matching_Engine!$AL$6:$AL$95,$W24,1)&amp;"/100"&amp;IF(INDEX(Matching_Engine!$AL$6:$AL$95,$W24,1)&gt;=70," — high, so treat it as a consideration rather than an automatic exclusion.",".")</f>
      </c>
      <c r="W24" s="50">
        <f>MATCH(Brand_Profile!$B$4&amp;"|"&amp;KOL_Database!$A$24,Matching_Engine!$AZ$6:$AZ$95,0)</f>
      </c>
      <c r="X24" s="52">
        <f>INDEX(Matching_Engine!$N$6:$N$95,$W24,1)+0.006</f>
      </c>
      <c r="Y24" s="52">
        <f>INDEX(Matching_Engine!$S$6:$S$95,$W24,1)+0.005</f>
      </c>
      <c r="Z24" s="52">
        <f>INDEX(Matching_Engine!$X$6:$X$95,$W24,1)+0.004</f>
      </c>
      <c r="AA24" s="52">
        <f>INDEX(Matching_Engine!$AC$6:$AC$95,$W24,1)+0.003</f>
      </c>
      <c r="AB24" s="52">
        <f>INDEX(Matching_Engine!$AJ$6:$AJ$95,$W24,1)+0.002</f>
      </c>
      <c r="AC24" s="52">
        <f>INDEX(Matching_Engine!$AO$6:$AO$95,$W24,1)+0.001</f>
      </c>
    </row>
    <row r="25" spans="1:29" x14ac:dyDescent="0.25">
      <c r="A25" s="50">
        <f>KOL_Database!$A$25</f>
      </c>
      <c r="B25" s="50">
        <f>KOL_Database!$B$25</f>
      </c>
      <c r="C25" s="50">
        <f>KOL_Database!$C$25</f>
      </c>
      <c r="D25" s="50">
        <f>KOL_Database!$D$25</f>
      </c>
      <c r="E25" s="50">
        <f>KOL_Database!$E$25</f>
      </c>
      <c r="F25" s="51">
        <f>INDEX(Matching_Engine!$AP$6:$AP$95,$W25,1)</f>
      </c>
      <c r="G25" s="50">
        <f>INDEX(Matching_Engine!$AQ$6:$AQ$95,$W25,1)</f>
      </c>
      <c r="H25" s="50">
        <f>INDEX(Matching_Engine!$AS$6:$AS$95,$W25,1)</f>
      </c>
      <c r="I25" s="50">
        <f>"Strongest on "&amp;INDEX(Lookup_Lists!$AC$6:$AC$11,MATCH(LARGE($X25:$AC25,1),$X25:$AC25,0),1)&amp;" at "&amp;ROUND(LARGE($X25:$AC25,1),0)&amp;"/100. "&amp;"Audience overlap "&amp;INDEX(Matching_Engine!$S$6:$S$95,$W25,1)&amp;"/100 against the "&amp;Brand_Profile!$G$16&amp;" / "&amp;Brand_Profile!$G$17&amp;" target; "&amp;KOL_Database!$E$25&amp;" content against a "&amp;Brand_Profile!$G$10&amp;" brief. "&amp;"Final Brand Match "&amp;INDEX(Matching_Engine!$AP$6:$AP$95,$W25,1)&amp;"/100 ("&amp;INDEX(Matching_Engine!$AQ$6:$AQ$95,$W25,1)&amp;")."</f>
      </c>
      <c r="J25" s="50">
        <f>IFERROR(INDEX(Lookup_Lists!$AC$6:$AC$11,MATCH(LARGE($X25:$AC25,1),$X25:$AC25,0),1)&amp;" — "&amp;ROUND(LARGE($X25:$AC25,1),0)&amp;"/100","")</f>
      </c>
      <c r="K25" s="50">
        <f>IFERROR(INDEX(Lookup_Lists!$AC$6:$AC$11,MATCH(LARGE($X25:$AC25,2),$X25:$AC25,0),1)&amp;" — "&amp;ROUND(LARGE($X25:$AC25,2),0)&amp;"/100","")</f>
      </c>
      <c r="L25" s="50">
        <f>IFERROR(INDEX(Lookup_Lists!$AC$6:$AC$11,MATCH(LARGE($X25:$AC25,3),$X25:$AC25,0),1)&amp;" — "&amp;ROUND(LARGE($X25:$AC25,3),0)&amp;"/100","")</f>
      </c>
      <c r="M25" s="50">
        <f>IFERROR(IF(SMALL($X25:$AC25,1)&gt;=Lookup_Lists!$D$161,"No material gap — "&amp;INDEX(Lookup_Lists!$AC$6:$AC$11,MATCH(SMALL($X25:$AC25,1),$X25:$AC25,0),1)&amp;" at "&amp;ROUND(SMALL($X25:$AC25,1),0)&amp;"/100",INDEX(Lookup_Lists!$AC$6:$AC$11,MATCH(SMALL($X25:$AC25,1),$X25:$AC25,0),1)&amp;" only "&amp;ROUND(SMALL($X25:$AC25,1),0)&amp;"/100"),"")</f>
      </c>
      <c r="N25" s="50">
        <f>IFERROR(IF(SMALL($X25:$AC25,2)&gt;=Lookup_Lists!$D$161,"No material gap — "&amp;INDEX(Lookup_Lists!$AC$6:$AC$11,MATCH(SMALL($X25:$AC25,2),$X25:$AC25,0),1)&amp;" at "&amp;ROUND(SMALL($X25:$AC25,2),0)&amp;"/100",INDEX(Lookup_Lists!$AC$6:$AC$11,MATCH(SMALL($X25:$AC25,2),$X25:$AC25,0),1)&amp;" only "&amp;ROUND(SMALL($X25:$AC25,2),0)&amp;"/100"),"")</f>
      </c>
      <c r="O25" s="50">
        <f>IFERROR(IF(SMALL($X25:$AC25,3)&gt;=Lookup_Lists!$D$161,"No material gap — "&amp;INDEX(Lookup_Lists!$AC$6:$AC$11,MATCH(SMALL($X25:$AC25,3),$X25:$AC25,0),1)&amp;" at "&amp;ROUND(SMALL($X25:$AC25,3),0)&amp;"/100",INDEX(Lookup_Lists!$AC$6:$AC$11,MATCH(SMALL($X25:$AC25,3),$X25:$AC25,0),1)&amp;" only "&amp;ROUND(SMALL($X25:$AC25,3),0)&amp;"/100"),"")</f>
      </c>
      <c r="P25" s="50">
        <f>IF(INDEX(Matching_Engine!$AM$6:$AM$95,$W25,1)="None","No risk flag — competitor saturation "&amp;INDEX(Matching_Engine!$AL$6:$AL$95,$W25,1)&amp;"/100",INDEX(Matching_Engine!$AM$6:$AM$95,$W25,1)&amp;" risk flag — competitor saturation "&amp;INDEX(Matching_Engine!$AL$6:$AL$95,$W25,1)&amp;"/100")</f>
      </c>
      <c r="Q25" s="50">
        <f>INDEX(Matching_Engine!$AX$6:$AX$95,$W25,1)</f>
      </c>
      <c r="R25" s="50">
        <f>"Industry "&amp;INDEX(Matching_Engine!$K$6:$K$95,$W25,1)&amp;"/100, category "&amp;INDEX(Matching_Engine!$L$6:$L$95,$W25,1)&amp;"/100, keywords "&amp;INDEX(Matching_Engine!$M$6:$M$95,$W25,1)&amp;"/100 — a "&amp;Brand_Profile!$G$10&amp;" brief against a "&amp;KOL_Database!$E$25&amp;" / "&amp;KOL_Database!$F$25&amp;" creator."</f>
      </c>
      <c r="S25" s="50">
        <f>"Age "&amp;INDEX(Matching_Engine!$O$6:$O$95,$W25,1)&amp;"/100, gender "&amp;INDEX(Matching_Engine!$P$6:$P$95,$W25,1)&amp;"/100, location "&amp;INDEX(Matching_Engine!$Q$6:$Q$95,$W25,1)&amp;"/100, interests "&amp;INDEX(Matching_Engine!$R$6:$R$95,$W25,1)&amp;"/100. Weighted with priority on "&amp;Brand_Profile!$G$23&amp;"."</f>
      </c>
      <c r="T25" s="50">
        <f>"Category "&amp;INDEX(Matching_Engine!$T$6:$T$95,$W25,1)&amp;"/100, sub category "&amp;INDEX(Matching_Engine!$U$6:$U$95,$W25,1)&amp;"/100, topics "&amp;INDEX(Matching_Engine!$V$6:$V$95,$W25,1)&amp;"/100, style "&amp;INDEX(Matching_Engine!$W$6:$W$95,$W25,1)&amp;"/100 — brief wants "&amp;Brand_Profile!$G$39&amp;", creator delivers "&amp;KOL_Database!$AJ$25&amp;"."</f>
      </c>
      <c r="U25" s="50">
        <f>"Personality "&amp;INDEX(Matching_Engine!$Y$6:$Y$95,$W25,1)&amp;"/100, tone vs style "&amp;INDEX(Matching_Engine!$Z$6:$Z$95,$W25,1)&amp;"/100, values "&amp;INDEX(Matching_Engine!$AA$6:$AA$95,$W25,1)&amp;"/100, communication "&amp;INDEX(Matching_Engine!$AB$6:$AB$95,$W25,1)&amp;"/100 — a "&amp;Brand_Profile!$G$25&amp;" / "&amp;Brand_Profile!$G$28&amp;" brand against a "&amp;KOL_Database!$AK$25&amp;" creator."</f>
      </c>
      <c r="V25" s="50">
        <f>IF(INDEX(Matching_Engine!$AM$6:$AM$95,$W25,1)="None","No risk flag. ",INDEX(Matching_Engine!$AM$6:$AM$95,$W25,1)&amp;" risk flag. ")&amp;"Brand Safety "&amp;INDEX(Matching_Engine!$AK$6:$AK$95,$W25,1)&amp;"/100, competitor saturation "&amp;INDEX(Matching_Engine!$AL$6:$AL$95,$W25,1)&amp;"/100"&amp;IF(INDEX(Matching_Engine!$AL$6:$AL$95,$W25,1)&gt;=70," — high, so treat it as a consideration rather than an automatic exclusion.",".")</f>
      </c>
      <c r="W25" s="50">
        <f>MATCH(Brand_Profile!$B$4&amp;"|"&amp;KOL_Database!$A$25,Matching_Engine!$AZ$6:$AZ$95,0)</f>
      </c>
      <c r="X25" s="52">
        <f>INDEX(Matching_Engine!$N$6:$N$95,$W25,1)+0.006</f>
      </c>
      <c r="Y25" s="52">
        <f>INDEX(Matching_Engine!$S$6:$S$95,$W25,1)+0.005</f>
      </c>
      <c r="Z25" s="52">
        <f>INDEX(Matching_Engine!$X$6:$X$95,$W25,1)+0.004</f>
      </c>
      <c r="AA25" s="52">
        <f>INDEX(Matching_Engine!$AC$6:$AC$95,$W25,1)+0.003</f>
      </c>
      <c r="AB25" s="52">
        <f>INDEX(Matching_Engine!$AJ$6:$AJ$95,$W25,1)+0.002</f>
      </c>
      <c r="AC25" s="52">
        <f>INDEX(Matching_Engine!$AO$6:$AO$95,$W25,1)+0.001</f>
      </c>
    </row>
    <row r="26" spans="1:29" x14ac:dyDescent="0.25">
      <c r="A26" s="50">
        <f>KOL_Database!$A$26</f>
      </c>
      <c r="B26" s="50">
        <f>KOL_Database!$B$26</f>
      </c>
      <c r="C26" s="50">
        <f>KOL_Database!$C$26</f>
      </c>
      <c r="D26" s="50">
        <f>KOL_Database!$D$26</f>
      </c>
      <c r="E26" s="50">
        <f>KOL_Database!$E$26</f>
      </c>
      <c r="F26" s="51">
        <f>INDEX(Matching_Engine!$AP$6:$AP$95,$W26,1)</f>
      </c>
      <c r="G26" s="50">
        <f>INDEX(Matching_Engine!$AQ$6:$AQ$95,$W26,1)</f>
      </c>
      <c r="H26" s="50">
        <f>INDEX(Matching_Engine!$AS$6:$AS$95,$W26,1)</f>
      </c>
      <c r="I26" s="50">
        <f>"Strongest on "&amp;INDEX(Lookup_Lists!$AC$6:$AC$11,MATCH(LARGE($X26:$AC26,1),$X26:$AC26,0),1)&amp;" at "&amp;ROUND(LARGE($X26:$AC26,1),0)&amp;"/100. "&amp;"Audience overlap "&amp;INDEX(Matching_Engine!$S$6:$S$95,$W26,1)&amp;"/100 against the "&amp;Brand_Profile!$G$16&amp;" / "&amp;Brand_Profile!$G$17&amp;" target; "&amp;KOL_Database!$E$26&amp;" content against a "&amp;Brand_Profile!$G$10&amp;" brief. "&amp;"Final Brand Match "&amp;INDEX(Matching_Engine!$AP$6:$AP$95,$W26,1)&amp;"/100 ("&amp;INDEX(Matching_Engine!$AQ$6:$AQ$95,$W26,1)&amp;")."</f>
      </c>
      <c r="J26" s="50">
        <f>IFERROR(INDEX(Lookup_Lists!$AC$6:$AC$11,MATCH(LARGE($X26:$AC26,1),$X26:$AC26,0),1)&amp;" — "&amp;ROUND(LARGE($X26:$AC26,1),0)&amp;"/100","")</f>
      </c>
      <c r="K26" s="50">
        <f>IFERROR(INDEX(Lookup_Lists!$AC$6:$AC$11,MATCH(LARGE($X26:$AC26,2),$X26:$AC26,0),1)&amp;" — "&amp;ROUND(LARGE($X26:$AC26,2),0)&amp;"/100","")</f>
      </c>
      <c r="L26" s="50">
        <f>IFERROR(INDEX(Lookup_Lists!$AC$6:$AC$11,MATCH(LARGE($X26:$AC26,3),$X26:$AC26,0),1)&amp;" — "&amp;ROUND(LARGE($X26:$AC26,3),0)&amp;"/100","")</f>
      </c>
      <c r="M26" s="50">
        <f>IFERROR(IF(SMALL($X26:$AC26,1)&gt;=Lookup_Lists!$D$161,"No material gap — "&amp;INDEX(Lookup_Lists!$AC$6:$AC$11,MATCH(SMALL($X26:$AC26,1),$X26:$AC26,0),1)&amp;" at "&amp;ROUND(SMALL($X26:$AC26,1),0)&amp;"/100",INDEX(Lookup_Lists!$AC$6:$AC$11,MATCH(SMALL($X26:$AC26,1),$X26:$AC26,0),1)&amp;" only "&amp;ROUND(SMALL($X26:$AC26,1),0)&amp;"/100"),"")</f>
      </c>
      <c r="N26" s="50">
        <f>IFERROR(IF(SMALL($X26:$AC26,2)&gt;=Lookup_Lists!$D$161,"No material gap — "&amp;INDEX(Lookup_Lists!$AC$6:$AC$11,MATCH(SMALL($X26:$AC26,2),$X26:$AC26,0),1)&amp;" at "&amp;ROUND(SMALL($X26:$AC26,2),0)&amp;"/100",INDEX(Lookup_Lists!$AC$6:$AC$11,MATCH(SMALL($X26:$AC26,2),$X26:$AC26,0),1)&amp;" only "&amp;ROUND(SMALL($X26:$AC26,2),0)&amp;"/100"),"")</f>
      </c>
      <c r="O26" s="50">
        <f>IFERROR(IF(SMALL($X26:$AC26,3)&gt;=Lookup_Lists!$D$161,"No material gap — "&amp;INDEX(Lookup_Lists!$AC$6:$AC$11,MATCH(SMALL($X26:$AC26,3),$X26:$AC26,0),1)&amp;" at "&amp;ROUND(SMALL($X26:$AC26,3),0)&amp;"/100",INDEX(Lookup_Lists!$AC$6:$AC$11,MATCH(SMALL($X26:$AC26,3),$X26:$AC26,0),1)&amp;" only "&amp;ROUND(SMALL($X26:$AC26,3),0)&amp;"/100"),"")</f>
      </c>
      <c r="P26" s="50">
        <f>IF(INDEX(Matching_Engine!$AM$6:$AM$95,$W26,1)="None","No risk flag — competitor saturation "&amp;INDEX(Matching_Engine!$AL$6:$AL$95,$W26,1)&amp;"/100",INDEX(Matching_Engine!$AM$6:$AM$95,$W26,1)&amp;" risk flag — competitor saturation "&amp;INDEX(Matching_Engine!$AL$6:$AL$95,$W26,1)&amp;"/100")</f>
      </c>
      <c r="Q26" s="50">
        <f>INDEX(Matching_Engine!$AX$6:$AX$95,$W26,1)</f>
      </c>
      <c r="R26" s="50">
        <f>"Industry "&amp;INDEX(Matching_Engine!$K$6:$K$95,$W26,1)&amp;"/100, category "&amp;INDEX(Matching_Engine!$L$6:$L$95,$W26,1)&amp;"/100, keywords "&amp;INDEX(Matching_Engine!$M$6:$M$95,$W26,1)&amp;"/100 — a "&amp;Brand_Profile!$G$10&amp;" brief against a "&amp;KOL_Database!$E$26&amp;" / "&amp;KOL_Database!$F$26&amp;" creator."</f>
      </c>
      <c r="S26" s="50">
        <f>"Age "&amp;INDEX(Matching_Engine!$O$6:$O$95,$W26,1)&amp;"/100, gender "&amp;INDEX(Matching_Engine!$P$6:$P$95,$W26,1)&amp;"/100, location "&amp;INDEX(Matching_Engine!$Q$6:$Q$95,$W26,1)&amp;"/100, interests "&amp;INDEX(Matching_Engine!$R$6:$R$95,$W26,1)&amp;"/100. Weighted with priority on "&amp;Brand_Profile!$G$23&amp;"."</f>
      </c>
      <c r="T26" s="50">
        <f>"Category "&amp;INDEX(Matching_Engine!$T$6:$T$95,$W26,1)&amp;"/100, sub category "&amp;INDEX(Matching_Engine!$U$6:$U$95,$W26,1)&amp;"/100, topics "&amp;INDEX(Matching_Engine!$V$6:$V$95,$W26,1)&amp;"/100, style "&amp;INDEX(Matching_Engine!$W$6:$W$95,$W26,1)&amp;"/100 — brief wants "&amp;Brand_Profile!$G$39&amp;", creator delivers "&amp;KOL_Database!$AJ$26&amp;"."</f>
      </c>
      <c r="U26" s="50">
        <f>"Personality "&amp;INDEX(Matching_Engine!$Y$6:$Y$95,$W26,1)&amp;"/100, tone vs style "&amp;INDEX(Matching_Engine!$Z$6:$Z$95,$W26,1)&amp;"/100, values "&amp;INDEX(Matching_Engine!$AA$6:$AA$95,$W26,1)&amp;"/100, communication "&amp;INDEX(Matching_Engine!$AB$6:$AB$95,$W26,1)&amp;"/100 — a "&amp;Brand_Profile!$G$25&amp;" / "&amp;Brand_Profile!$G$28&amp;" brand against a "&amp;KOL_Database!$AK$26&amp;" creator."</f>
      </c>
      <c r="V26" s="50">
        <f>IF(INDEX(Matching_Engine!$AM$6:$AM$95,$W26,1)="None","No risk flag. ",INDEX(Matching_Engine!$AM$6:$AM$95,$W26,1)&amp;" risk flag. ")&amp;"Brand Safety "&amp;INDEX(Matching_Engine!$AK$6:$AK$95,$W26,1)&amp;"/100, competitor saturation "&amp;INDEX(Matching_Engine!$AL$6:$AL$95,$W26,1)&amp;"/100"&amp;IF(INDEX(Matching_Engine!$AL$6:$AL$95,$W26,1)&gt;=70," — high, so treat it as a consideration rather than an automatic exclusion.",".")</f>
      </c>
      <c r="W26" s="50">
        <f>MATCH(Brand_Profile!$B$4&amp;"|"&amp;KOL_Database!$A$26,Matching_Engine!$AZ$6:$AZ$95,0)</f>
      </c>
      <c r="X26" s="52">
        <f>INDEX(Matching_Engine!$N$6:$N$95,$W26,1)+0.006</f>
      </c>
      <c r="Y26" s="52">
        <f>INDEX(Matching_Engine!$S$6:$S$95,$W26,1)+0.005</f>
      </c>
      <c r="Z26" s="52">
        <f>INDEX(Matching_Engine!$X$6:$X$95,$W26,1)+0.004</f>
      </c>
      <c r="AA26" s="52">
        <f>INDEX(Matching_Engine!$AC$6:$AC$95,$W26,1)+0.003</f>
      </c>
      <c r="AB26" s="52">
        <f>INDEX(Matching_Engine!$AJ$6:$AJ$95,$W26,1)+0.002</f>
      </c>
      <c r="AC26" s="52">
        <f>INDEX(Matching_Engine!$AO$6:$AO$95,$W26,1)+0.001</f>
      </c>
    </row>
    <row r="27" spans="1:29" x14ac:dyDescent="0.25">
      <c r="A27" s="50">
        <f>KOL_Database!$A$27</f>
      </c>
      <c r="B27" s="50">
        <f>KOL_Database!$B$27</f>
      </c>
      <c r="C27" s="50">
        <f>KOL_Database!$C$27</f>
      </c>
      <c r="D27" s="50">
        <f>KOL_Database!$D$27</f>
      </c>
      <c r="E27" s="50">
        <f>KOL_Database!$E$27</f>
      </c>
      <c r="F27" s="51">
        <f>INDEX(Matching_Engine!$AP$6:$AP$95,$W27,1)</f>
      </c>
      <c r="G27" s="50">
        <f>INDEX(Matching_Engine!$AQ$6:$AQ$95,$W27,1)</f>
      </c>
      <c r="H27" s="50">
        <f>INDEX(Matching_Engine!$AS$6:$AS$95,$W27,1)</f>
      </c>
      <c r="I27" s="50">
        <f>"Strongest on "&amp;INDEX(Lookup_Lists!$AC$6:$AC$11,MATCH(LARGE($X27:$AC27,1),$X27:$AC27,0),1)&amp;" at "&amp;ROUND(LARGE($X27:$AC27,1),0)&amp;"/100. "&amp;"Audience overlap "&amp;INDEX(Matching_Engine!$S$6:$S$95,$W27,1)&amp;"/100 against the "&amp;Brand_Profile!$G$16&amp;" / "&amp;Brand_Profile!$G$17&amp;" target; "&amp;KOL_Database!$E$27&amp;" content against a "&amp;Brand_Profile!$G$10&amp;" brief. "&amp;"Final Brand Match "&amp;INDEX(Matching_Engine!$AP$6:$AP$95,$W27,1)&amp;"/100 ("&amp;INDEX(Matching_Engine!$AQ$6:$AQ$95,$W27,1)&amp;")."</f>
      </c>
      <c r="J27" s="50">
        <f>IFERROR(INDEX(Lookup_Lists!$AC$6:$AC$11,MATCH(LARGE($X27:$AC27,1),$X27:$AC27,0),1)&amp;" — "&amp;ROUND(LARGE($X27:$AC27,1),0)&amp;"/100","")</f>
      </c>
      <c r="K27" s="50">
        <f>IFERROR(INDEX(Lookup_Lists!$AC$6:$AC$11,MATCH(LARGE($X27:$AC27,2),$X27:$AC27,0),1)&amp;" — "&amp;ROUND(LARGE($X27:$AC27,2),0)&amp;"/100","")</f>
      </c>
      <c r="L27" s="50">
        <f>IFERROR(INDEX(Lookup_Lists!$AC$6:$AC$11,MATCH(LARGE($X27:$AC27,3),$X27:$AC27,0),1)&amp;" — "&amp;ROUND(LARGE($X27:$AC27,3),0)&amp;"/100","")</f>
      </c>
      <c r="M27" s="50">
        <f>IFERROR(IF(SMALL($X27:$AC27,1)&gt;=Lookup_Lists!$D$161,"No material gap — "&amp;INDEX(Lookup_Lists!$AC$6:$AC$11,MATCH(SMALL($X27:$AC27,1),$X27:$AC27,0),1)&amp;" at "&amp;ROUND(SMALL($X27:$AC27,1),0)&amp;"/100",INDEX(Lookup_Lists!$AC$6:$AC$11,MATCH(SMALL($X27:$AC27,1),$X27:$AC27,0),1)&amp;" only "&amp;ROUND(SMALL($X27:$AC27,1),0)&amp;"/100"),"")</f>
      </c>
      <c r="N27" s="50">
        <f>IFERROR(IF(SMALL($X27:$AC27,2)&gt;=Lookup_Lists!$D$161,"No material gap — "&amp;INDEX(Lookup_Lists!$AC$6:$AC$11,MATCH(SMALL($X27:$AC27,2),$X27:$AC27,0),1)&amp;" at "&amp;ROUND(SMALL($X27:$AC27,2),0)&amp;"/100",INDEX(Lookup_Lists!$AC$6:$AC$11,MATCH(SMALL($X27:$AC27,2),$X27:$AC27,0),1)&amp;" only "&amp;ROUND(SMALL($X27:$AC27,2),0)&amp;"/100"),"")</f>
      </c>
      <c r="O27" s="50">
        <f>IFERROR(IF(SMALL($X27:$AC27,3)&gt;=Lookup_Lists!$D$161,"No material gap — "&amp;INDEX(Lookup_Lists!$AC$6:$AC$11,MATCH(SMALL($X27:$AC27,3),$X27:$AC27,0),1)&amp;" at "&amp;ROUND(SMALL($X27:$AC27,3),0)&amp;"/100",INDEX(Lookup_Lists!$AC$6:$AC$11,MATCH(SMALL($X27:$AC27,3),$X27:$AC27,0),1)&amp;" only "&amp;ROUND(SMALL($X27:$AC27,3),0)&amp;"/100"),"")</f>
      </c>
      <c r="P27" s="50">
        <f>IF(INDEX(Matching_Engine!$AM$6:$AM$95,$W27,1)="None","No risk flag — competitor saturation "&amp;INDEX(Matching_Engine!$AL$6:$AL$95,$W27,1)&amp;"/100",INDEX(Matching_Engine!$AM$6:$AM$95,$W27,1)&amp;" risk flag — competitor saturation "&amp;INDEX(Matching_Engine!$AL$6:$AL$95,$W27,1)&amp;"/100")</f>
      </c>
      <c r="Q27" s="50">
        <f>INDEX(Matching_Engine!$AX$6:$AX$95,$W27,1)</f>
      </c>
      <c r="R27" s="50">
        <f>"Industry "&amp;INDEX(Matching_Engine!$K$6:$K$95,$W27,1)&amp;"/100, category "&amp;INDEX(Matching_Engine!$L$6:$L$95,$W27,1)&amp;"/100, keywords "&amp;INDEX(Matching_Engine!$M$6:$M$95,$W27,1)&amp;"/100 — a "&amp;Brand_Profile!$G$10&amp;" brief against a "&amp;KOL_Database!$E$27&amp;" / "&amp;KOL_Database!$F$27&amp;" creator."</f>
      </c>
      <c r="S27" s="50">
        <f>"Age "&amp;INDEX(Matching_Engine!$O$6:$O$95,$W27,1)&amp;"/100, gender "&amp;INDEX(Matching_Engine!$P$6:$P$95,$W27,1)&amp;"/100, location "&amp;INDEX(Matching_Engine!$Q$6:$Q$95,$W27,1)&amp;"/100, interests "&amp;INDEX(Matching_Engine!$R$6:$R$95,$W27,1)&amp;"/100. Weighted with priority on "&amp;Brand_Profile!$G$23&amp;"."</f>
      </c>
      <c r="T27" s="50">
        <f>"Category "&amp;INDEX(Matching_Engine!$T$6:$T$95,$W27,1)&amp;"/100, sub category "&amp;INDEX(Matching_Engine!$U$6:$U$95,$W27,1)&amp;"/100, topics "&amp;INDEX(Matching_Engine!$V$6:$V$95,$W27,1)&amp;"/100, style "&amp;INDEX(Matching_Engine!$W$6:$W$95,$W27,1)&amp;"/100 — brief wants "&amp;Brand_Profile!$G$39&amp;", creator delivers "&amp;KOL_Database!$AJ$27&amp;"."</f>
      </c>
      <c r="U27" s="50">
        <f>"Personality "&amp;INDEX(Matching_Engine!$Y$6:$Y$95,$W27,1)&amp;"/100, tone vs style "&amp;INDEX(Matching_Engine!$Z$6:$Z$95,$W27,1)&amp;"/100, values "&amp;INDEX(Matching_Engine!$AA$6:$AA$95,$W27,1)&amp;"/100, communication "&amp;INDEX(Matching_Engine!$AB$6:$AB$95,$W27,1)&amp;"/100 — a "&amp;Brand_Profile!$G$25&amp;" / "&amp;Brand_Profile!$G$28&amp;" brand against a "&amp;KOL_Database!$AK$27&amp;" creator."</f>
      </c>
      <c r="V27" s="50">
        <f>IF(INDEX(Matching_Engine!$AM$6:$AM$95,$W27,1)="None","No risk flag. ",INDEX(Matching_Engine!$AM$6:$AM$95,$W27,1)&amp;" risk flag. ")&amp;"Brand Safety "&amp;INDEX(Matching_Engine!$AK$6:$AK$95,$W27,1)&amp;"/100, competitor saturation "&amp;INDEX(Matching_Engine!$AL$6:$AL$95,$W27,1)&amp;"/100"&amp;IF(INDEX(Matching_Engine!$AL$6:$AL$95,$W27,1)&gt;=70," — high, so treat it as a consideration rather than an automatic exclusion.",".")</f>
      </c>
      <c r="W27" s="50">
        <f>MATCH(Brand_Profile!$B$4&amp;"|"&amp;KOL_Database!$A$27,Matching_Engine!$AZ$6:$AZ$95,0)</f>
      </c>
      <c r="X27" s="52">
        <f>INDEX(Matching_Engine!$N$6:$N$95,$W27,1)+0.006</f>
      </c>
      <c r="Y27" s="52">
        <f>INDEX(Matching_Engine!$S$6:$S$95,$W27,1)+0.005</f>
      </c>
      <c r="Z27" s="52">
        <f>INDEX(Matching_Engine!$X$6:$X$95,$W27,1)+0.004</f>
      </c>
      <c r="AA27" s="52">
        <f>INDEX(Matching_Engine!$AC$6:$AC$95,$W27,1)+0.003</f>
      </c>
      <c r="AB27" s="52">
        <f>INDEX(Matching_Engine!$AJ$6:$AJ$95,$W27,1)+0.002</f>
      </c>
      <c r="AC27" s="52">
        <f>INDEX(Matching_Engine!$AO$6:$AO$95,$W27,1)+0.001</f>
      </c>
    </row>
    <row r="28" spans="1:29" x14ac:dyDescent="0.25">
      <c r="A28" s="50">
        <f>KOL_Database!$A$28</f>
      </c>
      <c r="B28" s="50">
        <f>KOL_Database!$B$28</f>
      </c>
      <c r="C28" s="50">
        <f>KOL_Database!$C$28</f>
      </c>
      <c r="D28" s="50">
        <f>KOL_Database!$D$28</f>
      </c>
      <c r="E28" s="50">
        <f>KOL_Database!$E$28</f>
      </c>
      <c r="F28" s="51">
        <f>INDEX(Matching_Engine!$AP$6:$AP$95,$W28,1)</f>
      </c>
      <c r="G28" s="50">
        <f>INDEX(Matching_Engine!$AQ$6:$AQ$95,$W28,1)</f>
      </c>
      <c r="H28" s="50">
        <f>INDEX(Matching_Engine!$AS$6:$AS$95,$W28,1)</f>
      </c>
      <c r="I28" s="50">
        <f>"Strongest on "&amp;INDEX(Lookup_Lists!$AC$6:$AC$11,MATCH(LARGE($X28:$AC28,1),$X28:$AC28,0),1)&amp;" at "&amp;ROUND(LARGE($X28:$AC28,1),0)&amp;"/100. "&amp;"Audience overlap "&amp;INDEX(Matching_Engine!$S$6:$S$95,$W28,1)&amp;"/100 against the "&amp;Brand_Profile!$G$16&amp;" / "&amp;Brand_Profile!$G$17&amp;" target; "&amp;KOL_Database!$E$28&amp;" content against a "&amp;Brand_Profile!$G$10&amp;" brief. "&amp;"Final Brand Match "&amp;INDEX(Matching_Engine!$AP$6:$AP$95,$W28,1)&amp;"/100 ("&amp;INDEX(Matching_Engine!$AQ$6:$AQ$95,$W28,1)&amp;")."</f>
      </c>
      <c r="J28" s="50">
        <f>IFERROR(INDEX(Lookup_Lists!$AC$6:$AC$11,MATCH(LARGE($X28:$AC28,1),$X28:$AC28,0),1)&amp;" — "&amp;ROUND(LARGE($X28:$AC28,1),0)&amp;"/100","")</f>
      </c>
      <c r="K28" s="50">
        <f>IFERROR(INDEX(Lookup_Lists!$AC$6:$AC$11,MATCH(LARGE($X28:$AC28,2),$X28:$AC28,0),1)&amp;" — "&amp;ROUND(LARGE($X28:$AC28,2),0)&amp;"/100","")</f>
      </c>
      <c r="L28" s="50">
        <f>IFERROR(INDEX(Lookup_Lists!$AC$6:$AC$11,MATCH(LARGE($X28:$AC28,3),$X28:$AC28,0),1)&amp;" — "&amp;ROUND(LARGE($X28:$AC28,3),0)&amp;"/100","")</f>
      </c>
      <c r="M28" s="50">
        <f>IFERROR(IF(SMALL($X28:$AC28,1)&gt;=Lookup_Lists!$D$161,"No material gap — "&amp;INDEX(Lookup_Lists!$AC$6:$AC$11,MATCH(SMALL($X28:$AC28,1),$X28:$AC28,0),1)&amp;" at "&amp;ROUND(SMALL($X28:$AC28,1),0)&amp;"/100",INDEX(Lookup_Lists!$AC$6:$AC$11,MATCH(SMALL($X28:$AC28,1),$X28:$AC28,0),1)&amp;" only "&amp;ROUND(SMALL($X28:$AC28,1),0)&amp;"/100"),"")</f>
      </c>
      <c r="N28" s="50">
        <f>IFERROR(IF(SMALL($X28:$AC28,2)&gt;=Lookup_Lists!$D$161,"No material gap — "&amp;INDEX(Lookup_Lists!$AC$6:$AC$11,MATCH(SMALL($X28:$AC28,2),$X28:$AC28,0),1)&amp;" at "&amp;ROUND(SMALL($X28:$AC28,2),0)&amp;"/100",INDEX(Lookup_Lists!$AC$6:$AC$11,MATCH(SMALL($X28:$AC28,2),$X28:$AC28,0),1)&amp;" only "&amp;ROUND(SMALL($X28:$AC28,2),0)&amp;"/100"),"")</f>
      </c>
      <c r="O28" s="50">
        <f>IFERROR(IF(SMALL($X28:$AC28,3)&gt;=Lookup_Lists!$D$161,"No material gap — "&amp;INDEX(Lookup_Lists!$AC$6:$AC$11,MATCH(SMALL($X28:$AC28,3),$X28:$AC28,0),1)&amp;" at "&amp;ROUND(SMALL($X28:$AC28,3),0)&amp;"/100",INDEX(Lookup_Lists!$AC$6:$AC$11,MATCH(SMALL($X28:$AC28,3),$X28:$AC28,0),1)&amp;" only "&amp;ROUND(SMALL($X28:$AC28,3),0)&amp;"/100"),"")</f>
      </c>
      <c r="P28" s="50">
        <f>IF(INDEX(Matching_Engine!$AM$6:$AM$95,$W28,1)="None","No risk flag — competitor saturation "&amp;INDEX(Matching_Engine!$AL$6:$AL$95,$W28,1)&amp;"/100",INDEX(Matching_Engine!$AM$6:$AM$95,$W28,1)&amp;" risk flag — competitor saturation "&amp;INDEX(Matching_Engine!$AL$6:$AL$95,$W28,1)&amp;"/100")</f>
      </c>
      <c r="Q28" s="50">
        <f>INDEX(Matching_Engine!$AX$6:$AX$95,$W28,1)</f>
      </c>
      <c r="R28" s="50">
        <f>"Industry "&amp;INDEX(Matching_Engine!$K$6:$K$95,$W28,1)&amp;"/100, category "&amp;INDEX(Matching_Engine!$L$6:$L$95,$W28,1)&amp;"/100, keywords "&amp;INDEX(Matching_Engine!$M$6:$M$95,$W28,1)&amp;"/100 — a "&amp;Brand_Profile!$G$10&amp;" brief against a "&amp;KOL_Database!$E$28&amp;" / "&amp;KOL_Database!$F$28&amp;" creator."</f>
      </c>
      <c r="S28" s="50">
        <f>"Age "&amp;INDEX(Matching_Engine!$O$6:$O$95,$W28,1)&amp;"/100, gender "&amp;INDEX(Matching_Engine!$P$6:$P$95,$W28,1)&amp;"/100, location "&amp;INDEX(Matching_Engine!$Q$6:$Q$95,$W28,1)&amp;"/100, interests "&amp;INDEX(Matching_Engine!$R$6:$R$95,$W28,1)&amp;"/100. Weighted with priority on "&amp;Brand_Profile!$G$23&amp;"."</f>
      </c>
      <c r="T28" s="50">
        <f>"Category "&amp;INDEX(Matching_Engine!$T$6:$T$95,$W28,1)&amp;"/100, sub category "&amp;INDEX(Matching_Engine!$U$6:$U$95,$W28,1)&amp;"/100, topics "&amp;INDEX(Matching_Engine!$V$6:$V$95,$W28,1)&amp;"/100, style "&amp;INDEX(Matching_Engine!$W$6:$W$95,$W28,1)&amp;"/100 — brief wants "&amp;Brand_Profile!$G$39&amp;", creator delivers "&amp;KOL_Database!$AJ$28&amp;"."</f>
      </c>
      <c r="U28" s="50">
        <f>"Personality "&amp;INDEX(Matching_Engine!$Y$6:$Y$95,$W28,1)&amp;"/100, tone vs style "&amp;INDEX(Matching_Engine!$Z$6:$Z$95,$W28,1)&amp;"/100, values "&amp;INDEX(Matching_Engine!$AA$6:$AA$95,$W28,1)&amp;"/100, communication "&amp;INDEX(Matching_Engine!$AB$6:$AB$95,$W28,1)&amp;"/100 — a "&amp;Brand_Profile!$G$25&amp;" / "&amp;Brand_Profile!$G$28&amp;" brand against a "&amp;KOL_Database!$AK$28&amp;" creator."</f>
      </c>
      <c r="V28" s="50">
        <f>IF(INDEX(Matching_Engine!$AM$6:$AM$95,$W28,1)="None","No risk flag. ",INDEX(Matching_Engine!$AM$6:$AM$95,$W28,1)&amp;" risk flag. ")&amp;"Brand Safety "&amp;INDEX(Matching_Engine!$AK$6:$AK$95,$W28,1)&amp;"/100, competitor saturation "&amp;INDEX(Matching_Engine!$AL$6:$AL$95,$W28,1)&amp;"/100"&amp;IF(INDEX(Matching_Engine!$AL$6:$AL$95,$W28,1)&gt;=70," — high, so treat it as a consideration rather than an automatic exclusion.",".")</f>
      </c>
      <c r="W28" s="50">
        <f>MATCH(Brand_Profile!$B$4&amp;"|"&amp;KOL_Database!$A$28,Matching_Engine!$AZ$6:$AZ$95,0)</f>
      </c>
      <c r="X28" s="52">
        <f>INDEX(Matching_Engine!$N$6:$N$95,$W28,1)+0.006</f>
      </c>
      <c r="Y28" s="52">
        <f>INDEX(Matching_Engine!$S$6:$S$95,$W28,1)+0.005</f>
      </c>
      <c r="Z28" s="52">
        <f>INDEX(Matching_Engine!$X$6:$X$95,$W28,1)+0.004</f>
      </c>
      <c r="AA28" s="52">
        <f>INDEX(Matching_Engine!$AC$6:$AC$95,$W28,1)+0.003</f>
      </c>
      <c r="AB28" s="52">
        <f>INDEX(Matching_Engine!$AJ$6:$AJ$95,$W28,1)+0.002</f>
      </c>
      <c r="AC28" s="52">
        <f>INDEX(Matching_Engine!$AO$6:$AO$95,$W28,1)+0.001</f>
      </c>
    </row>
    <row r="29" spans="1:29" x14ac:dyDescent="0.25">
      <c r="A29" s="50">
        <f>KOL_Database!$A$29</f>
      </c>
      <c r="B29" s="50">
        <f>KOL_Database!$B$29</f>
      </c>
      <c r="C29" s="50">
        <f>KOL_Database!$C$29</f>
      </c>
      <c r="D29" s="50">
        <f>KOL_Database!$D$29</f>
      </c>
      <c r="E29" s="50">
        <f>KOL_Database!$E$29</f>
      </c>
      <c r="F29" s="51">
        <f>INDEX(Matching_Engine!$AP$6:$AP$95,$W29,1)</f>
      </c>
      <c r="G29" s="50">
        <f>INDEX(Matching_Engine!$AQ$6:$AQ$95,$W29,1)</f>
      </c>
      <c r="H29" s="50">
        <f>INDEX(Matching_Engine!$AS$6:$AS$95,$W29,1)</f>
      </c>
      <c r="I29" s="50">
        <f>"Strongest on "&amp;INDEX(Lookup_Lists!$AC$6:$AC$11,MATCH(LARGE($X29:$AC29,1),$X29:$AC29,0),1)&amp;" at "&amp;ROUND(LARGE($X29:$AC29,1),0)&amp;"/100. "&amp;"Audience overlap "&amp;INDEX(Matching_Engine!$S$6:$S$95,$W29,1)&amp;"/100 against the "&amp;Brand_Profile!$G$16&amp;" / "&amp;Brand_Profile!$G$17&amp;" target; "&amp;KOL_Database!$E$29&amp;" content against a "&amp;Brand_Profile!$G$10&amp;" brief. "&amp;"Final Brand Match "&amp;INDEX(Matching_Engine!$AP$6:$AP$95,$W29,1)&amp;"/100 ("&amp;INDEX(Matching_Engine!$AQ$6:$AQ$95,$W29,1)&amp;")."</f>
      </c>
      <c r="J29" s="50">
        <f>IFERROR(INDEX(Lookup_Lists!$AC$6:$AC$11,MATCH(LARGE($X29:$AC29,1),$X29:$AC29,0),1)&amp;" — "&amp;ROUND(LARGE($X29:$AC29,1),0)&amp;"/100","")</f>
      </c>
      <c r="K29" s="50">
        <f>IFERROR(INDEX(Lookup_Lists!$AC$6:$AC$11,MATCH(LARGE($X29:$AC29,2),$X29:$AC29,0),1)&amp;" — "&amp;ROUND(LARGE($X29:$AC29,2),0)&amp;"/100","")</f>
      </c>
      <c r="L29" s="50">
        <f>IFERROR(INDEX(Lookup_Lists!$AC$6:$AC$11,MATCH(LARGE($X29:$AC29,3),$X29:$AC29,0),1)&amp;" — "&amp;ROUND(LARGE($X29:$AC29,3),0)&amp;"/100","")</f>
      </c>
      <c r="M29" s="50">
        <f>IFERROR(IF(SMALL($X29:$AC29,1)&gt;=Lookup_Lists!$D$161,"No material gap — "&amp;INDEX(Lookup_Lists!$AC$6:$AC$11,MATCH(SMALL($X29:$AC29,1),$X29:$AC29,0),1)&amp;" at "&amp;ROUND(SMALL($X29:$AC29,1),0)&amp;"/100",INDEX(Lookup_Lists!$AC$6:$AC$11,MATCH(SMALL($X29:$AC29,1),$X29:$AC29,0),1)&amp;" only "&amp;ROUND(SMALL($X29:$AC29,1),0)&amp;"/100"),"")</f>
      </c>
      <c r="N29" s="50">
        <f>IFERROR(IF(SMALL($X29:$AC29,2)&gt;=Lookup_Lists!$D$161,"No material gap — "&amp;INDEX(Lookup_Lists!$AC$6:$AC$11,MATCH(SMALL($X29:$AC29,2),$X29:$AC29,0),1)&amp;" at "&amp;ROUND(SMALL($X29:$AC29,2),0)&amp;"/100",INDEX(Lookup_Lists!$AC$6:$AC$11,MATCH(SMALL($X29:$AC29,2),$X29:$AC29,0),1)&amp;" only "&amp;ROUND(SMALL($X29:$AC29,2),0)&amp;"/100"),"")</f>
      </c>
      <c r="O29" s="50">
        <f>IFERROR(IF(SMALL($X29:$AC29,3)&gt;=Lookup_Lists!$D$161,"No material gap — "&amp;INDEX(Lookup_Lists!$AC$6:$AC$11,MATCH(SMALL($X29:$AC29,3),$X29:$AC29,0),1)&amp;" at "&amp;ROUND(SMALL($X29:$AC29,3),0)&amp;"/100",INDEX(Lookup_Lists!$AC$6:$AC$11,MATCH(SMALL($X29:$AC29,3),$X29:$AC29,0),1)&amp;" only "&amp;ROUND(SMALL($X29:$AC29,3),0)&amp;"/100"),"")</f>
      </c>
      <c r="P29" s="50">
        <f>IF(INDEX(Matching_Engine!$AM$6:$AM$95,$W29,1)="None","No risk flag — competitor saturation "&amp;INDEX(Matching_Engine!$AL$6:$AL$95,$W29,1)&amp;"/100",INDEX(Matching_Engine!$AM$6:$AM$95,$W29,1)&amp;" risk flag — competitor saturation "&amp;INDEX(Matching_Engine!$AL$6:$AL$95,$W29,1)&amp;"/100")</f>
      </c>
      <c r="Q29" s="50">
        <f>INDEX(Matching_Engine!$AX$6:$AX$95,$W29,1)</f>
      </c>
      <c r="R29" s="50">
        <f>"Industry "&amp;INDEX(Matching_Engine!$K$6:$K$95,$W29,1)&amp;"/100, category "&amp;INDEX(Matching_Engine!$L$6:$L$95,$W29,1)&amp;"/100, keywords "&amp;INDEX(Matching_Engine!$M$6:$M$95,$W29,1)&amp;"/100 — a "&amp;Brand_Profile!$G$10&amp;" brief against a "&amp;KOL_Database!$E$29&amp;" / "&amp;KOL_Database!$F$29&amp;" creator."</f>
      </c>
      <c r="S29" s="50">
        <f>"Age "&amp;INDEX(Matching_Engine!$O$6:$O$95,$W29,1)&amp;"/100, gender "&amp;INDEX(Matching_Engine!$P$6:$P$95,$W29,1)&amp;"/100, location "&amp;INDEX(Matching_Engine!$Q$6:$Q$95,$W29,1)&amp;"/100, interests "&amp;INDEX(Matching_Engine!$R$6:$R$95,$W29,1)&amp;"/100. Weighted with priority on "&amp;Brand_Profile!$G$23&amp;"."</f>
      </c>
      <c r="T29" s="50">
        <f>"Category "&amp;INDEX(Matching_Engine!$T$6:$T$95,$W29,1)&amp;"/100, sub category "&amp;INDEX(Matching_Engine!$U$6:$U$95,$W29,1)&amp;"/100, topics "&amp;INDEX(Matching_Engine!$V$6:$V$95,$W29,1)&amp;"/100, style "&amp;INDEX(Matching_Engine!$W$6:$W$95,$W29,1)&amp;"/100 — brief wants "&amp;Brand_Profile!$G$39&amp;", creator delivers "&amp;KOL_Database!$AJ$29&amp;"."</f>
      </c>
      <c r="U29" s="50">
        <f>"Personality "&amp;INDEX(Matching_Engine!$Y$6:$Y$95,$W29,1)&amp;"/100, tone vs style "&amp;INDEX(Matching_Engine!$Z$6:$Z$95,$W29,1)&amp;"/100, values "&amp;INDEX(Matching_Engine!$AA$6:$AA$95,$W29,1)&amp;"/100, communication "&amp;INDEX(Matching_Engine!$AB$6:$AB$95,$W29,1)&amp;"/100 — a "&amp;Brand_Profile!$G$25&amp;" / "&amp;Brand_Profile!$G$28&amp;" brand against a "&amp;KOL_Database!$AK$29&amp;" creator."</f>
      </c>
      <c r="V29" s="50">
        <f>IF(INDEX(Matching_Engine!$AM$6:$AM$95,$W29,1)="None","No risk flag. ",INDEX(Matching_Engine!$AM$6:$AM$95,$W29,1)&amp;" risk flag. ")&amp;"Brand Safety "&amp;INDEX(Matching_Engine!$AK$6:$AK$95,$W29,1)&amp;"/100, competitor saturation "&amp;INDEX(Matching_Engine!$AL$6:$AL$95,$W29,1)&amp;"/100"&amp;IF(INDEX(Matching_Engine!$AL$6:$AL$95,$W29,1)&gt;=70," — high, so treat it as a consideration rather than an automatic exclusion.",".")</f>
      </c>
      <c r="W29" s="50">
        <f>MATCH(Brand_Profile!$B$4&amp;"|"&amp;KOL_Database!$A$29,Matching_Engine!$AZ$6:$AZ$95,0)</f>
      </c>
      <c r="X29" s="52">
        <f>INDEX(Matching_Engine!$N$6:$N$95,$W29,1)+0.006</f>
      </c>
      <c r="Y29" s="52">
        <f>INDEX(Matching_Engine!$S$6:$S$95,$W29,1)+0.005</f>
      </c>
      <c r="Z29" s="52">
        <f>INDEX(Matching_Engine!$X$6:$X$95,$W29,1)+0.004</f>
      </c>
      <c r="AA29" s="52">
        <f>INDEX(Matching_Engine!$AC$6:$AC$95,$W29,1)+0.003</f>
      </c>
      <c r="AB29" s="52">
        <f>INDEX(Matching_Engine!$AJ$6:$AJ$95,$W29,1)+0.002</f>
      </c>
      <c r="AC29" s="52">
        <f>INDEX(Matching_Engine!$AO$6:$AO$95,$W29,1)+0.001</f>
      </c>
    </row>
    <row r="30" spans="1:29" x14ac:dyDescent="0.25">
      <c r="A30" s="50">
        <f>KOL_Database!$A$30</f>
      </c>
      <c r="B30" s="50">
        <f>KOL_Database!$B$30</f>
      </c>
      <c r="C30" s="50">
        <f>KOL_Database!$C$30</f>
      </c>
      <c r="D30" s="50">
        <f>KOL_Database!$D$30</f>
      </c>
      <c r="E30" s="50">
        <f>KOL_Database!$E$30</f>
      </c>
      <c r="F30" s="51">
        <f>INDEX(Matching_Engine!$AP$6:$AP$95,$W30,1)</f>
      </c>
      <c r="G30" s="50">
        <f>INDEX(Matching_Engine!$AQ$6:$AQ$95,$W30,1)</f>
      </c>
      <c r="H30" s="50">
        <f>INDEX(Matching_Engine!$AS$6:$AS$95,$W30,1)</f>
      </c>
      <c r="I30" s="50">
        <f>"Strongest on "&amp;INDEX(Lookup_Lists!$AC$6:$AC$11,MATCH(LARGE($X30:$AC30,1),$X30:$AC30,0),1)&amp;" at "&amp;ROUND(LARGE($X30:$AC30,1),0)&amp;"/100. "&amp;"Audience overlap "&amp;INDEX(Matching_Engine!$S$6:$S$95,$W30,1)&amp;"/100 against the "&amp;Brand_Profile!$G$16&amp;" / "&amp;Brand_Profile!$G$17&amp;" target; "&amp;KOL_Database!$E$30&amp;" content against a "&amp;Brand_Profile!$G$10&amp;" brief. "&amp;"Final Brand Match "&amp;INDEX(Matching_Engine!$AP$6:$AP$95,$W30,1)&amp;"/100 ("&amp;INDEX(Matching_Engine!$AQ$6:$AQ$95,$W30,1)&amp;")."</f>
      </c>
      <c r="J30" s="50">
        <f>IFERROR(INDEX(Lookup_Lists!$AC$6:$AC$11,MATCH(LARGE($X30:$AC30,1),$X30:$AC30,0),1)&amp;" — "&amp;ROUND(LARGE($X30:$AC30,1),0)&amp;"/100","")</f>
      </c>
      <c r="K30" s="50">
        <f>IFERROR(INDEX(Lookup_Lists!$AC$6:$AC$11,MATCH(LARGE($X30:$AC30,2),$X30:$AC30,0),1)&amp;" — "&amp;ROUND(LARGE($X30:$AC30,2),0)&amp;"/100","")</f>
      </c>
      <c r="L30" s="50">
        <f>IFERROR(INDEX(Lookup_Lists!$AC$6:$AC$11,MATCH(LARGE($X30:$AC30,3),$X30:$AC30,0),1)&amp;" — "&amp;ROUND(LARGE($X30:$AC30,3),0)&amp;"/100","")</f>
      </c>
      <c r="M30" s="50">
        <f>IFERROR(IF(SMALL($X30:$AC30,1)&gt;=Lookup_Lists!$D$161,"No material gap — "&amp;INDEX(Lookup_Lists!$AC$6:$AC$11,MATCH(SMALL($X30:$AC30,1),$X30:$AC30,0),1)&amp;" at "&amp;ROUND(SMALL($X30:$AC30,1),0)&amp;"/100",INDEX(Lookup_Lists!$AC$6:$AC$11,MATCH(SMALL($X30:$AC30,1),$X30:$AC30,0),1)&amp;" only "&amp;ROUND(SMALL($X30:$AC30,1),0)&amp;"/100"),"")</f>
      </c>
      <c r="N30" s="50">
        <f>IFERROR(IF(SMALL($X30:$AC30,2)&gt;=Lookup_Lists!$D$161,"No material gap — "&amp;INDEX(Lookup_Lists!$AC$6:$AC$11,MATCH(SMALL($X30:$AC30,2),$X30:$AC30,0),1)&amp;" at "&amp;ROUND(SMALL($X30:$AC30,2),0)&amp;"/100",INDEX(Lookup_Lists!$AC$6:$AC$11,MATCH(SMALL($X30:$AC30,2),$X30:$AC30,0),1)&amp;" only "&amp;ROUND(SMALL($X30:$AC30,2),0)&amp;"/100"),"")</f>
      </c>
      <c r="O30" s="50">
        <f>IFERROR(IF(SMALL($X30:$AC30,3)&gt;=Lookup_Lists!$D$161,"No material gap — "&amp;INDEX(Lookup_Lists!$AC$6:$AC$11,MATCH(SMALL($X30:$AC30,3),$X30:$AC30,0),1)&amp;" at "&amp;ROUND(SMALL($X30:$AC30,3),0)&amp;"/100",INDEX(Lookup_Lists!$AC$6:$AC$11,MATCH(SMALL($X30:$AC30,3),$X30:$AC30,0),1)&amp;" only "&amp;ROUND(SMALL($X30:$AC30,3),0)&amp;"/100"),"")</f>
      </c>
      <c r="P30" s="50">
        <f>IF(INDEX(Matching_Engine!$AM$6:$AM$95,$W30,1)="None","No risk flag — competitor saturation "&amp;INDEX(Matching_Engine!$AL$6:$AL$95,$W30,1)&amp;"/100",INDEX(Matching_Engine!$AM$6:$AM$95,$W30,1)&amp;" risk flag — competitor saturation "&amp;INDEX(Matching_Engine!$AL$6:$AL$95,$W30,1)&amp;"/100")</f>
      </c>
      <c r="Q30" s="50">
        <f>INDEX(Matching_Engine!$AX$6:$AX$95,$W30,1)</f>
      </c>
      <c r="R30" s="50">
        <f>"Industry "&amp;INDEX(Matching_Engine!$K$6:$K$95,$W30,1)&amp;"/100, category "&amp;INDEX(Matching_Engine!$L$6:$L$95,$W30,1)&amp;"/100, keywords "&amp;INDEX(Matching_Engine!$M$6:$M$95,$W30,1)&amp;"/100 — a "&amp;Brand_Profile!$G$10&amp;" brief against a "&amp;KOL_Database!$E$30&amp;" / "&amp;KOL_Database!$F$30&amp;" creator."</f>
      </c>
      <c r="S30" s="50">
        <f>"Age "&amp;INDEX(Matching_Engine!$O$6:$O$95,$W30,1)&amp;"/100, gender "&amp;INDEX(Matching_Engine!$P$6:$P$95,$W30,1)&amp;"/100, location "&amp;INDEX(Matching_Engine!$Q$6:$Q$95,$W30,1)&amp;"/100, interests "&amp;INDEX(Matching_Engine!$R$6:$R$95,$W30,1)&amp;"/100. Weighted with priority on "&amp;Brand_Profile!$G$23&amp;"."</f>
      </c>
      <c r="T30" s="50">
        <f>"Category "&amp;INDEX(Matching_Engine!$T$6:$T$95,$W30,1)&amp;"/100, sub category "&amp;INDEX(Matching_Engine!$U$6:$U$95,$W30,1)&amp;"/100, topics "&amp;INDEX(Matching_Engine!$V$6:$V$95,$W30,1)&amp;"/100, style "&amp;INDEX(Matching_Engine!$W$6:$W$95,$W30,1)&amp;"/100 — brief wants "&amp;Brand_Profile!$G$39&amp;", creator delivers "&amp;KOL_Database!$AJ$30&amp;"."</f>
      </c>
      <c r="U30" s="50">
        <f>"Personality "&amp;INDEX(Matching_Engine!$Y$6:$Y$95,$W30,1)&amp;"/100, tone vs style "&amp;INDEX(Matching_Engine!$Z$6:$Z$95,$W30,1)&amp;"/100, values "&amp;INDEX(Matching_Engine!$AA$6:$AA$95,$W30,1)&amp;"/100, communication "&amp;INDEX(Matching_Engine!$AB$6:$AB$95,$W30,1)&amp;"/100 — a "&amp;Brand_Profile!$G$25&amp;" / "&amp;Brand_Profile!$G$28&amp;" brand against a "&amp;KOL_Database!$AK$30&amp;" creator."</f>
      </c>
      <c r="V30" s="50">
        <f>IF(INDEX(Matching_Engine!$AM$6:$AM$95,$W30,1)="None","No risk flag. ",INDEX(Matching_Engine!$AM$6:$AM$95,$W30,1)&amp;" risk flag. ")&amp;"Brand Safety "&amp;INDEX(Matching_Engine!$AK$6:$AK$95,$W30,1)&amp;"/100, competitor saturation "&amp;INDEX(Matching_Engine!$AL$6:$AL$95,$W30,1)&amp;"/100"&amp;IF(INDEX(Matching_Engine!$AL$6:$AL$95,$W30,1)&gt;=70," — high, so treat it as a consideration rather than an automatic exclusion.",".")</f>
      </c>
      <c r="W30" s="50">
        <f>MATCH(Brand_Profile!$B$4&amp;"|"&amp;KOL_Database!$A$30,Matching_Engine!$AZ$6:$AZ$95,0)</f>
      </c>
      <c r="X30" s="52">
        <f>INDEX(Matching_Engine!$N$6:$N$95,$W30,1)+0.006</f>
      </c>
      <c r="Y30" s="52">
        <f>INDEX(Matching_Engine!$S$6:$S$95,$W30,1)+0.005</f>
      </c>
      <c r="Z30" s="52">
        <f>INDEX(Matching_Engine!$X$6:$X$95,$W30,1)+0.004</f>
      </c>
      <c r="AA30" s="52">
        <f>INDEX(Matching_Engine!$AC$6:$AC$95,$W30,1)+0.003</f>
      </c>
      <c r="AB30" s="52">
        <f>INDEX(Matching_Engine!$AJ$6:$AJ$95,$W30,1)+0.002</f>
      </c>
      <c r="AC30" s="52">
        <f>INDEX(Matching_Engine!$AO$6:$AO$95,$W30,1)+0.001</f>
      </c>
    </row>
    <row r="31" spans="1:29" x14ac:dyDescent="0.25">
      <c r="A31" s="50">
        <f>KOL_Database!$A$31</f>
      </c>
      <c r="B31" s="50">
        <f>KOL_Database!$B$31</f>
      </c>
      <c r="C31" s="50">
        <f>KOL_Database!$C$31</f>
      </c>
      <c r="D31" s="50">
        <f>KOL_Database!$D$31</f>
      </c>
      <c r="E31" s="50">
        <f>KOL_Database!$E$31</f>
      </c>
      <c r="F31" s="51">
        <f>INDEX(Matching_Engine!$AP$6:$AP$95,$W31,1)</f>
      </c>
      <c r="G31" s="50">
        <f>INDEX(Matching_Engine!$AQ$6:$AQ$95,$W31,1)</f>
      </c>
      <c r="H31" s="50">
        <f>INDEX(Matching_Engine!$AS$6:$AS$95,$W31,1)</f>
      </c>
      <c r="I31" s="50">
        <f>"Strongest on "&amp;INDEX(Lookup_Lists!$AC$6:$AC$11,MATCH(LARGE($X31:$AC31,1),$X31:$AC31,0),1)&amp;" at "&amp;ROUND(LARGE($X31:$AC31,1),0)&amp;"/100. "&amp;"Audience overlap "&amp;INDEX(Matching_Engine!$S$6:$S$95,$W31,1)&amp;"/100 against the "&amp;Brand_Profile!$G$16&amp;" / "&amp;Brand_Profile!$G$17&amp;" target; "&amp;KOL_Database!$E$31&amp;" content against a "&amp;Brand_Profile!$G$10&amp;" brief. "&amp;"Final Brand Match "&amp;INDEX(Matching_Engine!$AP$6:$AP$95,$W31,1)&amp;"/100 ("&amp;INDEX(Matching_Engine!$AQ$6:$AQ$95,$W31,1)&amp;")."</f>
      </c>
      <c r="J31" s="50">
        <f>IFERROR(INDEX(Lookup_Lists!$AC$6:$AC$11,MATCH(LARGE($X31:$AC31,1),$X31:$AC31,0),1)&amp;" — "&amp;ROUND(LARGE($X31:$AC31,1),0)&amp;"/100","")</f>
      </c>
      <c r="K31" s="50">
        <f>IFERROR(INDEX(Lookup_Lists!$AC$6:$AC$11,MATCH(LARGE($X31:$AC31,2),$X31:$AC31,0),1)&amp;" — "&amp;ROUND(LARGE($X31:$AC31,2),0)&amp;"/100","")</f>
      </c>
      <c r="L31" s="50">
        <f>IFERROR(INDEX(Lookup_Lists!$AC$6:$AC$11,MATCH(LARGE($X31:$AC31,3),$X31:$AC31,0),1)&amp;" — "&amp;ROUND(LARGE($X31:$AC31,3),0)&amp;"/100","")</f>
      </c>
      <c r="M31" s="50">
        <f>IFERROR(IF(SMALL($X31:$AC31,1)&gt;=Lookup_Lists!$D$161,"No material gap — "&amp;INDEX(Lookup_Lists!$AC$6:$AC$11,MATCH(SMALL($X31:$AC31,1),$X31:$AC31,0),1)&amp;" at "&amp;ROUND(SMALL($X31:$AC31,1),0)&amp;"/100",INDEX(Lookup_Lists!$AC$6:$AC$11,MATCH(SMALL($X31:$AC31,1),$X31:$AC31,0),1)&amp;" only "&amp;ROUND(SMALL($X31:$AC31,1),0)&amp;"/100"),"")</f>
      </c>
      <c r="N31" s="50">
        <f>IFERROR(IF(SMALL($X31:$AC31,2)&gt;=Lookup_Lists!$D$161,"No material gap — "&amp;INDEX(Lookup_Lists!$AC$6:$AC$11,MATCH(SMALL($X31:$AC31,2),$X31:$AC31,0),1)&amp;" at "&amp;ROUND(SMALL($X31:$AC31,2),0)&amp;"/100",INDEX(Lookup_Lists!$AC$6:$AC$11,MATCH(SMALL($X31:$AC31,2),$X31:$AC31,0),1)&amp;" only "&amp;ROUND(SMALL($X31:$AC31,2),0)&amp;"/100"),"")</f>
      </c>
      <c r="O31" s="50">
        <f>IFERROR(IF(SMALL($X31:$AC31,3)&gt;=Lookup_Lists!$D$161,"No material gap — "&amp;INDEX(Lookup_Lists!$AC$6:$AC$11,MATCH(SMALL($X31:$AC31,3),$X31:$AC31,0),1)&amp;" at "&amp;ROUND(SMALL($X31:$AC31,3),0)&amp;"/100",INDEX(Lookup_Lists!$AC$6:$AC$11,MATCH(SMALL($X31:$AC31,3),$X31:$AC31,0),1)&amp;" only "&amp;ROUND(SMALL($X31:$AC31,3),0)&amp;"/100"),"")</f>
      </c>
      <c r="P31" s="50">
        <f>IF(INDEX(Matching_Engine!$AM$6:$AM$95,$W31,1)="None","No risk flag — competitor saturation "&amp;INDEX(Matching_Engine!$AL$6:$AL$95,$W31,1)&amp;"/100",INDEX(Matching_Engine!$AM$6:$AM$95,$W31,1)&amp;" risk flag — competitor saturation "&amp;INDEX(Matching_Engine!$AL$6:$AL$95,$W31,1)&amp;"/100")</f>
      </c>
      <c r="Q31" s="50">
        <f>INDEX(Matching_Engine!$AX$6:$AX$95,$W31,1)</f>
      </c>
      <c r="R31" s="50">
        <f>"Industry "&amp;INDEX(Matching_Engine!$K$6:$K$95,$W31,1)&amp;"/100, category "&amp;INDEX(Matching_Engine!$L$6:$L$95,$W31,1)&amp;"/100, keywords "&amp;INDEX(Matching_Engine!$M$6:$M$95,$W31,1)&amp;"/100 — a "&amp;Brand_Profile!$G$10&amp;" brief against a "&amp;KOL_Database!$E$31&amp;" / "&amp;KOL_Database!$F$31&amp;" creator."</f>
      </c>
      <c r="S31" s="50">
        <f>"Age "&amp;INDEX(Matching_Engine!$O$6:$O$95,$W31,1)&amp;"/100, gender "&amp;INDEX(Matching_Engine!$P$6:$P$95,$W31,1)&amp;"/100, location "&amp;INDEX(Matching_Engine!$Q$6:$Q$95,$W31,1)&amp;"/100, interests "&amp;INDEX(Matching_Engine!$R$6:$R$95,$W31,1)&amp;"/100. Weighted with priority on "&amp;Brand_Profile!$G$23&amp;"."</f>
      </c>
      <c r="T31" s="50">
        <f>"Category "&amp;INDEX(Matching_Engine!$T$6:$T$95,$W31,1)&amp;"/100, sub category "&amp;INDEX(Matching_Engine!$U$6:$U$95,$W31,1)&amp;"/100, topics "&amp;INDEX(Matching_Engine!$V$6:$V$95,$W31,1)&amp;"/100, style "&amp;INDEX(Matching_Engine!$W$6:$W$95,$W31,1)&amp;"/100 — brief wants "&amp;Brand_Profile!$G$39&amp;", creator delivers "&amp;KOL_Database!$AJ$31&amp;"."</f>
      </c>
      <c r="U31" s="50">
        <f>"Personality "&amp;INDEX(Matching_Engine!$Y$6:$Y$95,$W31,1)&amp;"/100, tone vs style "&amp;INDEX(Matching_Engine!$Z$6:$Z$95,$W31,1)&amp;"/100, values "&amp;INDEX(Matching_Engine!$AA$6:$AA$95,$W31,1)&amp;"/100, communication "&amp;INDEX(Matching_Engine!$AB$6:$AB$95,$W31,1)&amp;"/100 — a "&amp;Brand_Profile!$G$25&amp;" / "&amp;Brand_Profile!$G$28&amp;" brand against a "&amp;KOL_Database!$AK$31&amp;" creator."</f>
      </c>
      <c r="V31" s="50">
        <f>IF(INDEX(Matching_Engine!$AM$6:$AM$95,$W31,1)="None","No risk flag. ",INDEX(Matching_Engine!$AM$6:$AM$95,$W31,1)&amp;" risk flag. ")&amp;"Brand Safety "&amp;INDEX(Matching_Engine!$AK$6:$AK$95,$W31,1)&amp;"/100, competitor saturation "&amp;INDEX(Matching_Engine!$AL$6:$AL$95,$W31,1)&amp;"/100"&amp;IF(INDEX(Matching_Engine!$AL$6:$AL$95,$W31,1)&gt;=70," — high, so treat it as a consideration rather than an automatic exclusion.",".")</f>
      </c>
      <c r="W31" s="50">
        <f>MATCH(Brand_Profile!$B$4&amp;"|"&amp;KOL_Database!$A$31,Matching_Engine!$AZ$6:$AZ$95,0)</f>
      </c>
      <c r="X31" s="52">
        <f>INDEX(Matching_Engine!$N$6:$N$95,$W31,1)+0.006</f>
      </c>
      <c r="Y31" s="52">
        <f>INDEX(Matching_Engine!$S$6:$S$95,$W31,1)+0.005</f>
      </c>
      <c r="Z31" s="52">
        <f>INDEX(Matching_Engine!$X$6:$X$95,$W31,1)+0.004</f>
      </c>
      <c r="AA31" s="52">
        <f>INDEX(Matching_Engine!$AC$6:$AC$95,$W31,1)+0.003</f>
      </c>
      <c r="AB31" s="52">
        <f>INDEX(Matching_Engine!$AJ$6:$AJ$95,$W31,1)+0.002</f>
      </c>
      <c r="AC31" s="52">
        <f>INDEX(Matching_Engine!$AO$6:$AO$95,$W31,1)+0.001</f>
      </c>
    </row>
    <row r="32" spans="1:29" x14ac:dyDescent="0.25">
      <c r="A32" s="50">
        <f>KOL_Database!$A$32</f>
      </c>
      <c r="B32" s="50">
        <f>KOL_Database!$B$32</f>
      </c>
      <c r="C32" s="50">
        <f>KOL_Database!$C$32</f>
      </c>
      <c r="D32" s="50">
        <f>KOL_Database!$D$32</f>
      </c>
      <c r="E32" s="50">
        <f>KOL_Database!$E$32</f>
      </c>
      <c r="F32" s="51">
        <f>INDEX(Matching_Engine!$AP$6:$AP$95,$W32,1)</f>
      </c>
      <c r="G32" s="50">
        <f>INDEX(Matching_Engine!$AQ$6:$AQ$95,$W32,1)</f>
      </c>
      <c r="H32" s="50">
        <f>INDEX(Matching_Engine!$AS$6:$AS$95,$W32,1)</f>
      </c>
      <c r="I32" s="50">
        <f>"Strongest on "&amp;INDEX(Lookup_Lists!$AC$6:$AC$11,MATCH(LARGE($X32:$AC32,1),$X32:$AC32,0),1)&amp;" at "&amp;ROUND(LARGE($X32:$AC32,1),0)&amp;"/100. "&amp;"Audience overlap "&amp;INDEX(Matching_Engine!$S$6:$S$95,$W32,1)&amp;"/100 against the "&amp;Brand_Profile!$G$16&amp;" / "&amp;Brand_Profile!$G$17&amp;" target; "&amp;KOL_Database!$E$32&amp;" content against a "&amp;Brand_Profile!$G$10&amp;" brief. "&amp;"Final Brand Match "&amp;INDEX(Matching_Engine!$AP$6:$AP$95,$W32,1)&amp;"/100 ("&amp;INDEX(Matching_Engine!$AQ$6:$AQ$95,$W32,1)&amp;")."</f>
      </c>
      <c r="J32" s="50">
        <f>IFERROR(INDEX(Lookup_Lists!$AC$6:$AC$11,MATCH(LARGE($X32:$AC32,1),$X32:$AC32,0),1)&amp;" — "&amp;ROUND(LARGE($X32:$AC32,1),0)&amp;"/100","")</f>
      </c>
      <c r="K32" s="50">
        <f>IFERROR(INDEX(Lookup_Lists!$AC$6:$AC$11,MATCH(LARGE($X32:$AC32,2),$X32:$AC32,0),1)&amp;" — "&amp;ROUND(LARGE($X32:$AC32,2),0)&amp;"/100","")</f>
      </c>
      <c r="L32" s="50">
        <f>IFERROR(INDEX(Lookup_Lists!$AC$6:$AC$11,MATCH(LARGE($X32:$AC32,3),$X32:$AC32,0),1)&amp;" — "&amp;ROUND(LARGE($X32:$AC32,3),0)&amp;"/100","")</f>
      </c>
      <c r="M32" s="50">
        <f>IFERROR(IF(SMALL($X32:$AC32,1)&gt;=Lookup_Lists!$D$161,"No material gap — "&amp;INDEX(Lookup_Lists!$AC$6:$AC$11,MATCH(SMALL($X32:$AC32,1),$X32:$AC32,0),1)&amp;" at "&amp;ROUND(SMALL($X32:$AC32,1),0)&amp;"/100",INDEX(Lookup_Lists!$AC$6:$AC$11,MATCH(SMALL($X32:$AC32,1),$X32:$AC32,0),1)&amp;" only "&amp;ROUND(SMALL($X32:$AC32,1),0)&amp;"/100"),"")</f>
      </c>
      <c r="N32" s="50">
        <f>IFERROR(IF(SMALL($X32:$AC32,2)&gt;=Lookup_Lists!$D$161,"No material gap — "&amp;INDEX(Lookup_Lists!$AC$6:$AC$11,MATCH(SMALL($X32:$AC32,2),$X32:$AC32,0),1)&amp;" at "&amp;ROUND(SMALL($X32:$AC32,2),0)&amp;"/100",INDEX(Lookup_Lists!$AC$6:$AC$11,MATCH(SMALL($X32:$AC32,2),$X32:$AC32,0),1)&amp;" only "&amp;ROUND(SMALL($X32:$AC32,2),0)&amp;"/100"),"")</f>
      </c>
      <c r="O32" s="50">
        <f>IFERROR(IF(SMALL($X32:$AC32,3)&gt;=Lookup_Lists!$D$161,"No material gap — "&amp;INDEX(Lookup_Lists!$AC$6:$AC$11,MATCH(SMALL($X32:$AC32,3),$X32:$AC32,0),1)&amp;" at "&amp;ROUND(SMALL($X32:$AC32,3),0)&amp;"/100",INDEX(Lookup_Lists!$AC$6:$AC$11,MATCH(SMALL($X32:$AC32,3),$X32:$AC32,0),1)&amp;" only "&amp;ROUND(SMALL($X32:$AC32,3),0)&amp;"/100"),"")</f>
      </c>
      <c r="P32" s="50">
        <f>IF(INDEX(Matching_Engine!$AM$6:$AM$95,$W32,1)="None","No risk flag — competitor saturation "&amp;INDEX(Matching_Engine!$AL$6:$AL$95,$W32,1)&amp;"/100",INDEX(Matching_Engine!$AM$6:$AM$95,$W32,1)&amp;" risk flag — competitor saturation "&amp;INDEX(Matching_Engine!$AL$6:$AL$95,$W32,1)&amp;"/100")</f>
      </c>
      <c r="Q32" s="50">
        <f>INDEX(Matching_Engine!$AX$6:$AX$95,$W32,1)</f>
      </c>
      <c r="R32" s="50">
        <f>"Industry "&amp;INDEX(Matching_Engine!$K$6:$K$95,$W32,1)&amp;"/100, category "&amp;INDEX(Matching_Engine!$L$6:$L$95,$W32,1)&amp;"/100, keywords "&amp;INDEX(Matching_Engine!$M$6:$M$95,$W32,1)&amp;"/100 — a "&amp;Brand_Profile!$G$10&amp;" brief against a "&amp;KOL_Database!$E$32&amp;" / "&amp;KOL_Database!$F$32&amp;" creator."</f>
      </c>
      <c r="S32" s="50">
        <f>"Age "&amp;INDEX(Matching_Engine!$O$6:$O$95,$W32,1)&amp;"/100, gender "&amp;INDEX(Matching_Engine!$P$6:$P$95,$W32,1)&amp;"/100, location "&amp;INDEX(Matching_Engine!$Q$6:$Q$95,$W32,1)&amp;"/100, interests "&amp;INDEX(Matching_Engine!$R$6:$R$95,$W32,1)&amp;"/100. Weighted with priority on "&amp;Brand_Profile!$G$23&amp;"."</f>
      </c>
      <c r="T32" s="50">
        <f>"Category "&amp;INDEX(Matching_Engine!$T$6:$T$95,$W32,1)&amp;"/100, sub category "&amp;INDEX(Matching_Engine!$U$6:$U$95,$W32,1)&amp;"/100, topics "&amp;INDEX(Matching_Engine!$V$6:$V$95,$W32,1)&amp;"/100, style "&amp;INDEX(Matching_Engine!$W$6:$W$95,$W32,1)&amp;"/100 — brief wants "&amp;Brand_Profile!$G$39&amp;", creator delivers "&amp;KOL_Database!$AJ$32&amp;"."</f>
      </c>
      <c r="U32" s="50">
        <f>"Personality "&amp;INDEX(Matching_Engine!$Y$6:$Y$95,$W32,1)&amp;"/100, tone vs style "&amp;INDEX(Matching_Engine!$Z$6:$Z$95,$W32,1)&amp;"/100, values "&amp;INDEX(Matching_Engine!$AA$6:$AA$95,$W32,1)&amp;"/100, communication "&amp;INDEX(Matching_Engine!$AB$6:$AB$95,$W32,1)&amp;"/100 — a "&amp;Brand_Profile!$G$25&amp;" / "&amp;Brand_Profile!$G$28&amp;" brand against a "&amp;KOL_Database!$AK$32&amp;" creator."</f>
      </c>
      <c r="V32" s="50">
        <f>IF(INDEX(Matching_Engine!$AM$6:$AM$95,$W32,1)="None","No risk flag. ",INDEX(Matching_Engine!$AM$6:$AM$95,$W32,1)&amp;" risk flag. ")&amp;"Brand Safety "&amp;INDEX(Matching_Engine!$AK$6:$AK$95,$W32,1)&amp;"/100, competitor saturation "&amp;INDEX(Matching_Engine!$AL$6:$AL$95,$W32,1)&amp;"/100"&amp;IF(INDEX(Matching_Engine!$AL$6:$AL$95,$W32,1)&gt;=70," — high, so treat it as a consideration rather than an automatic exclusion.",".")</f>
      </c>
      <c r="W32" s="50">
        <f>MATCH(Brand_Profile!$B$4&amp;"|"&amp;KOL_Database!$A$32,Matching_Engine!$AZ$6:$AZ$95,0)</f>
      </c>
      <c r="X32" s="52">
        <f>INDEX(Matching_Engine!$N$6:$N$95,$W32,1)+0.006</f>
      </c>
      <c r="Y32" s="52">
        <f>INDEX(Matching_Engine!$S$6:$S$95,$W32,1)+0.005</f>
      </c>
      <c r="Z32" s="52">
        <f>INDEX(Matching_Engine!$X$6:$X$95,$W32,1)+0.004</f>
      </c>
      <c r="AA32" s="52">
        <f>INDEX(Matching_Engine!$AC$6:$AC$95,$W32,1)+0.003</f>
      </c>
      <c r="AB32" s="52">
        <f>INDEX(Matching_Engine!$AJ$6:$AJ$95,$W32,1)+0.002</f>
      </c>
      <c r="AC32" s="52">
        <f>INDEX(Matching_Engine!$AO$6:$AO$95,$W32,1)+0.001</f>
      </c>
    </row>
    <row r="33" spans="1:29" x14ac:dyDescent="0.25">
      <c r="A33" s="50">
        <f>KOL_Database!$A$33</f>
      </c>
      <c r="B33" s="50">
        <f>KOL_Database!$B$33</f>
      </c>
      <c r="C33" s="50">
        <f>KOL_Database!$C$33</f>
      </c>
      <c r="D33" s="50">
        <f>KOL_Database!$D$33</f>
      </c>
      <c r="E33" s="50">
        <f>KOL_Database!$E$33</f>
      </c>
      <c r="F33" s="51">
        <f>INDEX(Matching_Engine!$AP$6:$AP$95,$W33,1)</f>
      </c>
      <c r="G33" s="50">
        <f>INDEX(Matching_Engine!$AQ$6:$AQ$95,$W33,1)</f>
      </c>
      <c r="H33" s="50">
        <f>INDEX(Matching_Engine!$AS$6:$AS$95,$W33,1)</f>
      </c>
      <c r="I33" s="50">
        <f>"Strongest on "&amp;INDEX(Lookup_Lists!$AC$6:$AC$11,MATCH(LARGE($X33:$AC33,1),$X33:$AC33,0),1)&amp;" at "&amp;ROUND(LARGE($X33:$AC33,1),0)&amp;"/100. "&amp;"Audience overlap "&amp;INDEX(Matching_Engine!$S$6:$S$95,$W33,1)&amp;"/100 against the "&amp;Brand_Profile!$G$16&amp;" / "&amp;Brand_Profile!$G$17&amp;" target; "&amp;KOL_Database!$E$33&amp;" content against a "&amp;Brand_Profile!$G$10&amp;" brief. "&amp;"Final Brand Match "&amp;INDEX(Matching_Engine!$AP$6:$AP$95,$W33,1)&amp;"/100 ("&amp;INDEX(Matching_Engine!$AQ$6:$AQ$95,$W33,1)&amp;")."</f>
      </c>
      <c r="J33" s="50">
        <f>IFERROR(INDEX(Lookup_Lists!$AC$6:$AC$11,MATCH(LARGE($X33:$AC33,1),$X33:$AC33,0),1)&amp;" — "&amp;ROUND(LARGE($X33:$AC33,1),0)&amp;"/100","")</f>
      </c>
      <c r="K33" s="50">
        <f>IFERROR(INDEX(Lookup_Lists!$AC$6:$AC$11,MATCH(LARGE($X33:$AC33,2),$X33:$AC33,0),1)&amp;" — "&amp;ROUND(LARGE($X33:$AC33,2),0)&amp;"/100","")</f>
      </c>
      <c r="L33" s="50">
        <f>IFERROR(INDEX(Lookup_Lists!$AC$6:$AC$11,MATCH(LARGE($X33:$AC33,3),$X33:$AC33,0),1)&amp;" — "&amp;ROUND(LARGE($X33:$AC33,3),0)&amp;"/100","")</f>
      </c>
      <c r="M33" s="50">
        <f>IFERROR(IF(SMALL($X33:$AC33,1)&gt;=Lookup_Lists!$D$161,"No material gap — "&amp;INDEX(Lookup_Lists!$AC$6:$AC$11,MATCH(SMALL($X33:$AC33,1),$X33:$AC33,0),1)&amp;" at "&amp;ROUND(SMALL($X33:$AC33,1),0)&amp;"/100",INDEX(Lookup_Lists!$AC$6:$AC$11,MATCH(SMALL($X33:$AC33,1),$X33:$AC33,0),1)&amp;" only "&amp;ROUND(SMALL($X33:$AC33,1),0)&amp;"/100"),"")</f>
      </c>
      <c r="N33" s="50">
        <f>IFERROR(IF(SMALL($X33:$AC33,2)&gt;=Lookup_Lists!$D$161,"No material gap — "&amp;INDEX(Lookup_Lists!$AC$6:$AC$11,MATCH(SMALL($X33:$AC33,2),$X33:$AC33,0),1)&amp;" at "&amp;ROUND(SMALL($X33:$AC33,2),0)&amp;"/100",INDEX(Lookup_Lists!$AC$6:$AC$11,MATCH(SMALL($X33:$AC33,2),$X33:$AC33,0),1)&amp;" only "&amp;ROUND(SMALL($X33:$AC33,2),0)&amp;"/100"),"")</f>
      </c>
      <c r="O33" s="50">
        <f>IFERROR(IF(SMALL($X33:$AC33,3)&gt;=Lookup_Lists!$D$161,"No material gap — "&amp;INDEX(Lookup_Lists!$AC$6:$AC$11,MATCH(SMALL($X33:$AC33,3),$X33:$AC33,0),1)&amp;" at "&amp;ROUND(SMALL($X33:$AC33,3),0)&amp;"/100",INDEX(Lookup_Lists!$AC$6:$AC$11,MATCH(SMALL($X33:$AC33,3),$X33:$AC33,0),1)&amp;" only "&amp;ROUND(SMALL($X33:$AC33,3),0)&amp;"/100"),"")</f>
      </c>
      <c r="P33" s="50">
        <f>IF(INDEX(Matching_Engine!$AM$6:$AM$95,$W33,1)="None","No risk flag — competitor saturation "&amp;INDEX(Matching_Engine!$AL$6:$AL$95,$W33,1)&amp;"/100",INDEX(Matching_Engine!$AM$6:$AM$95,$W33,1)&amp;" risk flag — competitor saturation "&amp;INDEX(Matching_Engine!$AL$6:$AL$95,$W33,1)&amp;"/100")</f>
      </c>
      <c r="Q33" s="50">
        <f>INDEX(Matching_Engine!$AX$6:$AX$95,$W33,1)</f>
      </c>
      <c r="R33" s="50">
        <f>"Industry "&amp;INDEX(Matching_Engine!$K$6:$K$95,$W33,1)&amp;"/100, category "&amp;INDEX(Matching_Engine!$L$6:$L$95,$W33,1)&amp;"/100, keywords "&amp;INDEX(Matching_Engine!$M$6:$M$95,$W33,1)&amp;"/100 — a "&amp;Brand_Profile!$G$10&amp;" brief against a "&amp;KOL_Database!$E$33&amp;" / "&amp;KOL_Database!$F$33&amp;" creator."</f>
      </c>
      <c r="S33" s="50">
        <f>"Age "&amp;INDEX(Matching_Engine!$O$6:$O$95,$W33,1)&amp;"/100, gender "&amp;INDEX(Matching_Engine!$P$6:$P$95,$W33,1)&amp;"/100, location "&amp;INDEX(Matching_Engine!$Q$6:$Q$95,$W33,1)&amp;"/100, interests "&amp;INDEX(Matching_Engine!$R$6:$R$95,$W33,1)&amp;"/100. Weighted with priority on "&amp;Brand_Profile!$G$23&amp;"."</f>
      </c>
      <c r="T33" s="50">
        <f>"Category "&amp;INDEX(Matching_Engine!$T$6:$T$95,$W33,1)&amp;"/100, sub category "&amp;INDEX(Matching_Engine!$U$6:$U$95,$W33,1)&amp;"/100, topics "&amp;INDEX(Matching_Engine!$V$6:$V$95,$W33,1)&amp;"/100, style "&amp;INDEX(Matching_Engine!$W$6:$W$95,$W33,1)&amp;"/100 — brief wants "&amp;Brand_Profile!$G$39&amp;", creator delivers "&amp;KOL_Database!$AJ$33&amp;"."</f>
      </c>
      <c r="U33" s="50">
        <f>"Personality "&amp;INDEX(Matching_Engine!$Y$6:$Y$95,$W33,1)&amp;"/100, tone vs style "&amp;INDEX(Matching_Engine!$Z$6:$Z$95,$W33,1)&amp;"/100, values "&amp;INDEX(Matching_Engine!$AA$6:$AA$95,$W33,1)&amp;"/100, communication "&amp;INDEX(Matching_Engine!$AB$6:$AB$95,$W33,1)&amp;"/100 — a "&amp;Brand_Profile!$G$25&amp;" / "&amp;Brand_Profile!$G$28&amp;" brand against a "&amp;KOL_Database!$AK$33&amp;" creator."</f>
      </c>
      <c r="V33" s="50">
        <f>IF(INDEX(Matching_Engine!$AM$6:$AM$95,$W33,1)="None","No risk flag. ",INDEX(Matching_Engine!$AM$6:$AM$95,$W33,1)&amp;" risk flag. ")&amp;"Brand Safety "&amp;INDEX(Matching_Engine!$AK$6:$AK$95,$W33,1)&amp;"/100, competitor saturation "&amp;INDEX(Matching_Engine!$AL$6:$AL$95,$W33,1)&amp;"/100"&amp;IF(INDEX(Matching_Engine!$AL$6:$AL$95,$W33,1)&gt;=70," — high, so treat it as a consideration rather than an automatic exclusion.",".")</f>
      </c>
      <c r="W33" s="50">
        <f>MATCH(Brand_Profile!$B$4&amp;"|"&amp;KOL_Database!$A$33,Matching_Engine!$AZ$6:$AZ$95,0)</f>
      </c>
      <c r="X33" s="52">
        <f>INDEX(Matching_Engine!$N$6:$N$95,$W33,1)+0.006</f>
      </c>
      <c r="Y33" s="52">
        <f>INDEX(Matching_Engine!$S$6:$S$95,$W33,1)+0.005</f>
      </c>
      <c r="Z33" s="52">
        <f>INDEX(Matching_Engine!$X$6:$X$95,$W33,1)+0.004</f>
      </c>
      <c r="AA33" s="52">
        <f>INDEX(Matching_Engine!$AC$6:$AC$95,$W33,1)+0.003</f>
      </c>
      <c r="AB33" s="52">
        <f>INDEX(Matching_Engine!$AJ$6:$AJ$95,$W33,1)+0.002</f>
      </c>
      <c r="AC33" s="52">
        <f>INDEX(Matching_Engine!$AO$6:$AO$95,$W33,1)+0.001</f>
      </c>
    </row>
    <row r="34" spans="1:29" x14ac:dyDescent="0.25">
      <c r="A34" s="50">
        <f>KOL_Database!$A$34</f>
      </c>
      <c r="B34" s="50">
        <f>KOL_Database!$B$34</f>
      </c>
      <c r="C34" s="50">
        <f>KOL_Database!$C$34</f>
      </c>
      <c r="D34" s="50">
        <f>KOL_Database!$D$34</f>
      </c>
      <c r="E34" s="50">
        <f>KOL_Database!$E$34</f>
      </c>
      <c r="F34" s="51">
        <f>INDEX(Matching_Engine!$AP$6:$AP$95,$W34,1)</f>
      </c>
      <c r="G34" s="50">
        <f>INDEX(Matching_Engine!$AQ$6:$AQ$95,$W34,1)</f>
      </c>
      <c r="H34" s="50">
        <f>INDEX(Matching_Engine!$AS$6:$AS$95,$W34,1)</f>
      </c>
      <c r="I34" s="50">
        <f>"Strongest on "&amp;INDEX(Lookup_Lists!$AC$6:$AC$11,MATCH(LARGE($X34:$AC34,1),$X34:$AC34,0),1)&amp;" at "&amp;ROUND(LARGE($X34:$AC34,1),0)&amp;"/100. "&amp;"Audience overlap "&amp;INDEX(Matching_Engine!$S$6:$S$95,$W34,1)&amp;"/100 against the "&amp;Brand_Profile!$G$16&amp;" / "&amp;Brand_Profile!$G$17&amp;" target; "&amp;KOL_Database!$E$34&amp;" content against a "&amp;Brand_Profile!$G$10&amp;" brief. "&amp;"Final Brand Match "&amp;INDEX(Matching_Engine!$AP$6:$AP$95,$W34,1)&amp;"/100 ("&amp;INDEX(Matching_Engine!$AQ$6:$AQ$95,$W34,1)&amp;")."</f>
      </c>
      <c r="J34" s="50">
        <f>IFERROR(INDEX(Lookup_Lists!$AC$6:$AC$11,MATCH(LARGE($X34:$AC34,1),$X34:$AC34,0),1)&amp;" — "&amp;ROUND(LARGE($X34:$AC34,1),0)&amp;"/100","")</f>
      </c>
      <c r="K34" s="50">
        <f>IFERROR(INDEX(Lookup_Lists!$AC$6:$AC$11,MATCH(LARGE($X34:$AC34,2),$X34:$AC34,0),1)&amp;" — "&amp;ROUND(LARGE($X34:$AC34,2),0)&amp;"/100","")</f>
      </c>
      <c r="L34" s="50">
        <f>IFERROR(INDEX(Lookup_Lists!$AC$6:$AC$11,MATCH(LARGE($X34:$AC34,3),$X34:$AC34,0),1)&amp;" — "&amp;ROUND(LARGE($X34:$AC34,3),0)&amp;"/100","")</f>
      </c>
      <c r="M34" s="50">
        <f>IFERROR(IF(SMALL($X34:$AC34,1)&gt;=Lookup_Lists!$D$161,"No material gap — "&amp;INDEX(Lookup_Lists!$AC$6:$AC$11,MATCH(SMALL($X34:$AC34,1),$X34:$AC34,0),1)&amp;" at "&amp;ROUND(SMALL($X34:$AC34,1),0)&amp;"/100",INDEX(Lookup_Lists!$AC$6:$AC$11,MATCH(SMALL($X34:$AC34,1),$X34:$AC34,0),1)&amp;" only "&amp;ROUND(SMALL($X34:$AC34,1),0)&amp;"/100"),"")</f>
      </c>
      <c r="N34" s="50">
        <f>IFERROR(IF(SMALL($X34:$AC34,2)&gt;=Lookup_Lists!$D$161,"No material gap — "&amp;INDEX(Lookup_Lists!$AC$6:$AC$11,MATCH(SMALL($X34:$AC34,2),$X34:$AC34,0),1)&amp;" at "&amp;ROUND(SMALL($X34:$AC34,2),0)&amp;"/100",INDEX(Lookup_Lists!$AC$6:$AC$11,MATCH(SMALL($X34:$AC34,2),$X34:$AC34,0),1)&amp;" only "&amp;ROUND(SMALL($X34:$AC34,2),0)&amp;"/100"),"")</f>
      </c>
      <c r="O34" s="50">
        <f>IFERROR(IF(SMALL($X34:$AC34,3)&gt;=Lookup_Lists!$D$161,"No material gap — "&amp;INDEX(Lookup_Lists!$AC$6:$AC$11,MATCH(SMALL($X34:$AC34,3),$X34:$AC34,0),1)&amp;" at "&amp;ROUND(SMALL($X34:$AC34,3),0)&amp;"/100",INDEX(Lookup_Lists!$AC$6:$AC$11,MATCH(SMALL($X34:$AC34,3),$X34:$AC34,0),1)&amp;" only "&amp;ROUND(SMALL($X34:$AC34,3),0)&amp;"/100"),"")</f>
      </c>
      <c r="P34" s="50">
        <f>IF(INDEX(Matching_Engine!$AM$6:$AM$95,$W34,1)="None","No risk flag — competitor saturation "&amp;INDEX(Matching_Engine!$AL$6:$AL$95,$W34,1)&amp;"/100",INDEX(Matching_Engine!$AM$6:$AM$95,$W34,1)&amp;" risk flag — competitor saturation "&amp;INDEX(Matching_Engine!$AL$6:$AL$95,$W34,1)&amp;"/100")</f>
      </c>
      <c r="Q34" s="50">
        <f>INDEX(Matching_Engine!$AX$6:$AX$95,$W34,1)</f>
      </c>
      <c r="R34" s="50">
        <f>"Industry "&amp;INDEX(Matching_Engine!$K$6:$K$95,$W34,1)&amp;"/100, category "&amp;INDEX(Matching_Engine!$L$6:$L$95,$W34,1)&amp;"/100, keywords "&amp;INDEX(Matching_Engine!$M$6:$M$95,$W34,1)&amp;"/100 — a "&amp;Brand_Profile!$G$10&amp;" brief against a "&amp;KOL_Database!$E$34&amp;" / "&amp;KOL_Database!$F$34&amp;" creator."</f>
      </c>
      <c r="S34" s="50">
        <f>"Age "&amp;INDEX(Matching_Engine!$O$6:$O$95,$W34,1)&amp;"/100, gender "&amp;INDEX(Matching_Engine!$P$6:$P$95,$W34,1)&amp;"/100, location "&amp;INDEX(Matching_Engine!$Q$6:$Q$95,$W34,1)&amp;"/100, interests "&amp;INDEX(Matching_Engine!$R$6:$R$95,$W34,1)&amp;"/100. Weighted with priority on "&amp;Brand_Profile!$G$23&amp;"."</f>
      </c>
      <c r="T34" s="50">
        <f>"Category "&amp;INDEX(Matching_Engine!$T$6:$T$95,$W34,1)&amp;"/100, sub category "&amp;INDEX(Matching_Engine!$U$6:$U$95,$W34,1)&amp;"/100, topics "&amp;INDEX(Matching_Engine!$V$6:$V$95,$W34,1)&amp;"/100, style "&amp;INDEX(Matching_Engine!$W$6:$W$95,$W34,1)&amp;"/100 — brief wants "&amp;Brand_Profile!$G$39&amp;", creator delivers "&amp;KOL_Database!$AJ$34&amp;"."</f>
      </c>
      <c r="U34" s="50">
        <f>"Personality "&amp;INDEX(Matching_Engine!$Y$6:$Y$95,$W34,1)&amp;"/100, tone vs style "&amp;INDEX(Matching_Engine!$Z$6:$Z$95,$W34,1)&amp;"/100, values "&amp;INDEX(Matching_Engine!$AA$6:$AA$95,$W34,1)&amp;"/100, communication "&amp;INDEX(Matching_Engine!$AB$6:$AB$95,$W34,1)&amp;"/100 — a "&amp;Brand_Profile!$G$25&amp;" / "&amp;Brand_Profile!$G$28&amp;" brand against a "&amp;KOL_Database!$AK$34&amp;" creator."</f>
      </c>
      <c r="V34" s="50">
        <f>IF(INDEX(Matching_Engine!$AM$6:$AM$95,$W34,1)="None","No risk flag. ",INDEX(Matching_Engine!$AM$6:$AM$95,$W34,1)&amp;" risk flag. ")&amp;"Brand Safety "&amp;INDEX(Matching_Engine!$AK$6:$AK$95,$W34,1)&amp;"/100, competitor saturation "&amp;INDEX(Matching_Engine!$AL$6:$AL$95,$W34,1)&amp;"/100"&amp;IF(INDEX(Matching_Engine!$AL$6:$AL$95,$W34,1)&gt;=70," — high, so treat it as a consideration rather than an automatic exclusion.",".")</f>
      </c>
      <c r="W34" s="50">
        <f>MATCH(Brand_Profile!$B$4&amp;"|"&amp;KOL_Database!$A$34,Matching_Engine!$AZ$6:$AZ$95,0)</f>
      </c>
      <c r="X34" s="52">
        <f>INDEX(Matching_Engine!$N$6:$N$95,$W34,1)+0.006</f>
      </c>
      <c r="Y34" s="52">
        <f>INDEX(Matching_Engine!$S$6:$S$95,$W34,1)+0.005</f>
      </c>
      <c r="Z34" s="52">
        <f>INDEX(Matching_Engine!$X$6:$X$95,$W34,1)+0.004</f>
      </c>
      <c r="AA34" s="52">
        <f>INDEX(Matching_Engine!$AC$6:$AC$95,$W34,1)+0.003</f>
      </c>
      <c r="AB34" s="52">
        <f>INDEX(Matching_Engine!$AJ$6:$AJ$95,$W34,1)+0.002</f>
      </c>
      <c r="AC34" s="52">
        <f>INDEX(Matching_Engine!$AO$6:$AO$95,$W34,1)+0.001</f>
      </c>
    </row>
  </sheetData>
  <autoFilter ref="A4:AC34"/>
  <mergeCells count="2">
    <mergeCell ref="A1:AC1"/>
    <mergeCell ref="A2:AC2"/>
  </mergeCells>
  <conditionalFormatting sqref="F5:F34">
    <cfRule type="colorScale" priority="1">
      <colorScale>
        <cfvo type="num" val="40"/>
        <cfvo type="num" val="70"/>
        <cfvo type="num" val="95"/>
        <color rgb="FFF8696B"/>
        <color rgb="FFFFEB84"/>
        <color rgb="FF63BE7B"/>
      </colorScale>
    </cfRule>
  </conditionalFormatting>
  <conditionalFormatting sqref="Q5:Q34">
    <cfRule type="containsText" dxfId="15" priority="1" operator="containsText" text="Highly Recommended">
      <formula>NOT(ISERROR(SEARCH("Highly Recommended",Q5)))</formula>
    </cfRule>
    <cfRule type="containsText" dxfId="16" priority="2" operator="containsText" text="Excluded">
      <formula>NOT(ISERROR(SEARCH("Excluded",Q5)))</formula>
    </cfRule>
    <cfRule type="containsText" dxfId="17" priority="3" operator="containsText" text="Low Priority">
      <formula>NOT(ISERROR(SEARCH("Low Priority",Q5)))</formula>
    </cfRule>
  </conditionalFormatting>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9"/>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3" width="26" customWidth="1"/>
    <col min="4" max="4" width="13" customWidth="1"/>
    <col min="5" max="5" width="22" customWidth="1"/>
    <col min="6" max="6" width="26" customWidth="1"/>
    <col min="7" max="7" width="28" customWidth="1"/>
    <col min="8" max="8" width="17" customWidth="1"/>
    <col min="9" max="9" width="44" customWidth="1"/>
    <col min="10" max="10" width="26" customWidth="1"/>
  </cols>
  <sheetData>
    <row r="1" ht="24" customHeight="1" spans="1:10" x14ac:dyDescent="0.25">
      <c r="A1" s="1" t="s">
        <v>720</v>
      </c>
      <c r="B1" s="1"/>
      <c r="C1" s="1"/>
      <c r="D1" s="1"/>
      <c r="E1" s="1"/>
      <c r="F1" s="1"/>
      <c r="G1" s="1"/>
      <c r="H1" s="1"/>
      <c r="I1" s="1"/>
      <c r="J1" s="1"/>
    </row>
    <row r="2" ht="30" customHeight="1" spans="1:10" x14ac:dyDescent="0.25">
      <c r="A2" s="2" t="s">
        <v>721</v>
      </c>
      <c r="B2" s="2"/>
      <c r="C2" s="2"/>
      <c r="D2" s="2"/>
      <c r="E2" s="2"/>
      <c r="F2" s="2"/>
      <c r="G2" s="2"/>
      <c r="H2" s="2"/>
      <c r="I2" s="2"/>
      <c r="J2" s="2"/>
    </row>
    <row r="4" spans="1:10" x14ac:dyDescent="0.25">
      <c r="A4" t="s">
        <v>722</v>
      </c>
      <c r="B4" t="s">
        <v>723</v>
      </c>
      <c r="C4" t="s">
        <v>724</v>
      </c>
      <c r="D4" t="s">
        <v>725</v>
      </c>
      <c r="E4" t="s">
        <v>726</v>
      </c>
      <c r="F4" t="s">
        <v>727</v>
      </c>
      <c r="G4" t="s">
        <v>728</v>
      </c>
      <c r="H4" t="s">
        <v>729</v>
      </c>
      <c r="I4" t="s">
        <v>730</v>
      </c>
      <c r="J4" t="s">
        <v>731</v>
      </c>
    </row>
    <row r="5" spans="1:10" x14ac:dyDescent="0.25">
      <c r="A5" s="53" t="s">
        <v>732</v>
      </c>
      <c r="B5" s="53" t="s">
        <v>733</v>
      </c>
      <c r="C5" s="53" t="s">
        <v>734</v>
      </c>
      <c r="D5" s="53" t="s">
        <v>735</v>
      </c>
      <c r="E5" s="53" t="s">
        <v>736</v>
      </c>
      <c r="F5" s="53" t="s">
        <v>737</v>
      </c>
      <c r="G5" s="53" t="s">
        <v>343</v>
      </c>
      <c r="H5" s="53" t="s">
        <v>738</v>
      </c>
      <c r="I5" s="53" t="s">
        <v>739</v>
      </c>
      <c r="J5" s="53" t="s">
        <v>740</v>
      </c>
    </row>
    <row r="6" spans="1:10" x14ac:dyDescent="0.25">
      <c r="A6" s="53" t="s">
        <v>732</v>
      </c>
      <c r="B6" s="53" t="s">
        <v>344</v>
      </c>
      <c r="C6" s="53" t="s">
        <v>741</v>
      </c>
      <c r="D6" s="53" t="s">
        <v>735</v>
      </c>
      <c r="E6" s="53" t="s">
        <v>742</v>
      </c>
      <c r="F6" s="53" t="s">
        <v>737</v>
      </c>
      <c r="G6" s="53" t="s">
        <v>344</v>
      </c>
      <c r="H6" s="53" t="s">
        <v>738</v>
      </c>
      <c r="I6" s="53" t="s">
        <v>743</v>
      </c>
      <c r="J6" s="53" t="s">
        <v>740</v>
      </c>
    </row>
    <row r="7" spans="1:10" x14ac:dyDescent="0.25">
      <c r="A7" s="53" t="s">
        <v>732</v>
      </c>
      <c r="B7" s="53" t="s">
        <v>744</v>
      </c>
      <c r="C7" s="53" t="s">
        <v>745</v>
      </c>
      <c r="D7" s="53" t="s">
        <v>735</v>
      </c>
      <c r="E7" s="53" t="s">
        <v>742</v>
      </c>
      <c r="F7" s="53" t="s">
        <v>184</v>
      </c>
      <c r="G7" s="53" t="s">
        <v>746</v>
      </c>
      <c r="H7" s="53" t="s">
        <v>747</v>
      </c>
      <c r="I7" s="53" t="s">
        <v>748</v>
      </c>
      <c r="J7" s="53" t="s">
        <v>749</v>
      </c>
    </row>
    <row r="8" spans="1:10" x14ac:dyDescent="0.25">
      <c r="A8" s="53" t="s">
        <v>732</v>
      </c>
      <c r="B8" s="53" t="s">
        <v>750</v>
      </c>
      <c r="C8" s="53" t="s">
        <v>751</v>
      </c>
      <c r="D8" s="53" t="s">
        <v>752</v>
      </c>
      <c r="E8" s="53" t="s">
        <v>753</v>
      </c>
      <c r="F8" s="53" t="s">
        <v>227</v>
      </c>
      <c r="G8" s="53" t="s">
        <v>375</v>
      </c>
      <c r="H8" s="53" t="s">
        <v>754</v>
      </c>
      <c r="I8" s="53" t="s">
        <v>755</v>
      </c>
      <c r="J8" s="53" t="s">
        <v>756</v>
      </c>
    </row>
    <row r="9" spans="1:10" x14ac:dyDescent="0.25">
      <c r="A9" s="53" t="s">
        <v>757</v>
      </c>
      <c r="B9" s="53" t="s">
        <v>402</v>
      </c>
      <c r="C9" s="53" t="s">
        <v>758</v>
      </c>
      <c r="D9" s="53" t="s">
        <v>735</v>
      </c>
      <c r="E9" s="53" t="s">
        <v>759</v>
      </c>
      <c r="F9" s="53" t="s">
        <v>196</v>
      </c>
      <c r="G9" s="53" t="s">
        <v>345</v>
      </c>
      <c r="H9" s="53" t="s">
        <v>738</v>
      </c>
      <c r="I9" s="53" t="s">
        <v>760</v>
      </c>
      <c r="J9" s="53" t="s">
        <v>740</v>
      </c>
    </row>
    <row r="10" spans="1:10" x14ac:dyDescent="0.25">
      <c r="A10" s="53" t="s">
        <v>757</v>
      </c>
      <c r="B10" s="53" t="s">
        <v>412</v>
      </c>
      <c r="C10" s="53" t="s">
        <v>761</v>
      </c>
      <c r="D10" s="53" t="s">
        <v>735</v>
      </c>
      <c r="E10" s="53" t="s">
        <v>759</v>
      </c>
      <c r="F10" s="53" t="s">
        <v>196</v>
      </c>
      <c r="G10" s="53" t="s">
        <v>345</v>
      </c>
      <c r="H10" s="53" t="s">
        <v>738</v>
      </c>
      <c r="I10" s="53" t="s">
        <v>760</v>
      </c>
      <c r="J10" s="53" t="s">
        <v>740</v>
      </c>
    </row>
    <row r="11" spans="1:10" x14ac:dyDescent="0.25">
      <c r="A11" s="53" t="s">
        <v>762</v>
      </c>
      <c r="B11" s="53" t="s">
        <v>346</v>
      </c>
      <c r="C11" s="53" t="s">
        <v>763</v>
      </c>
      <c r="D11" s="53" t="s">
        <v>735</v>
      </c>
      <c r="E11" s="53" t="s">
        <v>764</v>
      </c>
      <c r="F11" s="53" t="s">
        <v>200</v>
      </c>
      <c r="G11" s="53" t="s">
        <v>346</v>
      </c>
      <c r="H11" s="53" t="s">
        <v>738</v>
      </c>
      <c r="I11" s="53" t="s">
        <v>765</v>
      </c>
      <c r="J11" s="53" t="s">
        <v>766</v>
      </c>
    </row>
    <row r="12" spans="1:10" x14ac:dyDescent="0.25">
      <c r="A12" s="53" t="s">
        <v>762</v>
      </c>
      <c r="B12" s="53" t="s">
        <v>347</v>
      </c>
      <c r="C12" s="53" t="s">
        <v>767</v>
      </c>
      <c r="D12" s="53" t="s">
        <v>752</v>
      </c>
      <c r="E12" s="53" t="s">
        <v>764</v>
      </c>
      <c r="F12" s="53" t="s">
        <v>206</v>
      </c>
      <c r="G12" s="53" t="s">
        <v>347</v>
      </c>
      <c r="H12" s="53" t="s">
        <v>754</v>
      </c>
      <c r="I12" s="53" t="s">
        <v>768</v>
      </c>
      <c r="J12" s="53" t="s">
        <v>769</v>
      </c>
    </row>
    <row r="13" spans="1:10" x14ac:dyDescent="0.25">
      <c r="A13" s="53" t="s">
        <v>762</v>
      </c>
      <c r="B13" s="53" t="s">
        <v>348</v>
      </c>
      <c r="C13" s="53" t="s">
        <v>770</v>
      </c>
      <c r="D13" s="53" t="s">
        <v>735</v>
      </c>
      <c r="E13" s="53" t="s">
        <v>764</v>
      </c>
      <c r="F13" s="53" t="s">
        <v>209</v>
      </c>
      <c r="G13" s="53" t="s">
        <v>348</v>
      </c>
      <c r="H13" s="53" t="s">
        <v>738</v>
      </c>
      <c r="I13" s="53" t="s">
        <v>771</v>
      </c>
      <c r="J13" s="53" t="s">
        <v>772</v>
      </c>
    </row>
    <row r="14" spans="1:10" x14ac:dyDescent="0.25">
      <c r="A14" s="53" t="s">
        <v>762</v>
      </c>
      <c r="B14" s="53" t="s">
        <v>351</v>
      </c>
      <c r="C14" s="53" t="s">
        <v>773</v>
      </c>
      <c r="D14" s="53" t="s">
        <v>735</v>
      </c>
      <c r="E14" s="53" t="s">
        <v>774</v>
      </c>
      <c r="F14" s="53" t="s">
        <v>775</v>
      </c>
      <c r="G14" s="53" t="s">
        <v>351</v>
      </c>
      <c r="H14" s="53" t="s">
        <v>738</v>
      </c>
      <c r="I14" s="53" t="s">
        <v>776</v>
      </c>
      <c r="J14" s="53" t="s">
        <v>740</v>
      </c>
    </row>
    <row r="15" spans="1:10" x14ac:dyDescent="0.25">
      <c r="A15" s="53" t="s">
        <v>762</v>
      </c>
      <c r="B15" s="53" t="s">
        <v>777</v>
      </c>
      <c r="C15" s="53" t="s">
        <v>778</v>
      </c>
      <c r="D15" s="53" t="s">
        <v>735</v>
      </c>
      <c r="E15" s="53" t="s">
        <v>779</v>
      </c>
      <c r="F15" s="53" t="s">
        <v>220</v>
      </c>
      <c r="G15" s="53" t="s">
        <v>777</v>
      </c>
      <c r="H15" s="53" t="s">
        <v>738</v>
      </c>
      <c r="I15" s="53" t="s">
        <v>780</v>
      </c>
      <c r="J15" s="53" t="s">
        <v>781</v>
      </c>
    </row>
    <row r="16" spans="1:10" x14ac:dyDescent="0.25">
      <c r="A16" s="53" t="s">
        <v>762</v>
      </c>
      <c r="B16" s="53" t="s">
        <v>782</v>
      </c>
      <c r="C16" s="53" t="s">
        <v>783</v>
      </c>
      <c r="D16" s="53" t="s">
        <v>752</v>
      </c>
      <c r="E16" s="53" t="s">
        <v>784</v>
      </c>
      <c r="F16" s="53" t="s">
        <v>145</v>
      </c>
      <c r="G16" s="53" t="s">
        <v>350</v>
      </c>
      <c r="H16" s="53" t="s">
        <v>754</v>
      </c>
      <c r="I16" s="53" t="s">
        <v>785</v>
      </c>
      <c r="J16" s="53" t="s">
        <v>786</v>
      </c>
    </row>
    <row r="17" spans="1:10" x14ac:dyDescent="0.25">
      <c r="A17" s="53" t="s">
        <v>762</v>
      </c>
      <c r="B17" s="53" t="s">
        <v>349</v>
      </c>
      <c r="C17" s="53" t="s">
        <v>787</v>
      </c>
      <c r="D17" s="53" t="s">
        <v>735</v>
      </c>
      <c r="E17" s="53" t="s">
        <v>788</v>
      </c>
      <c r="F17" s="53" t="s">
        <v>737</v>
      </c>
      <c r="G17" s="53" t="s">
        <v>349</v>
      </c>
      <c r="H17" s="53" t="s">
        <v>738</v>
      </c>
      <c r="I17" s="53" t="s">
        <v>789</v>
      </c>
      <c r="J17" s="53" t="s">
        <v>790</v>
      </c>
    </row>
    <row r="18" spans="1:10" x14ac:dyDescent="0.25">
      <c r="A18" s="53" t="s">
        <v>335</v>
      </c>
      <c r="B18" s="53" t="s">
        <v>371</v>
      </c>
      <c r="C18" s="53" t="s">
        <v>791</v>
      </c>
      <c r="D18" s="53" t="s">
        <v>735</v>
      </c>
      <c r="E18" s="53" t="s">
        <v>784</v>
      </c>
      <c r="F18" s="53" t="s">
        <v>136</v>
      </c>
      <c r="G18" s="53" t="s">
        <v>371</v>
      </c>
      <c r="H18" s="53" t="s">
        <v>754</v>
      </c>
      <c r="I18" s="53" t="s">
        <v>792</v>
      </c>
      <c r="J18" s="53" t="s">
        <v>793</v>
      </c>
    </row>
    <row r="19" spans="1:10" x14ac:dyDescent="0.25">
      <c r="A19" s="53" t="s">
        <v>335</v>
      </c>
      <c r="B19" s="53" t="s">
        <v>372</v>
      </c>
      <c r="C19" s="53" t="s">
        <v>794</v>
      </c>
      <c r="D19" s="53" t="s">
        <v>752</v>
      </c>
      <c r="E19" s="53" t="s">
        <v>784</v>
      </c>
      <c r="F19" s="53" t="s">
        <v>140</v>
      </c>
      <c r="G19" s="53" t="s">
        <v>372</v>
      </c>
      <c r="H19" s="53" t="s">
        <v>754</v>
      </c>
      <c r="I19" s="53" t="s">
        <v>795</v>
      </c>
      <c r="J19" s="53" t="s">
        <v>796</v>
      </c>
    </row>
    <row r="20" spans="1:10" x14ac:dyDescent="0.25">
      <c r="A20" s="53" t="s">
        <v>335</v>
      </c>
      <c r="B20" s="53" t="s">
        <v>373</v>
      </c>
      <c r="C20" s="53" t="s">
        <v>797</v>
      </c>
      <c r="D20" s="53" t="s">
        <v>752</v>
      </c>
      <c r="E20" s="53" t="s">
        <v>784</v>
      </c>
      <c r="F20" s="53" t="s">
        <v>145</v>
      </c>
      <c r="G20" s="53" t="s">
        <v>373</v>
      </c>
      <c r="H20" s="53" t="s">
        <v>754</v>
      </c>
      <c r="I20" s="53" t="s">
        <v>798</v>
      </c>
      <c r="J20" s="53" t="s">
        <v>799</v>
      </c>
    </row>
    <row r="21" spans="1:10" x14ac:dyDescent="0.25">
      <c r="A21" s="53" t="s">
        <v>335</v>
      </c>
      <c r="B21" s="53" t="s">
        <v>800</v>
      </c>
      <c r="C21" s="53" t="s">
        <v>801</v>
      </c>
      <c r="D21" s="53" t="s">
        <v>752</v>
      </c>
      <c r="E21" s="53" t="s">
        <v>802</v>
      </c>
      <c r="F21" s="53" t="s">
        <v>803</v>
      </c>
      <c r="G21" s="53" t="s">
        <v>804</v>
      </c>
      <c r="H21" s="53" t="s">
        <v>754</v>
      </c>
      <c r="I21" s="53" t="s">
        <v>805</v>
      </c>
      <c r="J21" s="53" t="s">
        <v>756</v>
      </c>
    </row>
    <row r="22" spans="1:10" x14ac:dyDescent="0.25">
      <c r="A22" s="53" t="s">
        <v>335</v>
      </c>
      <c r="B22" s="53" t="s">
        <v>806</v>
      </c>
      <c r="C22" s="53" t="s">
        <v>807</v>
      </c>
      <c r="D22" s="53" t="s">
        <v>752</v>
      </c>
      <c r="E22" s="53" t="s">
        <v>808</v>
      </c>
      <c r="F22" s="53" t="s">
        <v>130</v>
      </c>
      <c r="G22" s="53" t="s">
        <v>809</v>
      </c>
      <c r="H22" s="53" t="s">
        <v>754</v>
      </c>
      <c r="I22" s="53" t="s">
        <v>810</v>
      </c>
      <c r="J22" s="53" t="s">
        <v>811</v>
      </c>
    </row>
    <row r="23" spans="1:10" x14ac:dyDescent="0.25">
      <c r="A23" s="53" t="s">
        <v>335</v>
      </c>
      <c r="B23" s="53" t="s">
        <v>148</v>
      </c>
      <c r="C23" s="53" t="s">
        <v>812</v>
      </c>
      <c r="D23" s="53" t="s">
        <v>752</v>
      </c>
      <c r="E23" s="53" t="s">
        <v>753</v>
      </c>
      <c r="F23" s="53" t="s">
        <v>149</v>
      </c>
      <c r="G23" s="53" t="s">
        <v>148</v>
      </c>
      <c r="H23" s="53" t="s">
        <v>754</v>
      </c>
      <c r="I23" s="53" t="s">
        <v>813</v>
      </c>
      <c r="J23" s="53" t="s">
        <v>814</v>
      </c>
    </row>
    <row r="24" spans="1:10" x14ac:dyDescent="0.25">
      <c r="A24" s="53" t="s">
        <v>335</v>
      </c>
      <c r="B24" s="53" t="s">
        <v>359</v>
      </c>
      <c r="C24" s="53" t="s">
        <v>815</v>
      </c>
      <c r="D24" s="53" t="s">
        <v>735</v>
      </c>
      <c r="E24" s="53" t="s">
        <v>816</v>
      </c>
      <c r="F24" s="53" t="s">
        <v>241</v>
      </c>
      <c r="G24" s="53" t="s">
        <v>359</v>
      </c>
      <c r="H24" s="53" t="s">
        <v>754</v>
      </c>
      <c r="I24" s="53" t="s">
        <v>817</v>
      </c>
      <c r="J24" s="53" t="s">
        <v>793</v>
      </c>
    </row>
    <row r="25" spans="1:10" x14ac:dyDescent="0.25">
      <c r="A25" s="53" t="s">
        <v>335</v>
      </c>
      <c r="B25" s="53" t="s">
        <v>360</v>
      </c>
      <c r="C25" s="53" t="s">
        <v>818</v>
      </c>
      <c r="D25" s="53" t="s">
        <v>752</v>
      </c>
      <c r="E25" s="53" t="s">
        <v>816</v>
      </c>
      <c r="F25" s="53" t="s">
        <v>737</v>
      </c>
      <c r="G25" s="53" t="s">
        <v>360</v>
      </c>
      <c r="H25" s="53" t="s">
        <v>754</v>
      </c>
      <c r="I25" s="53" t="s">
        <v>819</v>
      </c>
      <c r="J25" s="53" t="s">
        <v>793</v>
      </c>
    </row>
    <row r="26" spans="1:10" x14ac:dyDescent="0.25">
      <c r="A26" s="53" t="s">
        <v>335</v>
      </c>
      <c r="B26" s="53" t="s">
        <v>374</v>
      </c>
      <c r="C26" s="53" t="s">
        <v>820</v>
      </c>
      <c r="D26" s="53" t="s">
        <v>752</v>
      </c>
      <c r="E26" s="53" t="s">
        <v>784</v>
      </c>
      <c r="F26" s="53" t="s">
        <v>737</v>
      </c>
      <c r="G26" s="53" t="s">
        <v>374</v>
      </c>
      <c r="H26" s="53" t="s">
        <v>821</v>
      </c>
      <c r="I26" s="53" t="s">
        <v>822</v>
      </c>
      <c r="J26" s="53" t="s">
        <v>769</v>
      </c>
    </row>
    <row r="27" spans="1:10" x14ac:dyDescent="0.25">
      <c r="A27" s="53" t="s">
        <v>334</v>
      </c>
      <c r="B27" s="53" t="s">
        <v>353</v>
      </c>
      <c r="C27" s="53" t="s">
        <v>823</v>
      </c>
      <c r="D27" s="53" t="s">
        <v>752</v>
      </c>
      <c r="E27" s="53" t="s">
        <v>824</v>
      </c>
      <c r="F27" s="53" t="s">
        <v>737</v>
      </c>
      <c r="G27" s="53" t="s">
        <v>353</v>
      </c>
      <c r="H27" s="53" t="s">
        <v>747</v>
      </c>
      <c r="I27" s="53" t="s">
        <v>825</v>
      </c>
      <c r="J27" s="53" t="s">
        <v>826</v>
      </c>
    </row>
    <row r="28" spans="1:10" x14ac:dyDescent="0.25">
      <c r="A28" s="53" t="s">
        <v>334</v>
      </c>
      <c r="B28" s="53" t="s">
        <v>354</v>
      </c>
      <c r="C28" s="53" t="s">
        <v>827</v>
      </c>
      <c r="D28" s="53" t="s">
        <v>752</v>
      </c>
      <c r="E28" s="53" t="s">
        <v>824</v>
      </c>
      <c r="F28" s="53" t="s">
        <v>737</v>
      </c>
      <c r="G28" s="53" t="s">
        <v>354</v>
      </c>
      <c r="H28" s="53" t="s">
        <v>821</v>
      </c>
      <c r="I28" s="53" t="s">
        <v>828</v>
      </c>
      <c r="J28" s="53" t="s">
        <v>769</v>
      </c>
    </row>
    <row r="29" spans="1:10" x14ac:dyDescent="0.25">
      <c r="A29" s="53" t="s">
        <v>334</v>
      </c>
      <c r="B29" s="53" t="s">
        <v>777</v>
      </c>
      <c r="C29" s="53" t="s">
        <v>778</v>
      </c>
      <c r="D29" s="53" t="s">
        <v>735</v>
      </c>
      <c r="E29" s="53" t="s">
        <v>824</v>
      </c>
      <c r="F29" s="53" t="s">
        <v>220</v>
      </c>
      <c r="G29" s="53" t="s">
        <v>777</v>
      </c>
      <c r="H29" s="53" t="s">
        <v>738</v>
      </c>
      <c r="I29" s="53" t="s">
        <v>829</v>
      </c>
      <c r="J29" s="53" t="s">
        <v>830</v>
      </c>
    </row>
    <row r="30" spans="1:10" x14ac:dyDescent="0.25">
      <c r="A30" s="53" t="s">
        <v>334</v>
      </c>
      <c r="B30" s="53" t="s">
        <v>831</v>
      </c>
      <c r="C30" s="53" t="s">
        <v>832</v>
      </c>
      <c r="D30" s="53" t="s">
        <v>752</v>
      </c>
      <c r="E30" s="53" t="s">
        <v>824</v>
      </c>
      <c r="F30" s="53" t="s">
        <v>737</v>
      </c>
      <c r="G30" s="53" t="s">
        <v>831</v>
      </c>
      <c r="H30" s="53" t="s">
        <v>747</v>
      </c>
      <c r="I30" s="53" t="s">
        <v>833</v>
      </c>
      <c r="J30" s="53" t="s">
        <v>834</v>
      </c>
    </row>
    <row r="31" spans="1:10" x14ac:dyDescent="0.25">
      <c r="A31" s="53" t="s">
        <v>334</v>
      </c>
      <c r="B31" s="53" t="s">
        <v>835</v>
      </c>
      <c r="C31" s="53" t="s">
        <v>836</v>
      </c>
      <c r="D31" s="53" t="s">
        <v>752</v>
      </c>
      <c r="E31" s="53" t="s">
        <v>824</v>
      </c>
      <c r="F31" s="53" t="s">
        <v>737</v>
      </c>
      <c r="G31" s="53" t="s">
        <v>835</v>
      </c>
      <c r="H31" s="53" t="s">
        <v>747</v>
      </c>
      <c r="I31" s="53" t="s">
        <v>837</v>
      </c>
      <c r="J31" s="53" t="s">
        <v>834</v>
      </c>
    </row>
    <row r="32" spans="1:10" x14ac:dyDescent="0.25">
      <c r="A32" s="53" t="s">
        <v>334</v>
      </c>
      <c r="B32" s="53" t="s">
        <v>838</v>
      </c>
      <c r="C32" s="53" t="s">
        <v>839</v>
      </c>
      <c r="D32" s="53" t="s">
        <v>752</v>
      </c>
      <c r="E32" s="53" t="s">
        <v>824</v>
      </c>
      <c r="F32" s="53" t="s">
        <v>737</v>
      </c>
      <c r="G32" s="53" t="s">
        <v>357</v>
      </c>
      <c r="H32" s="53" t="s">
        <v>754</v>
      </c>
      <c r="I32" s="53" t="s">
        <v>840</v>
      </c>
      <c r="J32" s="53" t="s">
        <v>769</v>
      </c>
    </row>
    <row r="33" spans="1:10" x14ac:dyDescent="0.25">
      <c r="A33" s="53" t="s">
        <v>334</v>
      </c>
      <c r="B33" s="53" t="s">
        <v>841</v>
      </c>
      <c r="C33" s="53" t="s">
        <v>842</v>
      </c>
      <c r="D33" s="53" t="s">
        <v>752</v>
      </c>
      <c r="E33" s="53" t="s">
        <v>824</v>
      </c>
      <c r="F33" s="53" t="s">
        <v>737</v>
      </c>
      <c r="G33" s="53" t="s">
        <v>841</v>
      </c>
      <c r="H33" s="53" t="s">
        <v>754</v>
      </c>
      <c r="I33" s="53" t="s">
        <v>843</v>
      </c>
      <c r="J33" s="53" t="s">
        <v>844</v>
      </c>
    </row>
    <row r="34" spans="1:10" x14ac:dyDescent="0.25">
      <c r="A34" s="53" t="s">
        <v>334</v>
      </c>
      <c r="B34" s="53" t="s">
        <v>845</v>
      </c>
      <c r="C34" s="53" t="s">
        <v>846</v>
      </c>
      <c r="D34" s="53" t="s">
        <v>752</v>
      </c>
      <c r="E34" s="53" t="s">
        <v>824</v>
      </c>
      <c r="F34" s="53" t="s">
        <v>737</v>
      </c>
      <c r="G34" s="53" t="s">
        <v>845</v>
      </c>
      <c r="H34" s="53" t="s">
        <v>754</v>
      </c>
      <c r="I34" s="53" t="s">
        <v>847</v>
      </c>
      <c r="J34" s="53" t="s">
        <v>848</v>
      </c>
    </row>
    <row r="35" spans="1:10" x14ac:dyDescent="0.25">
      <c r="A35" s="53" t="s">
        <v>334</v>
      </c>
      <c r="B35" s="53" t="s">
        <v>363</v>
      </c>
      <c r="C35" s="53" t="s">
        <v>849</v>
      </c>
      <c r="D35" s="53" t="s">
        <v>752</v>
      </c>
      <c r="E35" s="53" t="s">
        <v>824</v>
      </c>
      <c r="F35" s="53" t="s">
        <v>737</v>
      </c>
      <c r="G35" s="53" t="s">
        <v>363</v>
      </c>
      <c r="H35" s="53" t="s">
        <v>754</v>
      </c>
      <c r="I35" s="53" t="s">
        <v>850</v>
      </c>
      <c r="J35" s="53" t="s">
        <v>851</v>
      </c>
    </row>
    <row r="36" spans="1:10" x14ac:dyDescent="0.25">
      <c r="A36" s="53" t="s">
        <v>334</v>
      </c>
      <c r="B36" s="53" t="s">
        <v>395</v>
      </c>
      <c r="C36" s="53" t="s">
        <v>852</v>
      </c>
      <c r="D36" s="53" t="s">
        <v>752</v>
      </c>
      <c r="E36" s="53" t="s">
        <v>824</v>
      </c>
      <c r="F36" s="53" t="s">
        <v>737</v>
      </c>
      <c r="G36" s="53" t="s">
        <v>395</v>
      </c>
      <c r="H36" s="53" t="s">
        <v>747</v>
      </c>
      <c r="I36" s="53" t="s">
        <v>853</v>
      </c>
      <c r="J36" s="53" t="s">
        <v>854</v>
      </c>
    </row>
    <row r="37" spans="1:10" x14ac:dyDescent="0.25">
      <c r="A37" s="53" t="s">
        <v>337</v>
      </c>
      <c r="B37" s="53" t="s">
        <v>855</v>
      </c>
      <c r="C37" s="53" t="s">
        <v>856</v>
      </c>
      <c r="D37" s="53" t="s">
        <v>735</v>
      </c>
      <c r="E37" s="53" t="s">
        <v>857</v>
      </c>
      <c r="F37" s="53" t="s">
        <v>737</v>
      </c>
      <c r="G37" s="53" t="s">
        <v>380</v>
      </c>
      <c r="H37" s="53" t="s">
        <v>754</v>
      </c>
      <c r="I37" s="53" t="s">
        <v>858</v>
      </c>
      <c r="J37" s="53" t="s">
        <v>756</v>
      </c>
    </row>
    <row r="38" spans="1:10" x14ac:dyDescent="0.25">
      <c r="A38" s="53" t="s">
        <v>337</v>
      </c>
      <c r="B38" s="53" t="s">
        <v>381</v>
      </c>
      <c r="C38" s="53" t="s">
        <v>859</v>
      </c>
      <c r="D38" s="53" t="s">
        <v>752</v>
      </c>
      <c r="E38" s="53" t="s">
        <v>824</v>
      </c>
      <c r="F38" s="53" t="s">
        <v>737</v>
      </c>
      <c r="G38" s="53" t="s">
        <v>381</v>
      </c>
      <c r="H38" s="53" t="s">
        <v>754</v>
      </c>
      <c r="I38" s="53" t="s">
        <v>860</v>
      </c>
      <c r="J38" s="53" t="s">
        <v>861</v>
      </c>
    </row>
    <row r="39" spans="1:10" x14ac:dyDescent="0.25">
      <c r="A39" s="53" t="s">
        <v>337</v>
      </c>
      <c r="B39" s="53" t="s">
        <v>382</v>
      </c>
      <c r="C39" s="53" t="s">
        <v>862</v>
      </c>
      <c r="D39" s="53" t="s">
        <v>752</v>
      </c>
      <c r="E39" s="53" t="s">
        <v>824</v>
      </c>
      <c r="F39" s="53" t="s">
        <v>737</v>
      </c>
      <c r="G39" s="53" t="s">
        <v>382</v>
      </c>
      <c r="H39" s="53" t="s">
        <v>754</v>
      </c>
      <c r="I39" s="53" t="s">
        <v>863</v>
      </c>
      <c r="J39" s="53" t="s">
        <v>769</v>
      </c>
    </row>
    <row r="40" spans="1:10" x14ac:dyDescent="0.25">
      <c r="A40" s="53" t="s">
        <v>337</v>
      </c>
      <c r="B40" s="53" t="s">
        <v>383</v>
      </c>
      <c r="C40" s="53" t="s">
        <v>864</v>
      </c>
      <c r="D40" s="53" t="s">
        <v>752</v>
      </c>
      <c r="E40" s="53" t="s">
        <v>824</v>
      </c>
      <c r="F40" s="53" t="s">
        <v>737</v>
      </c>
      <c r="G40" s="53" t="s">
        <v>383</v>
      </c>
      <c r="H40" s="53" t="s">
        <v>754</v>
      </c>
      <c r="I40" s="53" t="s">
        <v>865</v>
      </c>
      <c r="J40" s="53" t="s">
        <v>769</v>
      </c>
    </row>
    <row r="41" spans="1:10" x14ac:dyDescent="0.25">
      <c r="A41" s="53" t="s">
        <v>337</v>
      </c>
      <c r="B41" s="53" t="s">
        <v>396</v>
      </c>
      <c r="C41" s="53" t="s">
        <v>866</v>
      </c>
      <c r="D41" s="53" t="s">
        <v>752</v>
      </c>
      <c r="E41" s="53" t="s">
        <v>824</v>
      </c>
      <c r="F41" s="53" t="s">
        <v>737</v>
      </c>
      <c r="G41" s="53" t="s">
        <v>396</v>
      </c>
      <c r="H41" s="53" t="s">
        <v>754</v>
      </c>
      <c r="I41" s="53" t="s">
        <v>867</v>
      </c>
      <c r="J41" s="53" t="s">
        <v>769</v>
      </c>
    </row>
    <row r="42" spans="1:10" x14ac:dyDescent="0.25">
      <c r="A42" s="53" t="s">
        <v>337</v>
      </c>
      <c r="B42" s="53" t="s">
        <v>385</v>
      </c>
      <c r="C42" s="53" t="s">
        <v>868</v>
      </c>
      <c r="D42" s="53" t="s">
        <v>752</v>
      </c>
      <c r="E42" s="53" t="s">
        <v>824</v>
      </c>
      <c r="F42" s="53" t="s">
        <v>737</v>
      </c>
      <c r="G42" s="53" t="s">
        <v>385</v>
      </c>
      <c r="H42" s="53" t="s">
        <v>754</v>
      </c>
      <c r="I42" s="53" t="s">
        <v>869</v>
      </c>
      <c r="J42" s="53" t="s">
        <v>769</v>
      </c>
    </row>
    <row r="43" spans="1:10" x14ac:dyDescent="0.25">
      <c r="A43" s="53" t="s">
        <v>870</v>
      </c>
      <c r="B43" s="53" t="s">
        <v>871</v>
      </c>
      <c r="C43" s="53" t="s">
        <v>872</v>
      </c>
      <c r="D43" s="53" t="s">
        <v>752</v>
      </c>
      <c r="E43" s="53" t="s">
        <v>816</v>
      </c>
      <c r="F43" s="53" t="s">
        <v>257</v>
      </c>
      <c r="G43" s="53" t="s">
        <v>681</v>
      </c>
      <c r="H43" s="53" t="s">
        <v>821</v>
      </c>
      <c r="I43" s="53" t="s">
        <v>873</v>
      </c>
      <c r="J43" s="53" t="s">
        <v>874</v>
      </c>
    </row>
    <row r="44" spans="1:10" x14ac:dyDescent="0.25">
      <c r="A44" s="53" t="s">
        <v>870</v>
      </c>
      <c r="B44" s="53" t="s">
        <v>875</v>
      </c>
      <c r="C44" s="53" t="s">
        <v>876</v>
      </c>
      <c r="D44" s="53" t="s">
        <v>752</v>
      </c>
      <c r="E44" s="53" t="s">
        <v>816</v>
      </c>
      <c r="F44" s="53" t="s">
        <v>737</v>
      </c>
      <c r="G44" s="53" t="s">
        <v>684</v>
      </c>
      <c r="H44" s="53" t="s">
        <v>754</v>
      </c>
      <c r="I44" s="53" t="s">
        <v>877</v>
      </c>
      <c r="J44" s="53" t="s">
        <v>756</v>
      </c>
    </row>
    <row r="45" spans="1:10" x14ac:dyDescent="0.25">
      <c r="A45" s="53" t="s">
        <v>870</v>
      </c>
      <c r="B45" s="53" t="s">
        <v>685</v>
      </c>
      <c r="C45" s="53" t="s">
        <v>878</v>
      </c>
      <c r="D45" s="53" t="s">
        <v>752</v>
      </c>
      <c r="E45" s="53" t="s">
        <v>816</v>
      </c>
      <c r="F45" s="53" t="s">
        <v>737</v>
      </c>
      <c r="G45" s="53" t="s">
        <v>685</v>
      </c>
      <c r="H45" s="53" t="s">
        <v>821</v>
      </c>
      <c r="I45" s="53" t="s">
        <v>873</v>
      </c>
      <c r="J45" s="53" t="s">
        <v>874</v>
      </c>
    </row>
    <row r="46" spans="1:10" x14ac:dyDescent="0.25">
      <c r="A46" s="53" t="s">
        <v>870</v>
      </c>
      <c r="B46" s="53" t="s">
        <v>879</v>
      </c>
      <c r="C46" s="53" t="s">
        <v>880</v>
      </c>
      <c r="D46" s="53" t="s">
        <v>752</v>
      </c>
      <c r="E46" s="53" t="s">
        <v>816</v>
      </c>
      <c r="F46" s="53" t="s">
        <v>227</v>
      </c>
      <c r="G46" s="53" t="s">
        <v>17</v>
      </c>
      <c r="H46" s="53" t="s">
        <v>821</v>
      </c>
      <c r="I46" s="53" t="s">
        <v>881</v>
      </c>
      <c r="J46" s="53" t="s">
        <v>769</v>
      </c>
    </row>
    <row r="47" spans="1:10" x14ac:dyDescent="0.25">
      <c r="A47" s="53" t="s">
        <v>870</v>
      </c>
      <c r="B47" s="53" t="s">
        <v>387</v>
      </c>
      <c r="C47" s="53" t="s">
        <v>882</v>
      </c>
      <c r="D47" s="53" t="s">
        <v>752</v>
      </c>
      <c r="E47" s="53" t="s">
        <v>816</v>
      </c>
      <c r="F47" s="53" t="s">
        <v>255</v>
      </c>
      <c r="G47" s="53" t="s">
        <v>387</v>
      </c>
      <c r="H47" s="53" t="s">
        <v>754</v>
      </c>
      <c r="I47" s="53" t="s">
        <v>883</v>
      </c>
      <c r="J47" s="53" t="s">
        <v>769</v>
      </c>
    </row>
    <row r="48" spans="1:10" x14ac:dyDescent="0.25">
      <c r="A48" s="53" t="s">
        <v>870</v>
      </c>
      <c r="B48" s="53" t="s">
        <v>23</v>
      </c>
      <c r="C48" s="53" t="s">
        <v>884</v>
      </c>
      <c r="D48" s="53" t="s">
        <v>735</v>
      </c>
      <c r="E48" s="53" t="s">
        <v>816</v>
      </c>
      <c r="F48" s="53" t="s">
        <v>244</v>
      </c>
      <c r="G48" s="53" t="s">
        <v>386</v>
      </c>
      <c r="H48" s="53" t="s">
        <v>754</v>
      </c>
      <c r="I48" s="53" t="s">
        <v>885</v>
      </c>
      <c r="J48" s="53" t="s">
        <v>769</v>
      </c>
    </row>
    <row r="49" spans="1:10" x14ac:dyDescent="0.25">
      <c r="A49" s="53" t="s">
        <v>886</v>
      </c>
      <c r="B49" s="53" t="s">
        <v>887</v>
      </c>
      <c r="C49" s="53" t="s">
        <v>888</v>
      </c>
      <c r="D49" s="53" t="s">
        <v>752</v>
      </c>
      <c r="E49" s="53" t="s">
        <v>889</v>
      </c>
      <c r="F49" s="53" t="s">
        <v>737</v>
      </c>
      <c r="G49" s="53" t="s">
        <v>393</v>
      </c>
      <c r="H49" s="53" t="s">
        <v>738</v>
      </c>
      <c r="I49" s="53" t="s">
        <v>890</v>
      </c>
      <c r="J49" s="53" t="s">
        <v>891</v>
      </c>
    </row>
    <row r="50" spans="1:10" x14ac:dyDescent="0.25">
      <c r="A50" s="53" t="s">
        <v>886</v>
      </c>
      <c r="B50" s="53" t="s">
        <v>892</v>
      </c>
      <c r="C50" s="53" t="s">
        <v>893</v>
      </c>
      <c r="D50" s="53" t="s">
        <v>752</v>
      </c>
      <c r="E50" s="53" t="s">
        <v>889</v>
      </c>
      <c r="F50" s="53" t="s">
        <v>737</v>
      </c>
      <c r="G50" s="53" t="s">
        <v>394</v>
      </c>
      <c r="H50" s="53" t="s">
        <v>738</v>
      </c>
      <c r="I50" s="53" t="s">
        <v>894</v>
      </c>
      <c r="J50" s="53" t="s">
        <v>740</v>
      </c>
    </row>
    <row r="51" spans="1:10" x14ac:dyDescent="0.25">
      <c r="A51" s="53" t="s">
        <v>886</v>
      </c>
      <c r="B51" s="53" t="s">
        <v>895</v>
      </c>
      <c r="C51" s="53" t="s">
        <v>896</v>
      </c>
      <c r="D51" s="53" t="s">
        <v>752</v>
      </c>
      <c r="E51" s="53" t="s">
        <v>889</v>
      </c>
      <c r="F51" s="53" t="s">
        <v>737</v>
      </c>
      <c r="G51" s="53" t="s">
        <v>897</v>
      </c>
      <c r="H51" s="53" t="s">
        <v>754</v>
      </c>
      <c r="I51" s="53" t="s">
        <v>850</v>
      </c>
      <c r="J51" s="53" t="s">
        <v>851</v>
      </c>
    </row>
    <row r="52" spans="1:10" x14ac:dyDescent="0.25">
      <c r="A52" s="53" t="s">
        <v>886</v>
      </c>
      <c r="B52" s="53" t="s">
        <v>898</v>
      </c>
      <c r="C52" s="53" t="s">
        <v>899</v>
      </c>
      <c r="D52" s="53" t="s">
        <v>752</v>
      </c>
      <c r="E52" s="53" t="s">
        <v>889</v>
      </c>
      <c r="F52" s="53" t="s">
        <v>737</v>
      </c>
      <c r="G52" s="53" t="s">
        <v>900</v>
      </c>
      <c r="H52" s="53" t="s">
        <v>754</v>
      </c>
      <c r="I52" s="53" t="s">
        <v>901</v>
      </c>
      <c r="J52" s="53" t="s">
        <v>902</v>
      </c>
    </row>
    <row r="53" spans="1:10" x14ac:dyDescent="0.25">
      <c r="A53" s="53" t="s">
        <v>886</v>
      </c>
      <c r="B53" s="53" t="s">
        <v>903</v>
      </c>
      <c r="C53" s="53" t="s">
        <v>904</v>
      </c>
      <c r="D53" s="53" t="s">
        <v>752</v>
      </c>
      <c r="E53" s="53" t="s">
        <v>889</v>
      </c>
      <c r="F53" s="53" t="s">
        <v>737</v>
      </c>
      <c r="G53" s="53" t="s">
        <v>905</v>
      </c>
      <c r="H53" s="53" t="s">
        <v>821</v>
      </c>
      <c r="I53" s="53" t="s">
        <v>906</v>
      </c>
      <c r="J53" s="53" t="s">
        <v>907</v>
      </c>
    </row>
    <row r="54" spans="1:10" x14ac:dyDescent="0.25">
      <c r="A54" s="53" t="s">
        <v>886</v>
      </c>
      <c r="B54" s="53" t="s">
        <v>908</v>
      </c>
      <c r="C54" s="53" t="s">
        <v>909</v>
      </c>
      <c r="D54" s="53" t="s">
        <v>752</v>
      </c>
      <c r="E54" s="53" t="s">
        <v>889</v>
      </c>
      <c r="F54" s="53" t="s">
        <v>910</v>
      </c>
      <c r="G54" s="53" t="s">
        <v>911</v>
      </c>
      <c r="H54" s="53" t="s">
        <v>821</v>
      </c>
      <c r="I54" s="53" t="s">
        <v>873</v>
      </c>
      <c r="J54" s="53" t="s">
        <v>874</v>
      </c>
    </row>
    <row r="55" spans="1:10" x14ac:dyDescent="0.25">
      <c r="A55" s="53" t="s">
        <v>912</v>
      </c>
      <c r="B55" s="53" t="s">
        <v>389</v>
      </c>
      <c r="C55" s="53" t="s">
        <v>259</v>
      </c>
      <c r="D55" s="53" t="s">
        <v>735</v>
      </c>
      <c r="E55" s="53" t="s">
        <v>788</v>
      </c>
      <c r="F55" s="53" t="s">
        <v>259</v>
      </c>
      <c r="G55" s="53" t="s">
        <v>389</v>
      </c>
      <c r="H55" s="53" t="s">
        <v>738</v>
      </c>
      <c r="I55" s="53" t="s">
        <v>913</v>
      </c>
      <c r="J55" s="53" t="s">
        <v>914</v>
      </c>
    </row>
    <row r="56" spans="1:10" x14ac:dyDescent="0.25">
      <c r="A56" s="53" t="s">
        <v>912</v>
      </c>
      <c r="B56" s="53" t="s">
        <v>915</v>
      </c>
      <c r="C56" s="53" t="s">
        <v>261</v>
      </c>
      <c r="D56" s="53" t="s">
        <v>735</v>
      </c>
      <c r="E56" s="53" t="s">
        <v>788</v>
      </c>
      <c r="F56" s="53" t="s">
        <v>261</v>
      </c>
      <c r="G56" s="53" t="s">
        <v>390</v>
      </c>
      <c r="H56" s="53" t="s">
        <v>738</v>
      </c>
      <c r="I56" s="53" t="s">
        <v>916</v>
      </c>
      <c r="J56" s="53" t="s">
        <v>917</v>
      </c>
    </row>
    <row r="57" spans="1:10" x14ac:dyDescent="0.25">
      <c r="A57" s="53" t="s">
        <v>912</v>
      </c>
      <c r="B57" s="53" t="s">
        <v>391</v>
      </c>
      <c r="C57" s="53" t="s">
        <v>263</v>
      </c>
      <c r="D57" s="53" t="s">
        <v>735</v>
      </c>
      <c r="E57" s="53" t="s">
        <v>788</v>
      </c>
      <c r="F57" s="53" t="s">
        <v>263</v>
      </c>
      <c r="G57" s="53" t="s">
        <v>391</v>
      </c>
      <c r="H57" s="53" t="s">
        <v>754</v>
      </c>
      <c r="I57" s="53" t="s">
        <v>918</v>
      </c>
      <c r="J57" s="53" t="s">
        <v>756</v>
      </c>
    </row>
    <row r="58" spans="1:10" x14ac:dyDescent="0.25">
      <c r="A58" s="53" t="s">
        <v>912</v>
      </c>
      <c r="B58" s="53" t="s">
        <v>392</v>
      </c>
      <c r="C58" s="53" t="s">
        <v>265</v>
      </c>
      <c r="D58" s="53" t="s">
        <v>735</v>
      </c>
      <c r="E58" s="53" t="s">
        <v>788</v>
      </c>
      <c r="F58" s="53" t="s">
        <v>265</v>
      </c>
      <c r="G58" s="53" t="s">
        <v>392</v>
      </c>
      <c r="H58" s="53" t="s">
        <v>821</v>
      </c>
      <c r="I58" s="53" t="s">
        <v>919</v>
      </c>
      <c r="J58" s="53" t="s">
        <v>769</v>
      </c>
    </row>
    <row r="59" spans="1:10" x14ac:dyDescent="0.25">
      <c r="A59" s="53" t="s">
        <v>912</v>
      </c>
      <c r="B59" s="53" t="s">
        <v>920</v>
      </c>
      <c r="C59" s="53" t="s">
        <v>255</v>
      </c>
      <c r="D59" s="53" t="s">
        <v>735</v>
      </c>
      <c r="E59" s="53" t="s">
        <v>921</v>
      </c>
      <c r="F59" s="53" t="s">
        <v>255</v>
      </c>
      <c r="G59" s="53" t="s">
        <v>387</v>
      </c>
      <c r="H59" s="53" t="s">
        <v>754</v>
      </c>
      <c r="I59" s="53" t="s">
        <v>922</v>
      </c>
      <c r="J59" s="53" t="s">
        <v>769</v>
      </c>
    </row>
    <row r="60" spans="1:10" x14ac:dyDescent="0.25">
      <c r="A60" s="53" t="s">
        <v>912</v>
      </c>
      <c r="B60" s="53" t="s">
        <v>923</v>
      </c>
      <c r="C60" s="53" t="s">
        <v>244</v>
      </c>
      <c r="D60" s="53" t="s">
        <v>735</v>
      </c>
      <c r="E60" s="53" t="s">
        <v>824</v>
      </c>
      <c r="F60" s="53" t="s">
        <v>244</v>
      </c>
      <c r="G60" s="53" t="s">
        <v>386</v>
      </c>
      <c r="H60" s="53" t="s">
        <v>754</v>
      </c>
      <c r="I60" s="53" t="s">
        <v>922</v>
      </c>
      <c r="J60" s="53" t="s">
        <v>769</v>
      </c>
    </row>
    <row r="62" ht="18" customHeight="1" spans="1:10" x14ac:dyDescent="0.25">
      <c r="A62" s="26" t="s">
        <v>924</v>
      </c>
      <c r="B62" s="26"/>
      <c r="C62" s="26"/>
      <c r="D62" s="26"/>
      <c r="E62" s="26"/>
      <c r="F62" s="26"/>
      <c r="G62" s="26"/>
      <c r="H62" s="26"/>
      <c r="I62" s="26"/>
      <c r="J62" s="26"/>
    </row>
    <row r="63" spans="1:4" x14ac:dyDescent="0.25">
      <c r="A63" s="15" t="s">
        <v>925</v>
      </c>
      <c r="B63" s="15"/>
      <c r="C63" s="15"/>
      <c r="D63" s="29">
        <f>COUNTA($B$5:$B$60)</f>
      </c>
    </row>
    <row r="64" spans="1:4" x14ac:dyDescent="0.25">
      <c r="A64" s="28" t="s">
        <v>926</v>
      </c>
      <c r="B64" s="28"/>
      <c r="C64" s="28"/>
      <c r="D64" s="29">
        <f>COUNTIF($D$5:$D$60,"HARD FILTER")</f>
      </c>
    </row>
    <row r="65" spans="1:4" x14ac:dyDescent="0.25">
      <c r="A65" s="28" t="s">
        <v>927</v>
      </c>
      <c r="B65" s="28"/>
      <c r="C65" s="28"/>
      <c r="D65" s="29">
        <f>COUNTIF($D$5:$D$60,"SOFT MATCH")</f>
      </c>
    </row>
    <row r="66" spans="1:4" x14ac:dyDescent="0.25">
      <c r="A66" s="28" t="s">
        <v>928</v>
      </c>
      <c r="B66" s="28"/>
      <c r="C66" s="28"/>
      <c r="D66" s="29">
        <f>COUNTIF($H$5:$H$60,"DONE")</f>
      </c>
    </row>
    <row r="67" spans="1:4" x14ac:dyDescent="0.25">
      <c r="A67" s="28" t="s">
        <v>929</v>
      </c>
      <c r="B67" s="28"/>
      <c r="C67" s="28"/>
      <c r="D67" s="29">
        <f>COUNTIF($H$5:$H$60,"PARTIAL")</f>
      </c>
    </row>
    <row r="68" spans="1:4" x14ac:dyDescent="0.25">
      <c r="A68" s="28" t="s">
        <v>930</v>
      </c>
      <c r="B68" s="28"/>
      <c r="C68" s="28"/>
      <c r="D68" s="29">
        <f>COUNTIF($H$5:$H$60,"BLOCKED BY DATA")</f>
      </c>
    </row>
    <row r="69" spans="1:4" x14ac:dyDescent="0.25">
      <c r="A69" s="28" t="s">
        <v>931</v>
      </c>
      <c r="B69" s="28"/>
      <c r="C69" s="28"/>
      <c r="D69" s="29">
        <f>COUNTIF($H$5:$H$60,"NEW")</f>
      </c>
    </row>
  </sheetData>
  <mergeCells count="10">
    <mergeCell ref="A1:J1"/>
    <mergeCell ref="A2:J2"/>
    <mergeCell ref="A62:J62"/>
    <mergeCell ref="A63:C63"/>
    <mergeCell ref="A64:C64"/>
    <mergeCell ref="A65:C65"/>
    <mergeCell ref="A66:C66"/>
    <mergeCell ref="A67:C67"/>
    <mergeCell ref="A68:C68"/>
    <mergeCell ref="A69:C69"/>
  </mergeCells>
  <conditionalFormatting sqref="D5:D60">
    <cfRule type="containsText" dxfId="18" priority="1" operator="containsText" text="HARD">
      <formula>NOT(ISERROR(SEARCH("HARD",D5)))</formula>
    </cfRule>
    <cfRule type="containsText" dxfId="19" priority="2" operator="containsText" text="SOFT">
      <formula>NOT(ISERROR(SEARCH("SOFT",D5)))</formula>
    </cfRule>
  </conditionalFormatting>
  <conditionalFormatting sqref="H5:H60">
    <cfRule type="containsText" dxfId="20" priority="1" operator="containsText" text="BLOCKED">
      <formula>NOT(ISERROR(SEARCH("BLOCKED",H5)))</formula>
    </cfRule>
    <cfRule type="containsText" dxfId="21" priority="2" operator="containsText" text="PARTIAL">
      <formula>NOT(ISERROR(SEARCH("PARTIAL",H5)))</formula>
    </cfRule>
    <cfRule type="containsText" dxfId="22" priority="3" operator="containsText" text="DONE">
      <formula>NOT(ISERROR(SEARCH("DONE",H5)))</formula>
    </cfRule>
    <cfRule type="containsText" dxfId="23" priority="4" operator="containsText" text="NEW">
      <formula>NOT(ISERROR(SEARCH("NEW",H5)))</formula>
    </cfRule>
  </conditionalFormatting>
  <pageMargins left="0.7" right="0.7" top="0.75" bottom="0.75" header="0.3" footer="0.3"/>
  <pageSetup orientation="portrait" horizontalDpi="4294967295" verticalDpi="4294967295" scale="100" fitToWidth="1" fitToHeight="1"/>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workbookViewId="0">
      <pane ySplit="4" topLeftCell="A5" activePane="bottomLeft" state="frozen"/>
      <selection pane="bottomLeft"/>
    </sheetView>
  </sheetViews>
  <sheetFormatPr defaultRowHeight="15" outlineLevelRow="0" outlineLevelCol="0" x14ac:dyDescent="55"/>
  <cols>
    <col min="1" max="1" width="13" customWidth="1"/>
    <col min="2" max="2" width="30" customWidth="1"/>
    <col min="3" max="3" width="52" customWidth="1"/>
    <col min="4" max="4" width="58" customWidth="1"/>
    <col min="5" max="5" width="46" customWidth="1"/>
    <col min="6" max="6" width="60" customWidth="1"/>
  </cols>
  <sheetData>
    <row r="1" ht="24" customHeight="1" spans="1:6" x14ac:dyDescent="0.25">
      <c r="A1" s="1" t="s">
        <v>973</v>
      </c>
      <c r="B1" s="1"/>
      <c r="C1" s="1"/>
      <c r="D1" s="1"/>
      <c r="E1" s="1"/>
      <c r="F1" s="1"/>
    </row>
    <row r="2" ht="30" customHeight="1" spans="1:6" x14ac:dyDescent="0.25">
      <c r="A2" s="2" t="s">
        <v>974</v>
      </c>
      <c r="B2" s="2"/>
      <c r="C2" s="2"/>
      <c r="D2" s="2"/>
      <c r="E2" s="2"/>
      <c r="F2" s="2"/>
    </row>
    <row r="4" spans="1:6" x14ac:dyDescent="0.25">
      <c r="A4" t="s">
        <v>725</v>
      </c>
      <c r="B4" t="s">
        <v>318</v>
      </c>
      <c r="C4" t="s">
        <v>975</v>
      </c>
      <c r="D4" t="s">
        <v>976</v>
      </c>
      <c r="E4" t="s">
        <v>977</v>
      </c>
      <c r="F4" t="s">
        <v>978</v>
      </c>
    </row>
    <row r="5" spans="1:6" x14ac:dyDescent="0.25">
      <c r="A5" s="53" t="s">
        <v>735</v>
      </c>
      <c r="B5" s="53" t="s">
        <v>345</v>
      </c>
      <c r="C5" s="53" t="s">
        <v>979</v>
      </c>
      <c r="D5" s="53" t="s">
        <v>980</v>
      </c>
      <c r="E5" s="53" t="s">
        <v>981</v>
      </c>
      <c r="F5" s="53" t="s">
        <v>982</v>
      </c>
    </row>
    <row r="6" spans="1:6" x14ac:dyDescent="0.25">
      <c r="A6" s="53" t="s">
        <v>735</v>
      </c>
      <c r="B6" s="53" t="s">
        <v>983</v>
      </c>
      <c r="C6" s="53" t="s">
        <v>984</v>
      </c>
      <c r="D6" s="53" t="s">
        <v>985</v>
      </c>
      <c r="E6" s="53" t="s">
        <v>981</v>
      </c>
      <c r="F6" s="53" t="s">
        <v>986</v>
      </c>
    </row>
    <row r="7" spans="1:6" x14ac:dyDescent="0.25">
      <c r="A7" s="53" t="s">
        <v>735</v>
      </c>
      <c r="B7" s="53" t="s">
        <v>987</v>
      </c>
      <c r="C7" s="53" t="s">
        <v>988</v>
      </c>
      <c r="D7" s="53" t="s">
        <v>989</v>
      </c>
      <c r="E7" s="53" t="s">
        <v>981</v>
      </c>
      <c r="F7" s="53" t="s">
        <v>990</v>
      </c>
    </row>
    <row r="8" spans="1:6" x14ac:dyDescent="0.25">
      <c r="A8" s="53" t="s">
        <v>735</v>
      </c>
      <c r="B8" s="53" t="s">
        <v>991</v>
      </c>
      <c r="C8" s="53" t="s">
        <v>992</v>
      </c>
      <c r="D8" s="53" t="s">
        <v>993</v>
      </c>
      <c r="E8" s="53" t="s">
        <v>981</v>
      </c>
      <c r="F8" s="53" t="s">
        <v>994</v>
      </c>
    </row>
    <row r="9" spans="1:6" x14ac:dyDescent="0.25">
      <c r="A9" s="53" t="s">
        <v>735</v>
      </c>
      <c r="B9" s="53" t="s">
        <v>348</v>
      </c>
      <c r="C9" s="53" t="s">
        <v>995</v>
      </c>
      <c r="D9" s="53" t="s">
        <v>996</v>
      </c>
      <c r="E9" s="53" t="s">
        <v>981</v>
      </c>
      <c r="F9" s="53" t="s">
        <v>997</v>
      </c>
    </row>
    <row r="10" spans="1:6" x14ac:dyDescent="0.25">
      <c r="A10" s="53" t="s">
        <v>735</v>
      </c>
      <c r="B10" s="53" t="s">
        <v>240</v>
      </c>
      <c r="C10" s="53" t="s">
        <v>998</v>
      </c>
      <c r="D10" s="53" t="s">
        <v>999</v>
      </c>
      <c r="E10" s="53" t="s">
        <v>981</v>
      </c>
      <c r="F10" s="53" t="s">
        <v>1000</v>
      </c>
    </row>
    <row r="11" spans="1:6" x14ac:dyDescent="0.25">
      <c r="A11" s="53" t="s">
        <v>735</v>
      </c>
      <c r="B11" s="53" t="s">
        <v>243</v>
      </c>
      <c r="C11" s="53" t="s">
        <v>1001</v>
      </c>
      <c r="D11" s="53" t="s">
        <v>1002</v>
      </c>
      <c r="E11" s="53" t="s">
        <v>981</v>
      </c>
      <c r="F11" s="53" t="s">
        <v>1003</v>
      </c>
    </row>
    <row r="12" spans="1:6" x14ac:dyDescent="0.25">
      <c r="A12" s="53" t="s">
        <v>735</v>
      </c>
      <c r="B12" s="53" t="s">
        <v>371</v>
      </c>
      <c r="C12" s="53" t="s">
        <v>1004</v>
      </c>
      <c r="D12" s="53" t="s">
        <v>1005</v>
      </c>
      <c r="E12" s="53" t="s">
        <v>981</v>
      </c>
      <c r="F12" s="53" t="s">
        <v>1006</v>
      </c>
    </row>
    <row r="13" spans="1:6" x14ac:dyDescent="0.25">
      <c r="A13" s="53" t="s">
        <v>735</v>
      </c>
      <c r="B13" s="53" t="s">
        <v>346</v>
      </c>
      <c r="C13" s="53" t="s">
        <v>1007</v>
      </c>
      <c r="D13" s="53" t="s">
        <v>1008</v>
      </c>
      <c r="E13" s="53" t="s">
        <v>981</v>
      </c>
      <c r="F13" s="53" t="s">
        <v>1009</v>
      </c>
    </row>
    <row r="14" spans="1:6" x14ac:dyDescent="0.25">
      <c r="A14" s="53" t="s">
        <v>735</v>
      </c>
      <c r="B14" s="53" t="s">
        <v>1010</v>
      </c>
      <c r="C14" s="53" t="s">
        <v>1011</v>
      </c>
      <c r="D14" s="53" t="s">
        <v>1012</v>
      </c>
      <c r="E14" s="53" t="s">
        <v>1013</v>
      </c>
      <c r="F14" s="53" t="s">
        <v>1014</v>
      </c>
    </row>
    <row r="15" spans="1:6" x14ac:dyDescent="0.25">
      <c r="A15" s="53" t="s">
        <v>735</v>
      </c>
      <c r="B15" s="53" t="s">
        <v>1015</v>
      </c>
      <c r="C15" s="53" t="s">
        <v>1016</v>
      </c>
      <c r="D15" s="53" t="s">
        <v>1017</v>
      </c>
      <c r="E15" s="53" t="s">
        <v>981</v>
      </c>
      <c r="F15" s="53" t="s">
        <v>1018</v>
      </c>
    </row>
    <row r="16" spans="1:6" x14ac:dyDescent="0.25">
      <c r="A16" s="53" t="s">
        <v>735</v>
      </c>
      <c r="B16" s="53" t="s">
        <v>1019</v>
      </c>
      <c r="C16" s="53" t="s">
        <v>1020</v>
      </c>
      <c r="D16" s="53" t="s">
        <v>1021</v>
      </c>
      <c r="E16" s="53" t="s">
        <v>981</v>
      </c>
      <c r="F16" s="53" t="s">
        <v>1022</v>
      </c>
    </row>
    <row r="17" spans="1:6" x14ac:dyDescent="0.25">
      <c r="A17" s="53" t="s">
        <v>735</v>
      </c>
      <c r="B17" s="53" t="s">
        <v>1023</v>
      </c>
      <c r="C17" s="53" t="s">
        <v>1024</v>
      </c>
      <c r="D17" s="53" t="s">
        <v>1025</v>
      </c>
      <c r="E17" s="53" t="s">
        <v>981</v>
      </c>
      <c r="F17" s="53" t="s">
        <v>1026</v>
      </c>
    </row>
    <row r="18" spans="1:6" x14ac:dyDescent="0.25">
      <c r="A18" s="53" t="s">
        <v>735</v>
      </c>
      <c r="B18" s="53" t="s">
        <v>1027</v>
      </c>
      <c r="C18" s="53" t="s">
        <v>1028</v>
      </c>
      <c r="D18" s="53" t="s">
        <v>1029</v>
      </c>
      <c r="E18" s="53" t="s">
        <v>981</v>
      </c>
      <c r="F18" s="53" t="s">
        <v>1030</v>
      </c>
    </row>
    <row r="19" spans="1:6" x14ac:dyDescent="0.25">
      <c r="A19" s="53" t="s">
        <v>735</v>
      </c>
      <c r="B19" s="53" t="s">
        <v>1031</v>
      </c>
      <c r="C19" s="53" t="s">
        <v>1032</v>
      </c>
      <c r="D19" s="53" t="s">
        <v>1033</v>
      </c>
      <c r="E19" s="53" t="s">
        <v>1034</v>
      </c>
      <c r="F19" s="53" t="s">
        <v>1035</v>
      </c>
    </row>
    <row r="20" spans="1:6" x14ac:dyDescent="0.25">
      <c r="A20" s="53" t="s">
        <v>752</v>
      </c>
      <c r="B20" s="53" t="s">
        <v>871</v>
      </c>
      <c r="C20" s="53" t="s">
        <v>1036</v>
      </c>
      <c r="D20" s="53" t="s">
        <v>1037</v>
      </c>
      <c r="E20" s="53" t="s">
        <v>1038</v>
      </c>
      <c r="F20" s="53" t="s">
        <v>1039</v>
      </c>
    </row>
    <row r="21" spans="1:6" x14ac:dyDescent="0.25">
      <c r="A21" s="53" t="s">
        <v>752</v>
      </c>
      <c r="B21" s="53" t="s">
        <v>943</v>
      </c>
      <c r="C21" s="53" t="s">
        <v>1040</v>
      </c>
      <c r="D21" s="53" t="s">
        <v>1041</v>
      </c>
      <c r="E21" s="53" t="s">
        <v>1038</v>
      </c>
      <c r="F21" s="53" t="s">
        <v>737</v>
      </c>
    </row>
    <row r="22" spans="1:6" x14ac:dyDescent="0.25">
      <c r="A22" s="53" t="s">
        <v>752</v>
      </c>
      <c r="B22" s="53" t="s">
        <v>879</v>
      </c>
      <c r="C22" s="53" t="s">
        <v>1042</v>
      </c>
      <c r="D22" s="53" t="s">
        <v>1043</v>
      </c>
      <c r="E22" s="53" t="s">
        <v>1038</v>
      </c>
      <c r="F22" s="53" t="s">
        <v>737</v>
      </c>
    </row>
    <row r="23" spans="1:6" x14ac:dyDescent="0.25">
      <c r="A23" s="53" t="s">
        <v>752</v>
      </c>
      <c r="B23" s="53" t="s">
        <v>1044</v>
      </c>
      <c r="C23" s="53" t="s">
        <v>1045</v>
      </c>
      <c r="D23" s="53" t="s">
        <v>1046</v>
      </c>
      <c r="E23" s="53" t="s">
        <v>1038</v>
      </c>
      <c r="F23" s="53" t="s">
        <v>737</v>
      </c>
    </row>
    <row r="24" spans="1:6" x14ac:dyDescent="0.25">
      <c r="A24" s="53" t="s">
        <v>752</v>
      </c>
      <c r="B24" s="53" t="s">
        <v>944</v>
      </c>
      <c r="C24" s="53" t="s">
        <v>1047</v>
      </c>
      <c r="D24" s="53" t="s">
        <v>1048</v>
      </c>
      <c r="E24" s="53" t="s">
        <v>1038</v>
      </c>
      <c r="F24" s="53" t="s">
        <v>737</v>
      </c>
    </row>
    <row r="25" spans="1:6" x14ac:dyDescent="0.25">
      <c r="A25" s="53" t="s">
        <v>752</v>
      </c>
      <c r="B25" s="53" t="s">
        <v>945</v>
      </c>
      <c r="C25" s="53" t="s">
        <v>1049</v>
      </c>
      <c r="D25" s="53" t="s">
        <v>1050</v>
      </c>
      <c r="E25" s="53" t="s">
        <v>1038</v>
      </c>
      <c r="F25" s="53" t="s">
        <v>737</v>
      </c>
    </row>
    <row r="26" spans="1:6" x14ac:dyDescent="0.25">
      <c r="A26" s="53" t="s">
        <v>752</v>
      </c>
      <c r="B26" s="53" t="s">
        <v>385</v>
      </c>
      <c r="C26" s="53" t="s">
        <v>1051</v>
      </c>
      <c r="D26" s="53" t="s">
        <v>1052</v>
      </c>
      <c r="E26" s="53" t="s">
        <v>1038</v>
      </c>
      <c r="F26" s="53" t="s">
        <v>1053</v>
      </c>
    </row>
    <row r="27" spans="1:6" x14ac:dyDescent="0.25">
      <c r="A27" s="53" t="s">
        <v>752</v>
      </c>
      <c r="B27" s="53" t="s">
        <v>387</v>
      </c>
      <c r="C27" s="53" t="s">
        <v>1054</v>
      </c>
      <c r="D27" s="53" t="s">
        <v>1055</v>
      </c>
      <c r="E27" s="53" t="s">
        <v>1056</v>
      </c>
      <c r="F27" s="53" t="s">
        <v>737</v>
      </c>
    </row>
    <row r="29" ht="18" customHeight="1" spans="1:6" x14ac:dyDescent="0.25">
      <c r="A29" s="26" t="s">
        <v>1057</v>
      </c>
      <c r="B29" s="26"/>
      <c r="C29" s="26"/>
      <c r="D29" s="26"/>
      <c r="E29" s="26"/>
      <c r="F29" s="26"/>
    </row>
    <row r="30" ht="20" customHeight="1" spans="1:4" x14ac:dyDescent="0.25">
      <c r="A30" s="12" t="s">
        <v>681</v>
      </c>
      <c r="B30" s="12" t="s">
        <v>682</v>
      </c>
      <c r="C30" s="12" t="s">
        <v>688</v>
      </c>
      <c r="D30" s="12" t="s">
        <v>1058</v>
      </c>
    </row>
    <row r="31" spans="1:4" x14ac:dyDescent="0.25">
      <c r="A31" s="61">
        <f>Lookup_Lists!$D$152&amp;"–100"</f>
      </c>
      <c r="B31" s="15" t="s">
        <v>1059</v>
      </c>
      <c r="C31" s="28" t="s">
        <v>1060</v>
      </c>
      <c r="D31" s="62" t="s">
        <v>253</v>
      </c>
    </row>
    <row r="32" spans="1:4" x14ac:dyDescent="0.25">
      <c r="A32" s="61">
        <f>Lookup_Lists!$D$153&amp;"–"&amp;(Lookup_Lists!$D$152-1)</f>
      </c>
      <c r="B32" s="15" t="s">
        <v>1061</v>
      </c>
      <c r="C32" s="28" t="s">
        <v>1062</v>
      </c>
      <c r="D32" s="62" t="s">
        <v>253</v>
      </c>
    </row>
    <row r="33" spans="1:4" x14ac:dyDescent="0.25">
      <c r="A33" s="61">
        <f>Lookup_Lists!$D$154&amp;"–"&amp;(Lookup_Lists!$D$153-1)</f>
      </c>
      <c r="B33" s="15" t="s">
        <v>1063</v>
      </c>
      <c r="C33" s="28" t="s">
        <v>1064</v>
      </c>
      <c r="D33" s="62" t="s">
        <v>253</v>
      </c>
    </row>
    <row r="34" spans="1:4" x14ac:dyDescent="0.25">
      <c r="A34" s="61">
        <f>Lookup_Lists!$D$155&amp;"–"&amp;(Lookup_Lists!$D$154-1)</f>
      </c>
      <c r="B34" s="15" t="s">
        <v>1065</v>
      </c>
      <c r="C34" s="28" t="s">
        <v>1066</v>
      </c>
      <c r="D34" s="62" t="s">
        <v>253</v>
      </c>
    </row>
    <row r="35" spans="1:4" x14ac:dyDescent="0.25">
      <c r="A35" s="61">
        <f>"0–"&amp;(Lookup_Lists!$D$155-1)</f>
      </c>
      <c r="B35" s="15" t="s">
        <v>1067</v>
      </c>
      <c r="C35" s="28" t="s">
        <v>1068</v>
      </c>
      <c r="D35" s="62" t="s">
        <v>1069</v>
      </c>
    </row>
  </sheetData>
  <mergeCells count="3">
    <mergeCell ref="A1:F1"/>
    <mergeCell ref="A2:F2"/>
    <mergeCell ref="A29:F29"/>
  </mergeCells>
  <conditionalFormatting sqref="A5:A27">
    <cfRule type="containsText" dxfId="29" priority="1" operator="containsText" text="HARD">
      <formula>NOT(ISERROR(SEARCH("HARD",A5)))</formula>
    </cfRule>
    <cfRule type="containsText" dxfId="30" priority="2" operator="containsText" text="SOFT">
      <formula>NOT(ISERROR(SEARCH("SOFT",A5)))</formula>
    </cfRule>
  </conditionalFormatting>
  <pageMargins left="0.7" right="0.7" top="0.75" bottom="0.75" header="0.3" footer="0.3"/>
  <pageSetup orientation="portrait" horizontalDpi="4294967295" verticalDpi="4294967295" scale="100" fitToWidth="1" fitToHeight="1"/>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6"/>
  <sheetViews>
    <sheetView workbookViewId="0">
      <pane xSplit="2" ySplit="6" topLeftCell="C7" activePane="bottomRight" state="frozen"/>
      <selection pane="bottomRight"/>
    </sheetView>
  </sheetViews>
  <sheetFormatPr defaultRowHeight="15" outlineLevelRow="0" outlineLevelCol="0" x14ac:dyDescent="55"/>
  <cols>
    <col min="2" max="2" width="20" customWidth="1"/>
    <col min="3" max="3" width="22" customWidth="1"/>
    <col min="4" max="5" width="11" customWidth="1"/>
    <col min="7" max="7" width="12" customWidth="1"/>
    <col min="8" max="9" width="17" customWidth="1"/>
    <col min="10" max="10" width="14" customWidth="1"/>
    <col min="11" max="11" width="18" customWidth="1"/>
    <col min="12" max="12" width="14" customWidth="1"/>
    <col min="13" max="13" width="15" customWidth="1"/>
    <col min="14" max="14" width="14" customWidth="1"/>
    <col min="15" max="15" width="16" customWidth="1"/>
    <col min="16" max="16" width="17" customWidth="1"/>
    <col min="17" max="17" width="19" customWidth="1"/>
    <col min="19" max="19" width="15" customWidth="1"/>
    <col min="20" max="20" width="14" customWidth="1"/>
    <col min="21" max="21" width="17" customWidth="1"/>
    <col min="23" max="53" width="13" customWidth="1"/>
  </cols>
  <sheetData>
    <row r="1" ht="24" customHeight="1" spans="1:53" x14ac:dyDescent="0.25">
      <c r="A1" s="1" t="s">
        <v>932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ht="30" customHeight="1" spans="1:53" x14ac:dyDescent="0.25">
      <c r="A2" s="2" t="s">
        <v>933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4" ht="22" customHeight="1" spans="1:11" x14ac:dyDescent="0.25">
      <c r="A4" s="7" t="s">
        <v>934</v>
      </c>
      <c r="B4" s="54" t="s">
        <v>935</v>
      </c>
      <c r="C4" s="54"/>
      <c r="D4" s="16" t="s">
        <v>936</v>
      </c>
      <c r="E4" s="55">
        <f>INDEX(Lookup_Lists!$C$250:$C$279,Discovery_Ranking!$K$4,1)</f>
      </c>
      <c r="F4" s="56">
        <f>INDEX(Lookup_Lists!$D$250:$D$279,Discovery_Ranking!$K$4,1)</f>
      </c>
      <c r="G4" s="16" t="s">
        <v>937</v>
      </c>
      <c r="H4" s="55">
        <f>INDEX(Lookup_Lists!$E$250:$E$279,Discovery_Ranking!$K$4,1)</f>
      </c>
      <c r="J4" s="10" t="s">
        <v>938</v>
      </c>
      <c r="K4" s="11">
        <f>MATCH($B$4,Lookup_Lists!$B$250:$B$279,0)</f>
      </c>
    </row>
    <row r="5" spans="1:53" x14ac:dyDescent="0.25">
      <c r="A5" s="57" t="s">
        <v>939</v>
      </c>
      <c r="B5" s="58">
        <f>Brand_Profile!$B$4&amp;" — "&amp;Brand_Profile!$G$9</f>
      </c>
      <c r="X5" s="34" t="s">
        <v>940</v>
      </c>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row>
    <row r="6" ht="34" customHeight="1" spans="1:53" x14ac:dyDescent="0.25">
      <c r="A6" s="12" t="s">
        <v>941</v>
      </c>
      <c r="B6" s="12" t="s">
        <v>942</v>
      </c>
      <c r="C6" s="12" t="s">
        <v>344</v>
      </c>
      <c r="D6" s="12" t="s">
        <v>345</v>
      </c>
      <c r="E6" s="12" t="s">
        <v>346</v>
      </c>
      <c r="F6" s="12" t="s">
        <v>348</v>
      </c>
      <c r="G6" s="12" t="s">
        <v>351</v>
      </c>
      <c r="H6" s="12" t="s">
        <v>352</v>
      </c>
      <c r="I6" s="12" t="s">
        <v>943</v>
      </c>
      <c r="J6" s="12" t="s">
        <v>871</v>
      </c>
      <c r="K6" s="12" t="s">
        <v>879</v>
      </c>
      <c r="L6" s="12" t="s">
        <v>944</v>
      </c>
      <c r="M6" s="12" t="s">
        <v>23</v>
      </c>
      <c r="N6" s="12" t="s">
        <v>945</v>
      </c>
      <c r="O6" s="12" t="s">
        <v>385</v>
      </c>
      <c r="P6" s="12" t="s">
        <v>682</v>
      </c>
      <c r="Q6" s="12" t="s">
        <v>688</v>
      </c>
      <c r="R6" s="12" t="s">
        <v>946</v>
      </c>
      <c r="S6" s="12" t="s">
        <v>947</v>
      </c>
      <c r="T6" s="12" t="s">
        <v>948</v>
      </c>
      <c r="U6" s="12" t="s">
        <v>949</v>
      </c>
      <c r="V6" s="12" t="s">
        <v>342</v>
      </c>
      <c r="W6" s="12" t="s">
        <v>713</v>
      </c>
      <c r="X6" s="12" t="s">
        <v>935</v>
      </c>
      <c r="Y6" s="12" t="s">
        <v>950</v>
      </c>
      <c r="Z6" s="12" t="s">
        <v>951</v>
      </c>
      <c r="AA6" s="12" t="s">
        <v>952</v>
      </c>
      <c r="AB6" s="12" t="s">
        <v>953</v>
      </c>
      <c r="AC6" s="12" t="s">
        <v>954</v>
      </c>
      <c r="AD6" s="12" t="s">
        <v>955</v>
      </c>
      <c r="AE6" s="12" t="s">
        <v>956</v>
      </c>
      <c r="AF6" s="12" t="s">
        <v>957</v>
      </c>
      <c r="AG6" s="12" t="s">
        <v>958</v>
      </c>
      <c r="AH6" s="12" t="s">
        <v>959</v>
      </c>
      <c r="AI6" s="12" t="s">
        <v>898</v>
      </c>
      <c r="AJ6" s="12" t="s">
        <v>960</v>
      </c>
      <c r="AK6" s="12" t="s">
        <v>961</v>
      </c>
      <c r="AL6" s="12" t="s">
        <v>962</v>
      </c>
      <c r="AM6" s="12" t="s">
        <v>963</v>
      </c>
      <c r="AN6" s="12" t="s">
        <v>964</v>
      </c>
      <c r="AO6" s="12" t="s">
        <v>965</v>
      </c>
      <c r="AP6" s="12" t="s">
        <v>966</v>
      </c>
      <c r="AQ6" s="12" t="s">
        <v>967</v>
      </c>
      <c r="AR6" s="12" t="s">
        <v>968</v>
      </c>
      <c r="AS6" s="12" t="s">
        <v>969</v>
      </c>
      <c r="AT6" s="12" t="s">
        <v>970</v>
      </c>
      <c r="AU6" s="12" t="s">
        <v>971</v>
      </c>
      <c r="AV6" s="12" t="s">
        <v>972</v>
      </c>
      <c r="AW6" s="12" t="s">
        <v>887</v>
      </c>
      <c r="AX6" s="12" t="s">
        <v>892</v>
      </c>
      <c r="AY6" s="12" t="s">
        <v>895</v>
      </c>
      <c r="AZ6" s="12" t="s">
        <v>903</v>
      </c>
      <c r="BA6" s="12" t="s">
        <v>908</v>
      </c>
    </row>
    <row r="7" spans="1:53" x14ac:dyDescent="0.25">
      <c r="A7" s="44">
        <f>IF($R7="EXCLUDED","—",COUNTIFS($S$7:$S$36,"&gt;"&amp;$S7,$R$7:$R$36,"PASS")+1)</f>
      </c>
      <c r="B7" s="44">
        <f>KOL_Database!$B$5</f>
      </c>
      <c r="C7" s="44">
        <f>KOL_Database!$C$5</f>
      </c>
      <c r="D7" s="44">
        <f>KOL_Database!$D$5</f>
      </c>
      <c r="E7" s="44">
        <f>KOL_Database!$E$5</f>
      </c>
      <c r="F7" s="44">
        <f>KOL_Database!$G$5</f>
      </c>
      <c r="G7" s="45">
        <f>KOL_Database!$J$5</f>
      </c>
      <c r="H7" s="46">
        <f>KOL_Database!$K$5</f>
      </c>
      <c r="I7" s="47">
        <f>INDEX(Matching_Engine!$S$6:$S$95,$W7,1)</f>
      </c>
      <c r="J7" s="49">
        <f>INDEX(Matching_Engine!$AP$6:$AP$95,$W7,1)</f>
      </c>
      <c r="K7" s="47">
        <f>INDEX(Matching_Engine!$X$6:$X$95,$W7,1)</f>
      </c>
      <c r="L7" s="47">
        <f>INDEX(Matching_Engine!$AJ$6:$AJ$95,$W7,1)</f>
      </c>
      <c r="M7" s="47">
        <f>INDEX(Matching_Engine!$AO$6:$AO$95,$W7,1)</f>
      </c>
      <c r="N7" s="47">
        <f>INDEX(Matching_Engine!$AU$6:$AU$95,$W7,1)</f>
      </c>
      <c r="O7" s="48">
        <f>IF(KOL_Database!$AS$5="","—",KOL_Database!$AS$5)</f>
      </c>
      <c r="P7" s="44">
        <f>INDEX(Matching_Engine!$AQ$6:$AQ$95,$W7,1)</f>
      </c>
      <c r="Q7" s="44">
        <f>INDEX(Matching_Engine!$AX$6:$AX$95,$W7,1)</f>
      </c>
      <c r="R7" s="44">
        <f>INDEX(Matching_Engine!$AV$6:$AV$95,$W7,1)</f>
      </c>
      <c r="S7" s="59">
        <f>IF($R7="EXCLUDED",-1,$J7+$I7/1000+$K7/100000+$L7/10000000+$M7/1000000000)</f>
      </c>
      <c r="T7" s="44">
        <f>IF($R7="EXCLUDED","—",IF(Discovery_Ranking!$F$4="asc",COUNTIFS($U$7:$U$36,"&lt;"&amp;$U7,$R$7:$R$36,"PASS")+1,COUNTIFS($U$7:$U$36,"&gt;"&amp;$U7,$R$7:$R$36,"PASS")+1))</f>
      </c>
      <c r="U7" s="48">
        <f>INDEX($X7:$BA7,1,Discovery_Ranking!$K$4)</f>
      </c>
      <c r="V7" s="44">
        <f>KOL_Database!$A$5</f>
      </c>
      <c r="W7" s="44">
        <f>MATCH(Brand_Profile!$B$4&amp;"|"&amp;KOL_Database!$A$5,Matching_Engine!$AZ$6:$AZ$95,0)</f>
      </c>
      <c r="X7" s="60">
        <f>INDEX(Matching_Engine!$AP$6:$AP$95,$W7,1)</f>
      </c>
      <c r="Y7" s="60">
        <f>IF(KOL_Database!$L$5="",0,KOL_Database!$L$5)</f>
      </c>
      <c r="Z7" s="60">
        <f>IF(KOL_Database!$M$5="",0,KOL_Database!$M$5)</f>
      </c>
      <c r="AA7" s="60">
        <f>ROUND(INDEX(Matching_Engine!$AD$6:$AD$95,$W7,1)*0.6+INDEX(Matching_Engine!$AE$6:$AE$95,$W7,1)*0.4,1)</f>
      </c>
      <c r="AB7" s="60">
        <f>IF(KOL_Database!$T$5="",0,KOL_Database!$T$5)</f>
      </c>
      <c r="AC7" s="60">
        <f>IF(KOL_Database!$U$5="",0,KOL_Database!$U$5)</f>
      </c>
      <c r="AD7" s="60">
        <f>IF(KOL_Database!$P$5="",0,KOL_Database!$P$5)</f>
      </c>
      <c r="AE7" s="60">
        <f>IF(KOL_Database!$BC$5="",0,KOL_Database!$BC$5)</f>
      </c>
      <c r="AF7" s="60">
        <f>IF(KOL_Database!$V$5="",0,KOL_Database!$V$5)</f>
      </c>
      <c r="AG7" s="60">
        <f>IF(KOL_Database!$N$5="",0,KOL_Database!$N$5)</f>
      </c>
      <c r="AH7" s="60">
        <f>IF(KOL_Database!$O$5="",0,KOL_Database!$O$5)</f>
      </c>
      <c r="AI7" s="60">
        <f>ROUND(MIN(100,IF(KOL_Database!$N$5="",0,KOL_Database!$N$5)*8+IF(KOL_Database!$O$5="",0,KOL_Database!$O$5)*2+IF(KOL_Database!$K$5="",0,KOL_Database!$K$5)*3),1)</f>
      </c>
      <c r="AJ7" s="60">
        <f>IF(KOL_Database!$R$5="",0,KOL_Database!$R$5)</f>
      </c>
      <c r="AK7" s="60">
        <f>IF(KOL_Database!$S$5="",0,KOL_Database!$S$5)</f>
      </c>
      <c r="AL7" s="60">
        <f>INDEX(Matching_Engine!$S$6:$S$95,$W7,1)</f>
      </c>
      <c r="AM7" s="60">
        <f>IF(KOL_Database!$Q$5="",0,KOL_Database!$Q$5)</f>
      </c>
      <c r="AN7" s="60">
        <f>IF(KOL_Database!$AO$5="",999999999,KOL_Database!$AO$5)</f>
      </c>
      <c r="AO7" s="60">
        <f>IF(KOL_Database!$AP$5="",999999999,KOL_Database!$AP$5)</f>
      </c>
      <c r="AP7" s="60">
        <f>IF(KOL_Database!$AQ$5="",999999999,KOL_Database!$AQ$5)</f>
      </c>
      <c r="AQ7" s="60">
        <f>IF(KOL_Database!$BD$5="",0,KOL_Database!$BD$5)</f>
      </c>
      <c r="AR7" s="60">
        <f>IF(KOL_Database!$AS$5="",0,KOL_Database!$AS$5)</f>
      </c>
      <c r="AS7" s="60">
        <f>INDEX(Matching_Engine!$AT$6:$AT$95,$W7,1)</f>
      </c>
      <c r="AT7" s="60">
        <f>INDEX(Matching_Engine!$AU$6:$AU$95,$W7,1)</f>
      </c>
      <c r="AU7" s="60">
        <f>IF(KOL_Database!$AU$5="",0,KOL_Database!$AU$5)</f>
      </c>
      <c r="AV7" s="60">
        <f>INDEX(Matching_Engine!$X$6:$X$95,$W7,1)</f>
      </c>
      <c r="AW7" s="60">
        <f>IF(KOL_Database!$BA$5="",0,KOL_Database!$BA$5+0)</f>
      </c>
      <c r="AX7" s="60">
        <f>IF(KOL_Database!$BB$5="",0,KOL_Database!$BB$5+0)</f>
      </c>
      <c r="AY7" s="60">
        <f>ROUND(IF(KOL_Database!$V$5="",0,KOL_Database!$V$5)*0.6+MIN(100,IF(KOL_Database!$N$5="",0,KOL_Database!$N$5)*10)*0.4,1)</f>
      </c>
      <c r="AZ7" s="60">
        <f>ROUND(MIN(100,IF(KOL_Database!$K$5="",0,KOL_Database!$K$5)/8*100)*0.35+IF(KOL_Database!$R$5="",0,KOL_Database!$R$5)*0.25+(100-IF(KOL_Database!$AU$5="",0,KOL_Database!$AU$5))*0.25+(100-MIN(100,IF(KOL_Database!$J$5="",0,KOL_Database!$J$5)/5000))*0.15,1)</f>
      </c>
      <c r="BA7" s="60">
        <f>ROUND(INDEX(Matching_Engine!$AP$6:$AP$95,$W7,1)*IF(INDEX(Matching_Engine!$AS$6:$AS$95,$W7,1)="High",1,IF(INDEX(Matching_Engine!$AS$6:$AS$95,$W7,1)="Medium",0.92,0.8)),1)</f>
      </c>
    </row>
    <row r="8" spans="1:53" x14ac:dyDescent="0.25">
      <c r="A8" s="44">
        <f>IF($R8="EXCLUDED","—",COUNTIFS($S$7:$S$36,"&gt;"&amp;$S8,$R$7:$R$36,"PASS")+1)</f>
      </c>
      <c r="B8" s="44">
        <f>KOL_Database!$B$6</f>
      </c>
      <c r="C8" s="44">
        <f>KOL_Database!$C$6</f>
      </c>
      <c r="D8" s="44">
        <f>KOL_Database!$D$6</f>
      </c>
      <c r="E8" s="44">
        <f>KOL_Database!$E$6</f>
      </c>
      <c r="F8" s="44">
        <f>KOL_Database!$G$6</f>
      </c>
      <c r="G8" s="45">
        <f>KOL_Database!$J$6</f>
      </c>
      <c r="H8" s="46">
        <f>KOL_Database!$K$6</f>
      </c>
      <c r="I8" s="47">
        <f>INDEX(Matching_Engine!$S$6:$S$95,$W8,1)</f>
      </c>
      <c r="J8" s="49">
        <f>INDEX(Matching_Engine!$AP$6:$AP$95,$W8,1)</f>
      </c>
      <c r="K8" s="47">
        <f>INDEX(Matching_Engine!$X$6:$X$95,$W8,1)</f>
      </c>
      <c r="L8" s="47">
        <f>INDEX(Matching_Engine!$AJ$6:$AJ$95,$W8,1)</f>
      </c>
      <c r="M8" s="47">
        <f>INDEX(Matching_Engine!$AO$6:$AO$95,$W8,1)</f>
      </c>
      <c r="N8" s="47">
        <f>INDEX(Matching_Engine!$AU$6:$AU$95,$W8,1)</f>
      </c>
      <c r="O8" s="48">
        <f>IF(KOL_Database!$AS$6="","—",KOL_Database!$AS$6)</f>
      </c>
      <c r="P8" s="44">
        <f>INDEX(Matching_Engine!$AQ$6:$AQ$95,$W8,1)</f>
      </c>
      <c r="Q8" s="44">
        <f>INDEX(Matching_Engine!$AX$6:$AX$95,$W8,1)</f>
      </c>
      <c r="R8" s="44">
        <f>INDEX(Matching_Engine!$AV$6:$AV$95,$W8,1)</f>
      </c>
      <c r="S8" s="59">
        <f>IF($R8="EXCLUDED",-1,$J8+$I8/1000+$K8/100000+$L8/10000000+$M8/1000000000)</f>
      </c>
      <c r="T8" s="44">
        <f>IF($R8="EXCLUDED","—",IF(Discovery_Ranking!$F$4="asc",COUNTIFS($U$7:$U$36,"&lt;"&amp;$U8,$R$7:$R$36,"PASS")+1,COUNTIFS($U$7:$U$36,"&gt;"&amp;$U8,$R$7:$R$36,"PASS")+1))</f>
      </c>
      <c r="U8" s="48">
        <f>INDEX($X8:$BA8,1,Discovery_Ranking!$K$4)</f>
      </c>
      <c r="V8" s="44">
        <f>KOL_Database!$A$6</f>
      </c>
      <c r="W8" s="44">
        <f>MATCH(Brand_Profile!$B$4&amp;"|"&amp;KOL_Database!$A$6,Matching_Engine!$AZ$6:$AZ$95,0)</f>
      </c>
      <c r="X8" s="60">
        <f>INDEX(Matching_Engine!$AP$6:$AP$95,$W8,1)</f>
      </c>
      <c r="Y8" s="60">
        <f>IF(KOL_Database!$L$6="",0,KOL_Database!$L$6)</f>
      </c>
      <c r="Z8" s="60">
        <f>IF(KOL_Database!$M$6="",0,KOL_Database!$M$6)</f>
      </c>
      <c r="AA8" s="60">
        <f>ROUND(INDEX(Matching_Engine!$AD$6:$AD$95,$W8,1)*0.6+INDEX(Matching_Engine!$AE$6:$AE$95,$W8,1)*0.4,1)</f>
      </c>
      <c r="AB8" s="60">
        <f>IF(KOL_Database!$T$6="",0,KOL_Database!$T$6)</f>
      </c>
      <c r="AC8" s="60">
        <f>IF(KOL_Database!$U$6="",0,KOL_Database!$U$6)</f>
      </c>
      <c r="AD8" s="60">
        <f>IF(KOL_Database!$P$6="",0,KOL_Database!$P$6)</f>
      </c>
      <c r="AE8" s="60">
        <f>IF(KOL_Database!$BC$6="",0,KOL_Database!$BC$6)</f>
      </c>
      <c r="AF8" s="60">
        <f>IF(KOL_Database!$V$6="",0,KOL_Database!$V$6)</f>
      </c>
      <c r="AG8" s="60">
        <f>IF(KOL_Database!$N$6="",0,KOL_Database!$N$6)</f>
      </c>
      <c r="AH8" s="60">
        <f>IF(KOL_Database!$O$6="",0,KOL_Database!$O$6)</f>
      </c>
      <c r="AI8" s="60">
        <f>ROUND(MIN(100,IF(KOL_Database!$N$6="",0,KOL_Database!$N$6)*8+IF(KOL_Database!$O$6="",0,KOL_Database!$O$6)*2+IF(KOL_Database!$K$6="",0,KOL_Database!$K$6)*3),1)</f>
      </c>
      <c r="AJ8" s="60">
        <f>IF(KOL_Database!$R$6="",0,KOL_Database!$R$6)</f>
      </c>
      <c r="AK8" s="60">
        <f>IF(KOL_Database!$S$6="",0,KOL_Database!$S$6)</f>
      </c>
      <c r="AL8" s="60">
        <f>INDEX(Matching_Engine!$S$6:$S$95,$W8,1)</f>
      </c>
      <c r="AM8" s="60">
        <f>IF(KOL_Database!$Q$6="",0,KOL_Database!$Q$6)</f>
      </c>
      <c r="AN8" s="60">
        <f>IF(KOL_Database!$AO$6="",999999999,KOL_Database!$AO$6)</f>
      </c>
      <c r="AO8" s="60">
        <f>IF(KOL_Database!$AP$6="",999999999,KOL_Database!$AP$6)</f>
      </c>
      <c r="AP8" s="60">
        <f>IF(KOL_Database!$AQ$6="",999999999,KOL_Database!$AQ$6)</f>
      </c>
      <c r="AQ8" s="60">
        <f>IF(KOL_Database!$BD$6="",0,KOL_Database!$BD$6)</f>
      </c>
      <c r="AR8" s="60">
        <f>IF(KOL_Database!$AS$6="",0,KOL_Database!$AS$6)</f>
      </c>
      <c r="AS8" s="60">
        <f>INDEX(Matching_Engine!$AT$6:$AT$95,$W8,1)</f>
      </c>
      <c r="AT8" s="60">
        <f>INDEX(Matching_Engine!$AU$6:$AU$95,$W8,1)</f>
      </c>
      <c r="AU8" s="60">
        <f>IF(KOL_Database!$AU$6="",0,KOL_Database!$AU$6)</f>
      </c>
      <c r="AV8" s="60">
        <f>INDEX(Matching_Engine!$X$6:$X$95,$W8,1)</f>
      </c>
      <c r="AW8" s="60">
        <f>IF(KOL_Database!$BA$6="",0,KOL_Database!$BA$6+0)</f>
      </c>
      <c r="AX8" s="60">
        <f>IF(KOL_Database!$BB$6="",0,KOL_Database!$BB$6+0)</f>
      </c>
      <c r="AY8" s="60">
        <f>ROUND(IF(KOL_Database!$V$6="",0,KOL_Database!$V$6)*0.6+MIN(100,IF(KOL_Database!$N$6="",0,KOL_Database!$N$6)*10)*0.4,1)</f>
      </c>
      <c r="AZ8" s="60">
        <f>ROUND(MIN(100,IF(KOL_Database!$K$6="",0,KOL_Database!$K$6)/8*100)*0.35+IF(KOL_Database!$R$6="",0,KOL_Database!$R$6)*0.25+(100-IF(KOL_Database!$AU$6="",0,KOL_Database!$AU$6))*0.25+(100-MIN(100,IF(KOL_Database!$J$6="",0,KOL_Database!$J$6)/5000))*0.15,1)</f>
      </c>
      <c r="BA8" s="60">
        <f>ROUND(INDEX(Matching_Engine!$AP$6:$AP$95,$W8,1)*IF(INDEX(Matching_Engine!$AS$6:$AS$95,$W8,1)="High",1,IF(INDEX(Matching_Engine!$AS$6:$AS$95,$W8,1)="Medium",0.92,0.8)),1)</f>
      </c>
    </row>
    <row r="9" spans="1:53" x14ac:dyDescent="0.25">
      <c r="A9" s="44">
        <f>IF($R9="EXCLUDED","—",COUNTIFS($S$7:$S$36,"&gt;"&amp;$S9,$R$7:$R$36,"PASS")+1)</f>
      </c>
      <c r="B9" s="44">
        <f>KOL_Database!$B$7</f>
      </c>
      <c r="C9" s="44">
        <f>KOL_Database!$C$7</f>
      </c>
      <c r="D9" s="44">
        <f>KOL_Database!$D$7</f>
      </c>
      <c r="E9" s="44">
        <f>KOL_Database!$E$7</f>
      </c>
      <c r="F9" s="44">
        <f>KOL_Database!$G$7</f>
      </c>
      <c r="G9" s="45">
        <f>KOL_Database!$J$7</f>
      </c>
      <c r="H9" s="46">
        <f>KOL_Database!$K$7</f>
      </c>
      <c r="I9" s="47">
        <f>INDEX(Matching_Engine!$S$6:$S$95,$W9,1)</f>
      </c>
      <c r="J9" s="49">
        <f>INDEX(Matching_Engine!$AP$6:$AP$95,$W9,1)</f>
      </c>
      <c r="K9" s="47">
        <f>INDEX(Matching_Engine!$X$6:$X$95,$W9,1)</f>
      </c>
      <c r="L9" s="47">
        <f>INDEX(Matching_Engine!$AJ$6:$AJ$95,$W9,1)</f>
      </c>
      <c r="M9" s="47">
        <f>INDEX(Matching_Engine!$AO$6:$AO$95,$W9,1)</f>
      </c>
      <c r="N9" s="47">
        <f>INDEX(Matching_Engine!$AU$6:$AU$95,$W9,1)</f>
      </c>
      <c r="O9" s="48">
        <f>IF(KOL_Database!$AS$7="","—",KOL_Database!$AS$7)</f>
      </c>
      <c r="P9" s="44">
        <f>INDEX(Matching_Engine!$AQ$6:$AQ$95,$W9,1)</f>
      </c>
      <c r="Q9" s="44">
        <f>INDEX(Matching_Engine!$AX$6:$AX$95,$W9,1)</f>
      </c>
      <c r="R9" s="44">
        <f>INDEX(Matching_Engine!$AV$6:$AV$95,$W9,1)</f>
      </c>
      <c r="S9" s="59">
        <f>IF($R9="EXCLUDED",-1,$J9+$I9/1000+$K9/100000+$L9/10000000+$M9/1000000000)</f>
      </c>
      <c r="T9" s="44">
        <f>IF($R9="EXCLUDED","—",IF(Discovery_Ranking!$F$4="asc",COUNTIFS($U$7:$U$36,"&lt;"&amp;$U9,$R$7:$R$36,"PASS")+1,COUNTIFS($U$7:$U$36,"&gt;"&amp;$U9,$R$7:$R$36,"PASS")+1))</f>
      </c>
      <c r="U9" s="48">
        <f>INDEX($X9:$BA9,1,Discovery_Ranking!$K$4)</f>
      </c>
      <c r="V9" s="44">
        <f>KOL_Database!$A$7</f>
      </c>
      <c r="W9" s="44">
        <f>MATCH(Brand_Profile!$B$4&amp;"|"&amp;KOL_Database!$A$7,Matching_Engine!$AZ$6:$AZ$95,0)</f>
      </c>
      <c r="X9" s="60">
        <f>INDEX(Matching_Engine!$AP$6:$AP$95,$W9,1)</f>
      </c>
      <c r="Y9" s="60">
        <f>IF(KOL_Database!$L$7="",0,KOL_Database!$L$7)</f>
      </c>
      <c r="Z9" s="60">
        <f>IF(KOL_Database!$M$7="",0,KOL_Database!$M$7)</f>
      </c>
      <c r="AA9" s="60">
        <f>ROUND(INDEX(Matching_Engine!$AD$6:$AD$95,$W9,1)*0.6+INDEX(Matching_Engine!$AE$6:$AE$95,$W9,1)*0.4,1)</f>
      </c>
      <c r="AB9" s="60">
        <f>IF(KOL_Database!$T$7="",0,KOL_Database!$T$7)</f>
      </c>
      <c r="AC9" s="60">
        <f>IF(KOL_Database!$U$7="",0,KOL_Database!$U$7)</f>
      </c>
      <c r="AD9" s="60">
        <f>IF(KOL_Database!$P$7="",0,KOL_Database!$P$7)</f>
      </c>
      <c r="AE9" s="60">
        <f>IF(KOL_Database!$BC$7="",0,KOL_Database!$BC$7)</f>
      </c>
      <c r="AF9" s="60">
        <f>IF(KOL_Database!$V$7="",0,KOL_Database!$V$7)</f>
      </c>
      <c r="AG9" s="60">
        <f>IF(KOL_Database!$N$7="",0,KOL_Database!$N$7)</f>
      </c>
      <c r="AH9" s="60">
        <f>IF(KOL_Database!$O$7="",0,KOL_Database!$O$7)</f>
      </c>
      <c r="AI9" s="60">
        <f>ROUND(MIN(100,IF(KOL_Database!$N$7="",0,KOL_Database!$N$7)*8+IF(KOL_Database!$O$7="",0,KOL_Database!$O$7)*2+IF(KOL_Database!$K$7="",0,KOL_Database!$K$7)*3),1)</f>
      </c>
      <c r="AJ9" s="60">
        <f>IF(KOL_Database!$R$7="",0,KOL_Database!$R$7)</f>
      </c>
      <c r="AK9" s="60">
        <f>IF(KOL_Database!$S$7="",0,KOL_Database!$S$7)</f>
      </c>
      <c r="AL9" s="60">
        <f>INDEX(Matching_Engine!$S$6:$S$95,$W9,1)</f>
      </c>
      <c r="AM9" s="60">
        <f>IF(KOL_Database!$Q$7="",0,KOL_Database!$Q$7)</f>
      </c>
      <c r="AN9" s="60">
        <f>IF(KOL_Database!$AO$7="",999999999,KOL_Database!$AO$7)</f>
      </c>
      <c r="AO9" s="60">
        <f>IF(KOL_Database!$AP$7="",999999999,KOL_Database!$AP$7)</f>
      </c>
      <c r="AP9" s="60">
        <f>IF(KOL_Database!$AQ$7="",999999999,KOL_Database!$AQ$7)</f>
      </c>
      <c r="AQ9" s="60">
        <f>IF(KOL_Database!$BD$7="",0,KOL_Database!$BD$7)</f>
      </c>
      <c r="AR9" s="60">
        <f>IF(KOL_Database!$AS$7="",0,KOL_Database!$AS$7)</f>
      </c>
      <c r="AS9" s="60">
        <f>INDEX(Matching_Engine!$AT$6:$AT$95,$W9,1)</f>
      </c>
      <c r="AT9" s="60">
        <f>INDEX(Matching_Engine!$AU$6:$AU$95,$W9,1)</f>
      </c>
      <c r="AU9" s="60">
        <f>IF(KOL_Database!$AU$7="",0,KOL_Database!$AU$7)</f>
      </c>
      <c r="AV9" s="60">
        <f>INDEX(Matching_Engine!$X$6:$X$95,$W9,1)</f>
      </c>
      <c r="AW9" s="60">
        <f>IF(KOL_Database!$BA$7="",0,KOL_Database!$BA$7+0)</f>
      </c>
      <c r="AX9" s="60">
        <f>IF(KOL_Database!$BB$7="",0,KOL_Database!$BB$7+0)</f>
      </c>
      <c r="AY9" s="60">
        <f>ROUND(IF(KOL_Database!$V$7="",0,KOL_Database!$V$7)*0.6+MIN(100,IF(KOL_Database!$N$7="",0,KOL_Database!$N$7)*10)*0.4,1)</f>
      </c>
      <c r="AZ9" s="60">
        <f>ROUND(MIN(100,IF(KOL_Database!$K$7="",0,KOL_Database!$K$7)/8*100)*0.35+IF(KOL_Database!$R$7="",0,KOL_Database!$R$7)*0.25+(100-IF(KOL_Database!$AU$7="",0,KOL_Database!$AU$7))*0.25+(100-MIN(100,IF(KOL_Database!$J$7="",0,KOL_Database!$J$7)/5000))*0.15,1)</f>
      </c>
      <c r="BA9" s="60">
        <f>ROUND(INDEX(Matching_Engine!$AP$6:$AP$95,$W9,1)*IF(INDEX(Matching_Engine!$AS$6:$AS$95,$W9,1)="High",1,IF(INDEX(Matching_Engine!$AS$6:$AS$95,$W9,1)="Medium",0.92,0.8)),1)</f>
      </c>
    </row>
    <row r="10" spans="1:53" x14ac:dyDescent="0.25">
      <c r="A10" s="44">
        <f>IF($R10="EXCLUDED","—",COUNTIFS($S$7:$S$36,"&gt;"&amp;$S10,$R$7:$R$36,"PASS")+1)</f>
      </c>
      <c r="B10" s="44">
        <f>KOL_Database!$B$8</f>
      </c>
      <c r="C10" s="44">
        <f>KOL_Database!$C$8</f>
      </c>
      <c r="D10" s="44">
        <f>KOL_Database!$D$8</f>
      </c>
      <c r="E10" s="44">
        <f>KOL_Database!$E$8</f>
      </c>
      <c r="F10" s="44">
        <f>KOL_Database!$G$8</f>
      </c>
      <c r="G10" s="45">
        <f>KOL_Database!$J$8</f>
      </c>
      <c r="H10" s="46">
        <f>KOL_Database!$K$8</f>
      </c>
      <c r="I10" s="47">
        <f>INDEX(Matching_Engine!$S$6:$S$95,$W10,1)</f>
      </c>
      <c r="J10" s="49">
        <f>INDEX(Matching_Engine!$AP$6:$AP$95,$W10,1)</f>
      </c>
      <c r="K10" s="47">
        <f>INDEX(Matching_Engine!$X$6:$X$95,$W10,1)</f>
      </c>
      <c r="L10" s="47">
        <f>INDEX(Matching_Engine!$AJ$6:$AJ$95,$W10,1)</f>
      </c>
      <c r="M10" s="47">
        <f>INDEX(Matching_Engine!$AO$6:$AO$95,$W10,1)</f>
      </c>
      <c r="N10" s="47">
        <f>INDEX(Matching_Engine!$AU$6:$AU$95,$W10,1)</f>
      </c>
      <c r="O10" s="48">
        <f>IF(KOL_Database!$AS$8="","—",KOL_Database!$AS$8)</f>
      </c>
      <c r="P10" s="44">
        <f>INDEX(Matching_Engine!$AQ$6:$AQ$95,$W10,1)</f>
      </c>
      <c r="Q10" s="44">
        <f>INDEX(Matching_Engine!$AX$6:$AX$95,$W10,1)</f>
      </c>
      <c r="R10" s="44">
        <f>INDEX(Matching_Engine!$AV$6:$AV$95,$W10,1)</f>
      </c>
      <c r="S10" s="59">
        <f>IF($R10="EXCLUDED",-1,$J10+$I10/1000+$K10/100000+$L10/10000000+$M10/1000000000)</f>
      </c>
      <c r="T10" s="44">
        <f>IF($R10="EXCLUDED","—",IF(Discovery_Ranking!$F$4="asc",COUNTIFS($U$7:$U$36,"&lt;"&amp;$U10,$R$7:$R$36,"PASS")+1,COUNTIFS($U$7:$U$36,"&gt;"&amp;$U10,$R$7:$R$36,"PASS")+1))</f>
      </c>
      <c r="U10" s="48">
        <f>INDEX($X10:$BA10,1,Discovery_Ranking!$K$4)</f>
      </c>
      <c r="V10" s="44">
        <f>KOL_Database!$A$8</f>
      </c>
      <c r="W10" s="44">
        <f>MATCH(Brand_Profile!$B$4&amp;"|"&amp;KOL_Database!$A$8,Matching_Engine!$AZ$6:$AZ$95,0)</f>
      </c>
      <c r="X10" s="60">
        <f>INDEX(Matching_Engine!$AP$6:$AP$95,$W10,1)</f>
      </c>
      <c r="Y10" s="60">
        <f>IF(KOL_Database!$L$8="",0,KOL_Database!$L$8)</f>
      </c>
      <c r="Z10" s="60">
        <f>IF(KOL_Database!$M$8="",0,KOL_Database!$M$8)</f>
      </c>
      <c r="AA10" s="60">
        <f>ROUND(INDEX(Matching_Engine!$AD$6:$AD$95,$W10,1)*0.6+INDEX(Matching_Engine!$AE$6:$AE$95,$W10,1)*0.4,1)</f>
      </c>
      <c r="AB10" s="60">
        <f>IF(KOL_Database!$T$8="",0,KOL_Database!$T$8)</f>
      </c>
      <c r="AC10" s="60">
        <f>IF(KOL_Database!$U$8="",0,KOL_Database!$U$8)</f>
      </c>
      <c r="AD10" s="60">
        <f>IF(KOL_Database!$P$8="",0,KOL_Database!$P$8)</f>
      </c>
      <c r="AE10" s="60">
        <f>IF(KOL_Database!$BC$8="",0,KOL_Database!$BC$8)</f>
      </c>
      <c r="AF10" s="60">
        <f>IF(KOL_Database!$V$8="",0,KOL_Database!$V$8)</f>
      </c>
      <c r="AG10" s="60">
        <f>IF(KOL_Database!$N$8="",0,KOL_Database!$N$8)</f>
      </c>
      <c r="AH10" s="60">
        <f>IF(KOL_Database!$O$8="",0,KOL_Database!$O$8)</f>
      </c>
      <c r="AI10" s="60">
        <f>ROUND(MIN(100,IF(KOL_Database!$N$8="",0,KOL_Database!$N$8)*8+IF(KOL_Database!$O$8="",0,KOL_Database!$O$8)*2+IF(KOL_Database!$K$8="",0,KOL_Database!$K$8)*3),1)</f>
      </c>
      <c r="AJ10" s="60">
        <f>IF(KOL_Database!$R$8="",0,KOL_Database!$R$8)</f>
      </c>
      <c r="AK10" s="60">
        <f>IF(KOL_Database!$S$8="",0,KOL_Database!$S$8)</f>
      </c>
      <c r="AL10" s="60">
        <f>INDEX(Matching_Engine!$S$6:$S$95,$W10,1)</f>
      </c>
      <c r="AM10" s="60">
        <f>IF(KOL_Database!$Q$8="",0,KOL_Database!$Q$8)</f>
      </c>
      <c r="AN10" s="60">
        <f>IF(KOL_Database!$AO$8="",999999999,KOL_Database!$AO$8)</f>
      </c>
      <c r="AO10" s="60">
        <f>IF(KOL_Database!$AP$8="",999999999,KOL_Database!$AP$8)</f>
      </c>
      <c r="AP10" s="60">
        <f>IF(KOL_Database!$AQ$8="",999999999,KOL_Database!$AQ$8)</f>
      </c>
      <c r="AQ10" s="60">
        <f>IF(KOL_Database!$BD$8="",0,KOL_Database!$BD$8)</f>
      </c>
      <c r="AR10" s="60">
        <f>IF(KOL_Database!$AS$8="",0,KOL_Database!$AS$8)</f>
      </c>
      <c r="AS10" s="60">
        <f>INDEX(Matching_Engine!$AT$6:$AT$95,$W10,1)</f>
      </c>
      <c r="AT10" s="60">
        <f>INDEX(Matching_Engine!$AU$6:$AU$95,$W10,1)</f>
      </c>
      <c r="AU10" s="60">
        <f>IF(KOL_Database!$AU$8="",0,KOL_Database!$AU$8)</f>
      </c>
      <c r="AV10" s="60">
        <f>INDEX(Matching_Engine!$X$6:$X$95,$W10,1)</f>
      </c>
      <c r="AW10" s="60">
        <f>IF(KOL_Database!$BA$8="",0,KOL_Database!$BA$8+0)</f>
      </c>
      <c r="AX10" s="60">
        <f>IF(KOL_Database!$BB$8="",0,KOL_Database!$BB$8+0)</f>
      </c>
      <c r="AY10" s="60">
        <f>ROUND(IF(KOL_Database!$V$8="",0,KOL_Database!$V$8)*0.6+MIN(100,IF(KOL_Database!$N$8="",0,KOL_Database!$N$8)*10)*0.4,1)</f>
      </c>
      <c r="AZ10" s="60">
        <f>ROUND(MIN(100,IF(KOL_Database!$K$8="",0,KOL_Database!$K$8)/8*100)*0.35+IF(KOL_Database!$R$8="",0,KOL_Database!$R$8)*0.25+(100-IF(KOL_Database!$AU$8="",0,KOL_Database!$AU$8))*0.25+(100-MIN(100,IF(KOL_Database!$J$8="",0,KOL_Database!$J$8)/5000))*0.15,1)</f>
      </c>
      <c r="BA10" s="60">
        <f>ROUND(INDEX(Matching_Engine!$AP$6:$AP$95,$W10,1)*IF(INDEX(Matching_Engine!$AS$6:$AS$95,$W10,1)="High",1,IF(INDEX(Matching_Engine!$AS$6:$AS$95,$W10,1)="Medium",0.92,0.8)),1)</f>
      </c>
    </row>
    <row r="11" spans="1:53" x14ac:dyDescent="0.25">
      <c r="A11" s="44">
        <f>IF($R11="EXCLUDED","—",COUNTIFS($S$7:$S$36,"&gt;"&amp;$S11,$R$7:$R$36,"PASS")+1)</f>
      </c>
      <c r="B11" s="44">
        <f>KOL_Database!$B$9</f>
      </c>
      <c r="C11" s="44">
        <f>KOL_Database!$C$9</f>
      </c>
      <c r="D11" s="44">
        <f>KOL_Database!$D$9</f>
      </c>
      <c r="E11" s="44">
        <f>KOL_Database!$E$9</f>
      </c>
      <c r="F11" s="44">
        <f>KOL_Database!$G$9</f>
      </c>
      <c r="G11" s="45">
        <f>KOL_Database!$J$9</f>
      </c>
      <c r="H11" s="46">
        <f>KOL_Database!$K$9</f>
      </c>
      <c r="I11" s="47">
        <f>INDEX(Matching_Engine!$S$6:$S$95,$W11,1)</f>
      </c>
      <c r="J11" s="49">
        <f>INDEX(Matching_Engine!$AP$6:$AP$95,$W11,1)</f>
      </c>
      <c r="K11" s="47">
        <f>INDEX(Matching_Engine!$X$6:$X$95,$W11,1)</f>
      </c>
      <c r="L11" s="47">
        <f>INDEX(Matching_Engine!$AJ$6:$AJ$95,$W11,1)</f>
      </c>
      <c r="M11" s="47">
        <f>INDEX(Matching_Engine!$AO$6:$AO$95,$W11,1)</f>
      </c>
      <c r="N11" s="47">
        <f>INDEX(Matching_Engine!$AU$6:$AU$95,$W11,1)</f>
      </c>
      <c r="O11" s="48">
        <f>IF(KOL_Database!$AS$9="","—",KOL_Database!$AS$9)</f>
      </c>
      <c r="P11" s="44">
        <f>INDEX(Matching_Engine!$AQ$6:$AQ$95,$W11,1)</f>
      </c>
      <c r="Q11" s="44">
        <f>INDEX(Matching_Engine!$AX$6:$AX$95,$W11,1)</f>
      </c>
      <c r="R11" s="44">
        <f>INDEX(Matching_Engine!$AV$6:$AV$95,$W11,1)</f>
      </c>
      <c r="S11" s="59">
        <f>IF($R11="EXCLUDED",-1,$J11+$I11/1000+$K11/100000+$L11/10000000+$M11/1000000000)</f>
      </c>
      <c r="T11" s="44">
        <f>IF($R11="EXCLUDED","—",IF(Discovery_Ranking!$F$4="asc",COUNTIFS($U$7:$U$36,"&lt;"&amp;$U11,$R$7:$R$36,"PASS")+1,COUNTIFS($U$7:$U$36,"&gt;"&amp;$U11,$R$7:$R$36,"PASS")+1))</f>
      </c>
      <c r="U11" s="48">
        <f>INDEX($X11:$BA11,1,Discovery_Ranking!$K$4)</f>
      </c>
      <c r="V11" s="44">
        <f>KOL_Database!$A$9</f>
      </c>
      <c r="W11" s="44">
        <f>MATCH(Brand_Profile!$B$4&amp;"|"&amp;KOL_Database!$A$9,Matching_Engine!$AZ$6:$AZ$95,0)</f>
      </c>
      <c r="X11" s="60">
        <f>INDEX(Matching_Engine!$AP$6:$AP$95,$W11,1)</f>
      </c>
      <c r="Y11" s="60">
        <f>IF(KOL_Database!$L$9="",0,KOL_Database!$L$9)</f>
      </c>
      <c r="Z11" s="60">
        <f>IF(KOL_Database!$M$9="",0,KOL_Database!$M$9)</f>
      </c>
      <c r="AA11" s="60">
        <f>ROUND(INDEX(Matching_Engine!$AD$6:$AD$95,$W11,1)*0.6+INDEX(Matching_Engine!$AE$6:$AE$95,$W11,1)*0.4,1)</f>
      </c>
      <c r="AB11" s="60">
        <f>IF(KOL_Database!$T$9="",0,KOL_Database!$T$9)</f>
      </c>
      <c r="AC11" s="60">
        <f>IF(KOL_Database!$U$9="",0,KOL_Database!$U$9)</f>
      </c>
      <c r="AD11" s="60">
        <f>IF(KOL_Database!$P$9="",0,KOL_Database!$P$9)</f>
      </c>
      <c r="AE11" s="60">
        <f>IF(KOL_Database!$BC$9="",0,KOL_Database!$BC$9)</f>
      </c>
      <c r="AF11" s="60">
        <f>IF(KOL_Database!$V$9="",0,KOL_Database!$V$9)</f>
      </c>
      <c r="AG11" s="60">
        <f>IF(KOL_Database!$N$9="",0,KOL_Database!$N$9)</f>
      </c>
      <c r="AH11" s="60">
        <f>IF(KOL_Database!$O$9="",0,KOL_Database!$O$9)</f>
      </c>
      <c r="AI11" s="60">
        <f>ROUND(MIN(100,IF(KOL_Database!$N$9="",0,KOL_Database!$N$9)*8+IF(KOL_Database!$O$9="",0,KOL_Database!$O$9)*2+IF(KOL_Database!$K$9="",0,KOL_Database!$K$9)*3),1)</f>
      </c>
      <c r="AJ11" s="60">
        <f>IF(KOL_Database!$R$9="",0,KOL_Database!$R$9)</f>
      </c>
      <c r="AK11" s="60">
        <f>IF(KOL_Database!$S$9="",0,KOL_Database!$S$9)</f>
      </c>
      <c r="AL11" s="60">
        <f>INDEX(Matching_Engine!$S$6:$S$95,$W11,1)</f>
      </c>
      <c r="AM11" s="60">
        <f>IF(KOL_Database!$Q$9="",0,KOL_Database!$Q$9)</f>
      </c>
      <c r="AN11" s="60">
        <f>IF(KOL_Database!$AO$9="",999999999,KOL_Database!$AO$9)</f>
      </c>
      <c r="AO11" s="60">
        <f>IF(KOL_Database!$AP$9="",999999999,KOL_Database!$AP$9)</f>
      </c>
      <c r="AP11" s="60">
        <f>IF(KOL_Database!$AQ$9="",999999999,KOL_Database!$AQ$9)</f>
      </c>
      <c r="AQ11" s="60">
        <f>IF(KOL_Database!$BD$9="",0,KOL_Database!$BD$9)</f>
      </c>
      <c r="AR11" s="60">
        <f>IF(KOL_Database!$AS$9="",0,KOL_Database!$AS$9)</f>
      </c>
      <c r="AS11" s="60">
        <f>INDEX(Matching_Engine!$AT$6:$AT$95,$W11,1)</f>
      </c>
      <c r="AT11" s="60">
        <f>INDEX(Matching_Engine!$AU$6:$AU$95,$W11,1)</f>
      </c>
      <c r="AU11" s="60">
        <f>IF(KOL_Database!$AU$9="",0,KOL_Database!$AU$9)</f>
      </c>
      <c r="AV11" s="60">
        <f>INDEX(Matching_Engine!$X$6:$X$95,$W11,1)</f>
      </c>
      <c r="AW11" s="60">
        <f>IF(KOL_Database!$BA$9="",0,KOL_Database!$BA$9+0)</f>
      </c>
      <c r="AX11" s="60">
        <f>IF(KOL_Database!$BB$9="",0,KOL_Database!$BB$9+0)</f>
      </c>
      <c r="AY11" s="60">
        <f>ROUND(IF(KOL_Database!$V$9="",0,KOL_Database!$V$9)*0.6+MIN(100,IF(KOL_Database!$N$9="",0,KOL_Database!$N$9)*10)*0.4,1)</f>
      </c>
      <c r="AZ11" s="60">
        <f>ROUND(MIN(100,IF(KOL_Database!$K$9="",0,KOL_Database!$K$9)/8*100)*0.35+IF(KOL_Database!$R$9="",0,KOL_Database!$R$9)*0.25+(100-IF(KOL_Database!$AU$9="",0,KOL_Database!$AU$9))*0.25+(100-MIN(100,IF(KOL_Database!$J$9="",0,KOL_Database!$J$9)/5000))*0.15,1)</f>
      </c>
      <c r="BA11" s="60">
        <f>ROUND(INDEX(Matching_Engine!$AP$6:$AP$95,$W11,1)*IF(INDEX(Matching_Engine!$AS$6:$AS$95,$W11,1)="High",1,IF(INDEX(Matching_Engine!$AS$6:$AS$95,$W11,1)="Medium",0.92,0.8)),1)</f>
      </c>
    </row>
    <row r="12" spans="1:53" x14ac:dyDescent="0.25">
      <c r="A12" s="44">
        <f>IF($R12="EXCLUDED","—",COUNTIFS($S$7:$S$36,"&gt;"&amp;$S12,$R$7:$R$36,"PASS")+1)</f>
      </c>
      <c r="B12" s="44">
        <f>KOL_Database!$B$10</f>
      </c>
      <c r="C12" s="44">
        <f>KOL_Database!$C$10</f>
      </c>
      <c r="D12" s="44">
        <f>KOL_Database!$D$10</f>
      </c>
      <c r="E12" s="44">
        <f>KOL_Database!$E$10</f>
      </c>
      <c r="F12" s="44">
        <f>KOL_Database!$G$10</f>
      </c>
      <c r="G12" s="45">
        <f>KOL_Database!$J$10</f>
      </c>
      <c r="H12" s="46">
        <f>KOL_Database!$K$10</f>
      </c>
      <c r="I12" s="47">
        <f>INDEX(Matching_Engine!$S$6:$S$95,$W12,1)</f>
      </c>
      <c r="J12" s="49">
        <f>INDEX(Matching_Engine!$AP$6:$AP$95,$W12,1)</f>
      </c>
      <c r="K12" s="47">
        <f>INDEX(Matching_Engine!$X$6:$X$95,$W12,1)</f>
      </c>
      <c r="L12" s="47">
        <f>INDEX(Matching_Engine!$AJ$6:$AJ$95,$W12,1)</f>
      </c>
      <c r="M12" s="47">
        <f>INDEX(Matching_Engine!$AO$6:$AO$95,$W12,1)</f>
      </c>
      <c r="N12" s="47">
        <f>INDEX(Matching_Engine!$AU$6:$AU$95,$W12,1)</f>
      </c>
      <c r="O12" s="48">
        <f>IF(KOL_Database!$AS$10="","—",KOL_Database!$AS$10)</f>
      </c>
      <c r="P12" s="44">
        <f>INDEX(Matching_Engine!$AQ$6:$AQ$95,$W12,1)</f>
      </c>
      <c r="Q12" s="44">
        <f>INDEX(Matching_Engine!$AX$6:$AX$95,$W12,1)</f>
      </c>
      <c r="R12" s="44">
        <f>INDEX(Matching_Engine!$AV$6:$AV$95,$W12,1)</f>
      </c>
      <c r="S12" s="59">
        <f>IF($R12="EXCLUDED",-1,$J12+$I12/1000+$K12/100000+$L12/10000000+$M12/1000000000)</f>
      </c>
      <c r="T12" s="44">
        <f>IF($R12="EXCLUDED","—",IF(Discovery_Ranking!$F$4="asc",COUNTIFS($U$7:$U$36,"&lt;"&amp;$U12,$R$7:$R$36,"PASS")+1,COUNTIFS($U$7:$U$36,"&gt;"&amp;$U12,$R$7:$R$36,"PASS")+1))</f>
      </c>
      <c r="U12" s="48">
        <f>INDEX($X12:$BA12,1,Discovery_Ranking!$K$4)</f>
      </c>
      <c r="V12" s="44">
        <f>KOL_Database!$A$10</f>
      </c>
      <c r="W12" s="44">
        <f>MATCH(Brand_Profile!$B$4&amp;"|"&amp;KOL_Database!$A$10,Matching_Engine!$AZ$6:$AZ$95,0)</f>
      </c>
      <c r="X12" s="60">
        <f>INDEX(Matching_Engine!$AP$6:$AP$95,$W12,1)</f>
      </c>
      <c r="Y12" s="60">
        <f>IF(KOL_Database!$L$10="",0,KOL_Database!$L$10)</f>
      </c>
      <c r="Z12" s="60">
        <f>IF(KOL_Database!$M$10="",0,KOL_Database!$M$10)</f>
      </c>
      <c r="AA12" s="60">
        <f>ROUND(INDEX(Matching_Engine!$AD$6:$AD$95,$W12,1)*0.6+INDEX(Matching_Engine!$AE$6:$AE$95,$W12,1)*0.4,1)</f>
      </c>
      <c r="AB12" s="60">
        <f>IF(KOL_Database!$T$10="",0,KOL_Database!$T$10)</f>
      </c>
      <c r="AC12" s="60">
        <f>IF(KOL_Database!$U$10="",0,KOL_Database!$U$10)</f>
      </c>
      <c r="AD12" s="60">
        <f>IF(KOL_Database!$P$10="",0,KOL_Database!$P$10)</f>
      </c>
      <c r="AE12" s="60">
        <f>IF(KOL_Database!$BC$10="",0,KOL_Database!$BC$10)</f>
      </c>
      <c r="AF12" s="60">
        <f>IF(KOL_Database!$V$10="",0,KOL_Database!$V$10)</f>
      </c>
      <c r="AG12" s="60">
        <f>IF(KOL_Database!$N$10="",0,KOL_Database!$N$10)</f>
      </c>
      <c r="AH12" s="60">
        <f>IF(KOL_Database!$O$10="",0,KOL_Database!$O$10)</f>
      </c>
      <c r="AI12" s="60">
        <f>ROUND(MIN(100,IF(KOL_Database!$N$10="",0,KOL_Database!$N$10)*8+IF(KOL_Database!$O$10="",0,KOL_Database!$O$10)*2+IF(KOL_Database!$K$10="",0,KOL_Database!$K$10)*3),1)</f>
      </c>
      <c r="AJ12" s="60">
        <f>IF(KOL_Database!$R$10="",0,KOL_Database!$R$10)</f>
      </c>
      <c r="AK12" s="60">
        <f>IF(KOL_Database!$S$10="",0,KOL_Database!$S$10)</f>
      </c>
      <c r="AL12" s="60">
        <f>INDEX(Matching_Engine!$S$6:$S$95,$W12,1)</f>
      </c>
      <c r="AM12" s="60">
        <f>IF(KOL_Database!$Q$10="",0,KOL_Database!$Q$10)</f>
      </c>
      <c r="AN12" s="60">
        <f>IF(KOL_Database!$AO$10="",999999999,KOL_Database!$AO$10)</f>
      </c>
      <c r="AO12" s="60">
        <f>IF(KOL_Database!$AP$10="",999999999,KOL_Database!$AP$10)</f>
      </c>
      <c r="AP12" s="60">
        <f>IF(KOL_Database!$AQ$10="",999999999,KOL_Database!$AQ$10)</f>
      </c>
      <c r="AQ12" s="60">
        <f>IF(KOL_Database!$BD$10="",0,KOL_Database!$BD$10)</f>
      </c>
      <c r="AR12" s="60">
        <f>IF(KOL_Database!$AS$10="",0,KOL_Database!$AS$10)</f>
      </c>
      <c r="AS12" s="60">
        <f>INDEX(Matching_Engine!$AT$6:$AT$95,$W12,1)</f>
      </c>
      <c r="AT12" s="60">
        <f>INDEX(Matching_Engine!$AU$6:$AU$95,$W12,1)</f>
      </c>
      <c r="AU12" s="60">
        <f>IF(KOL_Database!$AU$10="",0,KOL_Database!$AU$10)</f>
      </c>
      <c r="AV12" s="60">
        <f>INDEX(Matching_Engine!$X$6:$X$95,$W12,1)</f>
      </c>
      <c r="AW12" s="60">
        <f>IF(KOL_Database!$BA$10="",0,KOL_Database!$BA$10+0)</f>
      </c>
      <c r="AX12" s="60">
        <f>IF(KOL_Database!$BB$10="",0,KOL_Database!$BB$10+0)</f>
      </c>
      <c r="AY12" s="60">
        <f>ROUND(IF(KOL_Database!$V$10="",0,KOL_Database!$V$10)*0.6+MIN(100,IF(KOL_Database!$N$10="",0,KOL_Database!$N$10)*10)*0.4,1)</f>
      </c>
      <c r="AZ12" s="60">
        <f>ROUND(MIN(100,IF(KOL_Database!$K$10="",0,KOL_Database!$K$10)/8*100)*0.35+IF(KOL_Database!$R$10="",0,KOL_Database!$R$10)*0.25+(100-IF(KOL_Database!$AU$10="",0,KOL_Database!$AU$10))*0.25+(100-MIN(100,IF(KOL_Database!$J$10="",0,KOL_Database!$J$10)/5000))*0.15,1)</f>
      </c>
      <c r="BA12" s="60">
        <f>ROUND(INDEX(Matching_Engine!$AP$6:$AP$95,$W12,1)*IF(INDEX(Matching_Engine!$AS$6:$AS$95,$W12,1)="High",1,IF(INDEX(Matching_Engine!$AS$6:$AS$95,$W12,1)="Medium",0.92,0.8)),1)</f>
      </c>
    </row>
    <row r="13" spans="1:53" x14ac:dyDescent="0.25">
      <c r="A13" s="44">
        <f>IF($R13="EXCLUDED","—",COUNTIFS($S$7:$S$36,"&gt;"&amp;$S13,$R$7:$R$36,"PASS")+1)</f>
      </c>
      <c r="B13" s="44">
        <f>KOL_Database!$B$11</f>
      </c>
      <c r="C13" s="44">
        <f>KOL_Database!$C$11</f>
      </c>
      <c r="D13" s="44">
        <f>KOL_Database!$D$11</f>
      </c>
      <c r="E13" s="44">
        <f>KOL_Database!$E$11</f>
      </c>
      <c r="F13" s="44">
        <f>KOL_Database!$G$11</f>
      </c>
      <c r="G13" s="45">
        <f>KOL_Database!$J$11</f>
      </c>
      <c r="H13" s="46">
        <f>KOL_Database!$K$11</f>
      </c>
      <c r="I13" s="47">
        <f>INDEX(Matching_Engine!$S$6:$S$95,$W13,1)</f>
      </c>
      <c r="J13" s="49">
        <f>INDEX(Matching_Engine!$AP$6:$AP$95,$W13,1)</f>
      </c>
      <c r="K13" s="47">
        <f>INDEX(Matching_Engine!$X$6:$X$95,$W13,1)</f>
      </c>
      <c r="L13" s="47">
        <f>INDEX(Matching_Engine!$AJ$6:$AJ$95,$W13,1)</f>
      </c>
      <c r="M13" s="47">
        <f>INDEX(Matching_Engine!$AO$6:$AO$95,$W13,1)</f>
      </c>
      <c r="N13" s="47">
        <f>INDEX(Matching_Engine!$AU$6:$AU$95,$W13,1)</f>
      </c>
      <c r="O13" s="48">
        <f>IF(KOL_Database!$AS$11="","—",KOL_Database!$AS$11)</f>
      </c>
      <c r="P13" s="44">
        <f>INDEX(Matching_Engine!$AQ$6:$AQ$95,$W13,1)</f>
      </c>
      <c r="Q13" s="44">
        <f>INDEX(Matching_Engine!$AX$6:$AX$95,$W13,1)</f>
      </c>
      <c r="R13" s="44">
        <f>INDEX(Matching_Engine!$AV$6:$AV$95,$W13,1)</f>
      </c>
      <c r="S13" s="59">
        <f>IF($R13="EXCLUDED",-1,$J13+$I13/1000+$K13/100000+$L13/10000000+$M13/1000000000)</f>
      </c>
      <c r="T13" s="44">
        <f>IF($R13="EXCLUDED","—",IF(Discovery_Ranking!$F$4="asc",COUNTIFS($U$7:$U$36,"&lt;"&amp;$U13,$R$7:$R$36,"PASS")+1,COUNTIFS($U$7:$U$36,"&gt;"&amp;$U13,$R$7:$R$36,"PASS")+1))</f>
      </c>
      <c r="U13" s="48">
        <f>INDEX($X13:$BA13,1,Discovery_Ranking!$K$4)</f>
      </c>
      <c r="V13" s="44">
        <f>KOL_Database!$A$11</f>
      </c>
      <c r="W13" s="44">
        <f>MATCH(Brand_Profile!$B$4&amp;"|"&amp;KOL_Database!$A$11,Matching_Engine!$AZ$6:$AZ$95,0)</f>
      </c>
      <c r="X13" s="60">
        <f>INDEX(Matching_Engine!$AP$6:$AP$95,$W13,1)</f>
      </c>
      <c r="Y13" s="60">
        <f>IF(KOL_Database!$L$11="",0,KOL_Database!$L$11)</f>
      </c>
      <c r="Z13" s="60">
        <f>IF(KOL_Database!$M$11="",0,KOL_Database!$M$11)</f>
      </c>
      <c r="AA13" s="60">
        <f>ROUND(INDEX(Matching_Engine!$AD$6:$AD$95,$W13,1)*0.6+INDEX(Matching_Engine!$AE$6:$AE$95,$W13,1)*0.4,1)</f>
      </c>
      <c r="AB13" s="60">
        <f>IF(KOL_Database!$T$11="",0,KOL_Database!$T$11)</f>
      </c>
      <c r="AC13" s="60">
        <f>IF(KOL_Database!$U$11="",0,KOL_Database!$U$11)</f>
      </c>
      <c r="AD13" s="60">
        <f>IF(KOL_Database!$P$11="",0,KOL_Database!$P$11)</f>
      </c>
      <c r="AE13" s="60">
        <f>IF(KOL_Database!$BC$11="",0,KOL_Database!$BC$11)</f>
      </c>
      <c r="AF13" s="60">
        <f>IF(KOL_Database!$V$11="",0,KOL_Database!$V$11)</f>
      </c>
      <c r="AG13" s="60">
        <f>IF(KOL_Database!$N$11="",0,KOL_Database!$N$11)</f>
      </c>
      <c r="AH13" s="60">
        <f>IF(KOL_Database!$O$11="",0,KOL_Database!$O$11)</f>
      </c>
      <c r="AI13" s="60">
        <f>ROUND(MIN(100,IF(KOL_Database!$N$11="",0,KOL_Database!$N$11)*8+IF(KOL_Database!$O$11="",0,KOL_Database!$O$11)*2+IF(KOL_Database!$K$11="",0,KOL_Database!$K$11)*3),1)</f>
      </c>
      <c r="AJ13" s="60">
        <f>IF(KOL_Database!$R$11="",0,KOL_Database!$R$11)</f>
      </c>
      <c r="AK13" s="60">
        <f>IF(KOL_Database!$S$11="",0,KOL_Database!$S$11)</f>
      </c>
      <c r="AL13" s="60">
        <f>INDEX(Matching_Engine!$S$6:$S$95,$W13,1)</f>
      </c>
      <c r="AM13" s="60">
        <f>IF(KOL_Database!$Q$11="",0,KOL_Database!$Q$11)</f>
      </c>
      <c r="AN13" s="60">
        <f>IF(KOL_Database!$AO$11="",999999999,KOL_Database!$AO$11)</f>
      </c>
      <c r="AO13" s="60">
        <f>IF(KOL_Database!$AP$11="",999999999,KOL_Database!$AP$11)</f>
      </c>
      <c r="AP13" s="60">
        <f>IF(KOL_Database!$AQ$11="",999999999,KOL_Database!$AQ$11)</f>
      </c>
      <c r="AQ13" s="60">
        <f>IF(KOL_Database!$BD$11="",0,KOL_Database!$BD$11)</f>
      </c>
      <c r="AR13" s="60">
        <f>IF(KOL_Database!$AS$11="",0,KOL_Database!$AS$11)</f>
      </c>
      <c r="AS13" s="60">
        <f>INDEX(Matching_Engine!$AT$6:$AT$95,$W13,1)</f>
      </c>
      <c r="AT13" s="60">
        <f>INDEX(Matching_Engine!$AU$6:$AU$95,$W13,1)</f>
      </c>
      <c r="AU13" s="60">
        <f>IF(KOL_Database!$AU$11="",0,KOL_Database!$AU$11)</f>
      </c>
      <c r="AV13" s="60">
        <f>INDEX(Matching_Engine!$X$6:$X$95,$W13,1)</f>
      </c>
      <c r="AW13" s="60">
        <f>IF(KOL_Database!$BA$11="",0,KOL_Database!$BA$11+0)</f>
      </c>
      <c r="AX13" s="60">
        <f>IF(KOL_Database!$BB$11="",0,KOL_Database!$BB$11+0)</f>
      </c>
      <c r="AY13" s="60">
        <f>ROUND(IF(KOL_Database!$V$11="",0,KOL_Database!$V$11)*0.6+MIN(100,IF(KOL_Database!$N$11="",0,KOL_Database!$N$11)*10)*0.4,1)</f>
      </c>
      <c r="AZ13" s="60">
        <f>ROUND(MIN(100,IF(KOL_Database!$K$11="",0,KOL_Database!$K$11)/8*100)*0.35+IF(KOL_Database!$R$11="",0,KOL_Database!$R$11)*0.25+(100-IF(KOL_Database!$AU$11="",0,KOL_Database!$AU$11))*0.25+(100-MIN(100,IF(KOL_Database!$J$11="",0,KOL_Database!$J$11)/5000))*0.15,1)</f>
      </c>
      <c r="BA13" s="60">
        <f>ROUND(INDEX(Matching_Engine!$AP$6:$AP$95,$W13,1)*IF(INDEX(Matching_Engine!$AS$6:$AS$95,$W13,1)="High",1,IF(INDEX(Matching_Engine!$AS$6:$AS$95,$W13,1)="Medium",0.92,0.8)),1)</f>
      </c>
    </row>
    <row r="14" spans="1:53" x14ac:dyDescent="0.25">
      <c r="A14" s="44">
        <f>IF($R14="EXCLUDED","—",COUNTIFS($S$7:$S$36,"&gt;"&amp;$S14,$R$7:$R$36,"PASS")+1)</f>
      </c>
      <c r="B14" s="44">
        <f>KOL_Database!$B$12</f>
      </c>
      <c r="C14" s="44">
        <f>KOL_Database!$C$12</f>
      </c>
      <c r="D14" s="44">
        <f>KOL_Database!$D$12</f>
      </c>
      <c r="E14" s="44">
        <f>KOL_Database!$E$12</f>
      </c>
      <c r="F14" s="44">
        <f>KOL_Database!$G$12</f>
      </c>
      <c r="G14" s="45">
        <f>KOL_Database!$J$12</f>
      </c>
      <c r="H14" s="46">
        <f>KOL_Database!$K$12</f>
      </c>
      <c r="I14" s="47">
        <f>INDEX(Matching_Engine!$S$6:$S$95,$W14,1)</f>
      </c>
      <c r="J14" s="49">
        <f>INDEX(Matching_Engine!$AP$6:$AP$95,$W14,1)</f>
      </c>
      <c r="K14" s="47">
        <f>INDEX(Matching_Engine!$X$6:$X$95,$W14,1)</f>
      </c>
      <c r="L14" s="47">
        <f>INDEX(Matching_Engine!$AJ$6:$AJ$95,$W14,1)</f>
      </c>
      <c r="M14" s="47">
        <f>INDEX(Matching_Engine!$AO$6:$AO$95,$W14,1)</f>
      </c>
      <c r="N14" s="47">
        <f>INDEX(Matching_Engine!$AU$6:$AU$95,$W14,1)</f>
      </c>
      <c r="O14" s="48">
        <f>IF(KOL_Database!$AS$12="","—",KOL_Database!$AS$12)</f>
      </c>
      <c r="P14" s="44">
        <f>INDEX(Matching_Engine!$AQ$6:$AQ$95,$W14,1)</f>
      </c>
      <c r="Q14" s="44">
        <f>INDEX(Matching_Engine!$AX$6:$AX$95,$W14,1)</f>
      </c>
      <c r="R14" s="44">
        <f>INDEX(Matching_Engine!$AV$6:$AV$95,$W14,1)</f>
      </c>
      <c r="S14" s="59">
        <f>IF($R14="EXCLUDED",-1,$J14+$I14/1000+$K14/100000+$L14/10000000+$M14/1000000000)</f>
      </c>
      <c r="T14" s="44">
        <f>IF($R14="EXCLUDED","—",IF(Discovery_Ranking!$F$4="asc",COUNTIFS($U$7:$U$36,"&lt;"&amp;$U14,$R$7:$R$36,"PASS")+1,COUNTIFS($U$7:$U$36,"&gt;"&amp;$U14,$R$7:$R$36,"PASS")+1))</f>
      </c>
      <c r="U14" s="48">
        <f>INDEX($X14:$BA14,1,Discovery_Ranking!$K$4)</f>
      </c>
      <c r="V14" s="44">
        <f>KOL_Database!$A$12</f>
      </c>
      <c r="W14" s="44">
        <f>MATCH(Brand_Profile!$B$4&amp;"|"&amp;KOL_Database!$A$12,Matching_Engine!$AZ$6:$AZ$95,0)</f>
      </c>
      <c r="X14" s="60">
        <f>INDEX(Matching_Engine!$AP$6:$AP$95,$W14,1)</f>
      </c>
      <c r="Y14" s="60">
        <f>IF(KOL_Database!$L$12="",0,KOL_Database!$L$12)</f>
      </c>
      <c r="Z14" s="60">
        <f>IF(KOL_Database!$M$12="",0,KOL_Database!$M$12)</f>
      </c>
      <c r="AA14" s="60">
        <f>ROUND(INDEX(Matching_Engine!$AD$6:$AD$95,$W14,1)*0.6+INDEX(Matching_Engine!$AE$6:$AE$95,$W14,1)*0.4,1)</f>
      </c>
      <c r="AB14" s="60">
        <f>IF(KOL_Database!$T$12="",0,KOL_Database!$T$12)</f>
      </c>
      <c r="AC14" s="60">
        <f>IF(KOL_Database!$U$12="",0,KOL_Database!$U$12)</f>
      </c>
      <c r="AD14" s="60">
        <f>IF(KOL_Database!$P$12="",0,KOL_Database!$P$12)</f>
      </c>
      <c r="AE14" s="60">
        <f>IF(KOL_Database!$BC$12="",0,KOL_Database!$BC$12)</f>
      </c>
      <c r="AF14" s="60">
        <f>IF(KOL_Database!$V$12="",0,KOL_Database!$V$12)</f>
      </c>
      <c r="AG14" s="60">
        <f>IF(KOL_Database!$N$12="",0,KOL_Database!$N$12)</f>
      </c>
      <c r="AH14" s="60">
        <f>IF(KOL_Database!$O$12="",0,KOL_Database!$O$12)</f>
      </c>
      <c r="AI14" s="60">
        <f>ROUND(MIN(100,IF(KOL_Database!$N$12="",0,KOL_Database!$N$12)*8+IF(KOL_Database!$O$12="",0,KOL_Database!$O$12)*2+IF(KOL_Database!$K$12="",0,KOL_Database!$K$12)*3),1)</f>
      </c>
      <c r="AJ14" s="60">
        <f>IF(KOL_Database!$R$12="",0,KOL_Database!$R$12)</f>
      </c>
      <c r="AK14" s="60">
        <f>IF(KOL_Database!$S$12="",0,KOL_Database!$S$12)</f>
      </c>
      <c r="AL14" s="60">
        <f>INDEX(Matching_Engine!$S$6:$S$95,$W14,1)</f>
      </c>
      <c r="AM14" s="60">
        <f>IF(KOL_Database!$Q$12="",0,KOL_Database!$Q$12)</f>
      </c>
      <c r="AN14" s="60">
        <f>IF(KOL_Database!$AO$12="",999999999,KOL_Database!$AO$12)</f>
      </c>
      <c r="AO14" s="60">
        <f>IF(KOL_Database!$AP$12="",999999999,KOL_Database!$AP$12)</f>
      </c>
      <c r="AP14" s="60">
        <f>IF(KOL_Database!$AQ$12="",999999999,KOL_Database!$AQ$12)</f>
      </c>
      <c r="AQ14" s="60">
        <f>IF(KOL_Database!$BD$12="",0,KOL_Database!$BD$12)</f>
      </c>
      <c r="AR14" s="60">
        <f>IF(KOL_Database!$AS$12="",0,KOL_Database!$AS$12)</f>
      </c>
      <c r="AS14" s="60">
        <f>INDEX(Matching_Engine!$AT$6:$AT$95,$W14,1)</f>
      </c>
      <c r="AT14" s="60">
        <f>INDEX(Matching_Engine!$AU$6:$AU$95,$W14,1)</f>
      </c>
      <c r="AU14" s="60">
        <f>IF(KOL_Database!$AU$12="",0,KOL_Database!$AU$12)</f>
      </c>
      <c r="AV14" s="60">
        <f>INDEX(Matching_Engine!$X$6:$X$95,$W14,1)</f>
      </c>
      <c r="AW14" s="60">
        <f>IF(KOL_Database!$BA$12="",0,KOL_Database!$BA$12+0)</f>
      </c>
      <c r="AX14" s="60">
        <f>IF(KOL_Database!$BB$12="",0,KOL_Database!$BB$12+0)</f>
      </c>
      <c r="AY14" s="60">
        <f>ROUND(IF(KOL_Database!$V$12="",0,KOL_Database!$V$12)*0.6+MIN(100,IF(KOL_Database!$N$12="",0,KOL_Database!$N$12)*10)*0.4,1)</f>
      </c>
      <c r="AZ14" s="60">
        <f>ROUND(MIN(100,IF(KOL_Database!$K$12="",0,KOL_Database!$K$12)/8*100)*0.35+IF(KOL_Database!$R$12="",0,KOL_Database!$R$12)*0.25+(100-IF(KOL_Database!$AU$12="",0,KOL_Database!$AU$12))*0.25+(100-MIN(100,IF(KOL_Database!$J$12="",0,KOL_Database!$J$12)/5000))*0.15,1)</f>
      </c>
      <c r="BA14" s="60">
        <f>ROUND(INDEX(Matching_Engine!$AP$6:$AP$95,$W14,1)*IF(INDEX(Matching_Engine!$AS$6:$AS$95,$W14,1)="High",1,IF(INDEX(Matching_Engine!$AS$6:$AS$95,$W14,1)="Medium",0.92,0.8)),1)</f>
      </c>
    </row>
    <row r="15" spans="1:53" x14ac:dyDescent="0.25">
      <c r="A15" s="44">
        <f>IF($R15="EXCLUDED","—",COUNTIFS($S$7:$S$36,"&gt;"&amp;$S15,$R$7:$R$36,"PASS")+1)</f>
      </c>
      <c r="B15" s="44">
        <f>KOL_Database!$B$13</f>
      </c>
      <c r="C15" s="44">
        <f>KOL_Database!$C$13</f>
      </c>
      <c r="D15" s="44">
        <f>KOL_Database!$D$13</f>
      </c>
      <c r="E15" s="44">
        <f>KOL_Database!$E$13</f>
      </c>
      <c r="F15" s="44">
        <f>KOL_Database!$G$13</f>
      </c>
      <c r="G15" s="45">
        <f>KOL_Database!$J$13</f>
      </c>
      <c r="H15" s="46">
        <f>KOL_Database!$K$13</f>
      </c>
      <c r="I15" s="47">
        <f>INDEX(Matching_Engine!$S$6:$S$95,$W15,1)</f>
      </c>
      <c r="J15" s="49">
        <f>INDEX(Matching_Engine!$AP$6:$AP$95,$W15,1)</f>
      </c>
      <c r="K15" s="47">
        <f>INDEX(Matching_Engine!$X$6:$X$95,$W15,1)</f>
      </c>
      <c r="L15" s="47">
        <f>INDEX(Matching_Engine!$AJ$6:$AJ$95,$W15,1)</f>
      </c>
      <c r="M15" s="47">
        <f>INDEX(Matching_Engine!$AO$6:$AO$95,$W15,1)</f>
      </c>
      <c r="N15" s="47">
        <f>INDEX(Matching_Engine!$AU$6:$AU$95,$W15,1)</f>
      </c>
      <c r="O15" s="48">
        <f>IF(KOL_Database!$AS$13="","—",KOL_Database!$AS$13)</f>
      </c>
      <c r="P15" s="44">
        <f>INDEX(Matching_Engine!$AQ$6:$AQ$95,$W15,1)</f>
      </c>
      <c r="Q15" s="44">
        <f>INDEX(Matching_Engine!$AX$6:$AX$95,$W15,1)</f>
      </c>
      <c r="R15" s="44">
        <f>INDEX(Matching_Engine!$AV$6:$AV$95,$W15,1)</f>
      </c>
      <c r="S15" s="59">
        <f>IF($R15="EXCLUDED",-1,$J15+$I15/1000+$K15/100000+$L15/10000000+$M15/1000000000)</f>
      </c>
      <c r="T15" s="44">
        <f>IF($R15="EXCLUDED","—",IF(Discovery_Ranking!$F$4="asc",COUNTIFS($U$7:$U$36,"&lt;"&amp;$U15,$R$7:$R$36,"PASS")+1,COUNTIFS($U$7:$U$36,"&gt;"&amp;$U15,$R$7:$R$36,"PASS")+1))</f>
      </c>
      <c r="U15" s="48">
        <f>INDEX($X15:$BA15,1,Discovery_Ranking!$K$4)</f>
      </c>
      <c r="V15" s="44">
        <f>KOL_Database!$A$13</f>
      </c>
      <c r="W15" s="44">
        <f>MATCH(Brand_Profile!$B$4&amp;"|"&amp;KOL_Database!$A$13,Matching_Engine!$AZ$6:$AZ$95,0)</f>
      </c>
      <c r="X15" s="60">
        <f>INDEX(Matching_Engine!$AP$6:$AP$95,$W15,1)</f>
      </c>
      <c r="Y15" s="60">
        <f>IF(KOL_Database!$L$13="",0,KOL_Database!$L$13)</f>
      </c>
      <c r="Z15" s="60">
        <f>IF(KOL_Database!$M$13="",0,KOL_Database!$M$13)</f>
      </c>
      <c r="AA15" s="60">
        <f>ROUND(INDEX(Matching_Engine!$AD$6:$AD$95,$W15,1)*0.6+INDEX(Matching_Engine!$AE$6:$AE$95,$W15,1)*0.4,1)</f>
      </c>
      <c r="AB15" s="60">
        <f>IF(KOL_Database!$T$13="",0,KOL_Database!$T$13)</f>
      </c>
      <c r="AC15" s="60">
        <f>IF(KOL_Database!$U$13="",0,KOL_Database!$U$13)</f>
      </c>
      <c r="AD15" s="60">
        <f>IF(KOL_Database!$P$13="",0,KOL_Database!$P$13)</f>
      </c>
      <c r="AE15" s="60">
        <f>IF(KOL_Database!$BC$13="",0,KOL_Database!$BC$13)</f>
      </c>
      <c r="AF15" s="60">
        <f>IF(KOL_Database!$V$13="",0,KOL_Database!$V$13)</f>
      </c>
      <c r="AG15" s="60">
        <f>IF(KOL_Database!$N$13="",0,KOL_Database!$N$13)</f>
      </c>
      <c r="AH15" s="60">
        <f>IF(KOL_Database!$O$13="",0,KOL_Database!$O$13)</f>
      </c>
      <c r="AI15" s="60">
        <f>ROUND(MIN(100,IF(KOL_Database!$N$13="",0,KOL_Database!$N$13)*8+IF(KOL_Database!$O$13="",0,KOL_Database!$O$13)*2+IF(KOL_Database!$K$13="",0,KOL_Database!$K$13)*3),1)</f>
      </c>
      <c r="AJ15" s="60">
        <f>IF(KOL_Database!$R$13="",0,KOL_Database!$R$13)</f>
      </c>
      <c r="AK15" s="60">
        <f>IF(KOL_Database!$S$13="",0,KOL_Database!$S$13)</f>
      </c>
      <c r="AL15" s="60">
        <f>INDEX(Matching_Engine!$S$6:$S$95,$W15,1)</f>
      </c>
      <c r="AM15" s="60">
        <f>IF(KOL_Database!$Q$13="",0,KOL_Database!$Q$13)</f>
      </c>
      <c r="AN15" s="60">
        <f>IF(KOL_Database!$AO$13="",999999999,KOL_Database!$AO$13)</f>
      </c>
      <c r="AO15" s="60">
        <f>IF(KOL_Database!$AP$13="",999999999,KOL_Database!$AP$13)</f>
      </c>
      <c r="AP15" s="60">
        <f>IF(KOL_Database!$AQ$13="",999999999,KOL_Database!$AQ$13)</f>
      </c>
      <c r="AQ15" s="60">
        <f>IF(KOL_Database!$BD$13="",0,KOL_Database!$BD$13)</f>
      </c>
      <c r="AR15" s="60">
        <f>IF(KOL_Database!$AS$13="",0,KOL_Database!$AS$13)</f>
      </c>
      <c r="AS15" s="60">
        <f>INDEX(Matching_Engine!$AT$6:$AT$95,$W15,1)</f>
      </c>
      <c r="AT15" s="60">
        <f>INDEX(Matching_Engine!$AU$6:$AU$95,$W15,1)</f>
      </c>
      <c r="AU15" s="60">
        <f>IF(KOL_Database!$AU$13="",0,KOL_Database!$AU$13)</f>
      </c>
      <c r="AV15" s="60">
        <f>INDEX(Matching_Engine!$X$6:$X$95,$W15,1)</f>
      </c>
      <c r="AW15" s="60">
        <f>IF(KOL_Database!$BA$13="",0,KOL_Database!$BA$13+0)</f>
      </c>
      <c r="AX15" s="60">
        <f>IF(KOL_Database!$BB$13="",0,KOL_Database!$BB$13+0)</f>
      </c>
      <c r="AY15" s="60">
        <f>ROUND(IF(KOL_Database!$V$13="",0,KOL_Database!$V$13)*0.6+MIN(100,IF(KOL_Database!$N$13="",0,KOL_Database!$N$13)*10)*0.4,1)</f>
      </c>
      <c r="AZ15" s="60">
        <f>ROUND(MIN(100,IF(KOL_Database!$K$13="",0,KOL_Database!$K$13)/8*100)*0.35+IF(KOL_Database!$R$13="",0,KOL_Database!$R$13)*0.25+(100-IF(KOL_Database!$AU$13="",0,KOL_Database!$AU$13))*0.25+(100-MIN(100,IF(KOL_Database!$J$13="",0,KOL_Database!$J$13)/5000))*0.15,1)</f>
      </c>
      <c r="BA15" s="60">
        <f>ROUND(INDEX(Matching_Engine!$AP$6:$AP$95,$W15,1)*IF(INDEX(Matching_Engine!$AS$6:$AS$95,$W15,1)="High",1,IF(INDEX(Matching_Engine!$AS$6:$AS$95,$W15,1)="Medium",0.92,0.8)),1)</f>
      </c>
    </row>
    <row r="16" spans="1:53" x14ac:dyDescent="0.25">
      <c r="A16" s="44">
        <f>IF($R16="EXCLUDED","—",COUNTIFS($S$7:$S$36,"&gt;"&amp;$S16,$R$7:$R$36,"PASS")+1)</f>
      </c>
      <c r="B16" s="44">
        <f>KOL_Database!$B$14</f>
      </c>
      <c r="C16" s="44">
        <f>KOL_Database!$C$14</f>
      </c>
      <c r="D16" s="44">
        <f>KOL_Database!$D$14</f>
      </c>
      <c r="E16" s="44">
        <f>KOL_Database!$E$14</f>
      </c>
      <c r="F16" s="44">
        <f>KOL_Database!$G$14</f>
      </c>
      <c r="G16" s="45">
        <f>KOL_Database!$J$14</f>
      </c>
      <c r="H16" s="46">
        <f>KOL_Database!$K$14</f>
      </c>
      <c r="I16" s="47">
        <f>INDEX(Matching_Engine!$S$6:$S$95,$W16,1)</f>
      </c>
      <c r="J16" s="49">
        <f>INDEX(Matching_Engine!$AP$6:$AP$95,$W16,1)</f>
      </c>
      <c r="K16" s="47">
        <f>INDEX(Matching_Engine!$X$6:$X$95,$W16,1)</f>
      </c>
      <c r="L16" s="47">
        <f>INDEX(Matching_Engine!$AJ$6:$AJ$95,$W16,1)</f>
      </c>
      <c r="M16" s="47">
        <f>INDEX(Matching_Engine!$AO$6:$AO$95,$W16,1)</f>
      </c>
      <c r="N16" s="47">
        <f>INDEX(Matching_Engine!$AU$6:$AU$95,$W16,1)</f>
      </c>
      <c r="O16" s="48">
        <f>IF(KOL_Database!$AS$14="","—",KOL_Database!$AS$14)</f>
      </c>
      <c r="P16" s="44">
        <f>INDEX(Matching_Engine!$AQ$6:$AQ$95,$W16,1)</f>
      </c>
      <c r="Q16" s="44">
        <f>INDEX(Matching_Engine!$AX$6:$AX$95,$W16,1)</f>
      </c>
      <c r="R16" s="44">
        <f>INDEX(Matching_Engine!$AV$6:$AV$95,$W16,1)</f>
      </c>
      <c r="S16" s="59">
        <f>IF($R16="EXCLUDED",-1,$J16+$I16/1000+$K16/100000+$L16/10000000+$M16/1000000000)</f>
      </c>
      <c r="T16" s="44">
        <f>IF($R16="EXCLUDED","—",IF(Discovery_Ranking!$F$4="asc",COUNTIFS($U$7:$U$36,"&lt;"&amp;$U16,$R$7:$R$36,"PASS")+1,COUNTIFS($U$7:$U$36,"&gt;"&amp;$U16,$R$7:$R$36,"PASS")+1))</f>
      </c>
      <c r="U16" s="48">
        <f>INDEX($X16:$BA16,1,Discovery_Ranking!$K$4)</f>
      </c>
      <c r="V16" s="44">
        <f>KOL_Database!$A$14</f>
      </c>
      <c r="W16" s="44">
        <f>MATCH(Brand_Profile!$B$4&amp;"|"&amp;KOL_Database!$A$14,Matching_Engine!$AZ$6:$AZ$95,0)</f>
      </c>
      <c r="X16" s="60">
        <f>INDEX(Matching_Engine!$AP$6:$AP$95,$W16,1)</f>
      </c>
      <c r="Y16" s="60">
        <f>IF(KOL_Database!$L$14="",0,KOL_Database!$L$14)</f>
      </c>
      <c r="Z16" s="60">
        <f>IF(KOL_Database!$M$14="",0,KOL_Database!$M$14)</f>
      </c>
      <c r="AA16" s="60">
        <f>ROUND(INDEX(Matching_Engine!$AD$6:$AD$95,$W16,1)*0.6+INDEX(Matching_Engine!$AE$6:$AE$95,$W16,1)*0.4,1)</f>
      </c>
      <c r="AB16" s="60">
        <f>IF(KOL_Database!$T$14="",0,KOL_Database!$T$14)</f>
      </c>
      <c r="AC16" s="60">
        <f>IF(KOL_Database!$U$14="",0,KOL_Database!$U$14)</f>
      </c>
      <c r="AD16" s="60">
        <f>IF(KOL_Database!$P$14="",0,KOL_Database!$P$14)</f>
      </c>
      <c r="AE16" s="60">
        <f>IF(KOL_Database!$BC$14="",0,KOL_Database!$BC$14)</f>
      </c>
      <c r="AF16" s="60">
        <f>IF(KOL_Database!$V$14="",0,KOL_Database!$V$14)</f>
      </c>
      <c r="AG16" s="60">
        <f>IF(KOL_Database!$N$14="",0,KOL_Database!$N$14)</f>
      </c>
      <c r="AH16" s="60">
        <f>IF(KOL_Database!$O$14="",0,KOL_Database!$O$14)</f>
      </c>
      <c r="AI16" s="60">
        <f>ROUND(MIN(100,IF(KOL_Database!$N$14="",0,KOL_Database!$N$14)*8+IF(KOL_Database!$O$14="",0,KOL_Database!$O$14)*2+IF(KOL_Database!$K$14="",0,KOL_Database!$K$14)*3),1)</f>
      </c>
      <c r="AJ16" s="60">
        <f>IF(KOL_Database!$R$14="",0,KOL_Database!$R$14)</f>
      </c>
      <c r="AK16" s="60">
        <f>IF(KOL_Database!$S$14="",0,KOL_Database!$S$14)</f>
      </c>
      <c r="AL16" s="60">
        <f>INDEX(Matching_Engine!$S$6:$S$95,$W16,1)</f>
      </c>
      <c r="AM16" s="60">
        <f>IF(KOL_Database!$Q$14="",0,KOL_Database!$Q$14)</f>
      </c>
      <c r="AN16" s="60">
        <f>IF(KOL_Database!$AO$14="",999999999,KOL_Database!$AO$14)</f>
      </c>
      <c r="AO16" s="60">
        <f>IF(KOL_Database!$AP$14="",999999999,KOL_Database!$AP$14)</f>
      </c>
      <c r="AP16" s="60">
        <f>IF(KOL_Database!$AQ$14="",999999999,KOL_Database!$AQ$14)</f>
      </c>
      <c r="AQ16" s="60">
        <f>IF(KOL_Database!$BD$14="",0,KOL_Database!$BD$14)</f>
      </c>
      <c r="AR16" s="60">
        <f>IF(KOL_Database!$AS$14="",0,KOL_Database!$AS$14)</f>
      </c>
      <c r="AS16" s="60">
        <f>INDEX(Matching_Engine!$AT$6:$AT$95,$W16,1)</f>
      </c>
      <c r="AT16" s="60">
        <f>INDEX(Matching_Engine!$AU$6:$AU$95,$W16,1)</f>
      </c>
      <c r="AU16" s="60">
        <f>IF(KOL_Database!$AU$14="",0,KOL_Database!$AU$14)</f>
      </c>
      <c r="AV16" s="60">
        <f>INDEX(Matching_Engine!$X$6:$X$95,$W16,1)</f>
      </c>
      <c r="AW16" s="60">
        <f>IF(KOL_Database!$BA$14="",0,KOL_Database!$BA$14+0)</f>
      </c>
      <c r="AX16" s="60">
        <f>IF(KOL_Database!$BB$14="",0,KOL_Database!$BB$14+0)</f>
      </c>
      <c r="AY16" s="60">
        <f>ROUND(IF(KOL_Database!$V$14="",0,KOL_Database!$V$14)*0.6+MIN(100,IF(KOL_Database!$N$14="",0,KOL_Database!$N$14)*10)*0.4,1)</f>
      </c>
      <c r="AZ16" s="60">
        <f>ROUND(MIN(100,IF(KOL_Database!$K$14="",0,KOL_Database!$K$14)/8*100)*0.35+IF(KOL_Database!$R$14="",0,KOL_Database!$R$14)*0.25+(100-IF(KOL_Database!$AU$14="",0,KOL_Database!$AU$14))*0.25+(100-MIN(100,IF(KOL_Database!$J$14="",0,KOL_Database!$J$14)/5000))*0.15,1)</f>
      </c>
      <c r="BA16" s="60">
        <f>ROUND(INDEX(Matching_Engine!$AP$6:$AP$95,$W16,1)*IF(INDEX(Matching_Engine!$AS$6:$AS$95,$W16,1)="High",1,IF(INDEX(Matching_Engine!$AS$6:$AS$95,$W16,1)="Medium",0.92,0.8)),1)</f>
      </c>
    </row>
    <row r="17" spans="1:53" x14ac:dyDescent="0.25">
      <c r="A17" s="44">
        <f>IF($R17="EXCLUDED","—",COUNTIFS($S$7:$S$36,"&gt;"&amp;$S17,$R$7:$R$36,"PASS")+1)</f>
      </c>
      <c r="B17" s="44">
        <f>KOL_Database!$B$15</f>
      </c>
      <c r="C17" s="44">
        <f>KOL_Database!$C$15</f>
      </c>
      <c r="D17" s="44">
        <f>KOL_Database!$D$15</f>
      </c>
      <c r="E17" s="44">
        <f>KOL_Database!$E$15</f>
      </c>
      <c r="F17" s="44">
        <f>KOL_Database!$G$15</f>
      </c>
      <c r="G17" s="45">
        <f>KOL_Database!$J$15</f>
      </c>
      <c r="H17" s="46">
        <f>KOL_Database!$K$15</f>
      </c>
      <c r="I17" s="47">
        <f>INDEX(Matching_Engine!$S$6:$S$95,$W17,1)</f>
      </c>
      <c r="J17" s="49">
        <f>INDEX(Matching_Engine!$AP$6:$AP$95,$W17,1)</f>
      </c>
      <c r="K17" s="47">
        <f>INDEX(Matching_Engine!$X$6:$X$95,$W17,1)</f>
      </c>
      <c r="L17" s="47">
        <f>INDEX(Matching_Engine!$AJ$6:$AJ$95,$W17,1)</f>
      </c>
      <c r="M17" s="47">
        <f>INDEX(Matching_Engine!$AO$6:$AO$95,$W17,1)</f>
      </c>
      <c r="N17" s="47">
        <f>INDEX(Matching_Engine!$AU$6:$AU$95,$W17,1)</f>
      </c>
      <c r="O17" s="48">
        <f>IF(KOL_Database!$AS$15="","—",KOL_Database!$AS$15)</f>
      </c>
      <c r="P17" s="44">
        <f>INDEX(Matching_Engine!$AQ$6:$AQ$95,$W17,1)</f>
      </c>
      <c r="Q17" s="44">
        <f>INDEX(Matching_Engine!$AX$6:$AX$95,$W17,1)</f>
      </c>
      <c r="R17" s="44">
        <f>INDEX(Matching_Engine!$AV$6:$AV$95,$W17,1)</f>
      </c>
      <c r="S17" s="59">
        <f>IF($R17="EXCLUDED",-1,$J17+$I17/1000+$K17/100000+$L17/10000000+$M17/1000000000)</f>
      </c>
      <c r="T17" s="44">
        <f>IF($R17="EXCLUDED","—",IF(Discovery_Ranking!$F$4="asc",COUNTIFS($U$7:$U$36,"&lt;"&amp;$U17,$R$7:$R$36,"PASS")+1,COUNTIFS($U$7:$U$36,"&gt;"&amp;$U17,$R$7:$R$36,"PASS")+1))</f>
      </c>
      <c r="U17" s="48">
        <f>INDEX($X17:$BA17,1,Discovery_Ranking!$K$4)</f>
      </c>
      <c r="V17" s="44">
        <f>KOL_Database!$A$15</f>
      </c>
      <c r="W17" s="44">
        <f>MATCH(Brand_Profile!$B$4&amp;"|"&amp;KOL_Database!$A$15,Matching_Engine!$AZ$6:$AZ$95,0)</f>
      </c>
      <c r="X17" s="60">
        <f>INDEX(Matching_Engine!$AP$6:$AP$95,$W17,1)</f>
      </c>
      <c r="Y17" s="60">
        <f>IF(KOL_Database!$L$15="",0,KOL_Database!$L$15)</f>
      </c>
      <c r="Z17" s="60">
        <f>IF(KOL_Database!$M$15="",0,KOL_Database!$M$15)</f>
      </c>
      <c r="AA17" s="60">
        <f>ROUND(INDEX(Matching_Engine!$AD$6:$AD$95,$W17,1)*0.6+INDEX(Matching_Engine!$AE$6:$AE$95,$W17,1)*0.4,1)</f>
      </c>
      <c r="AB17" s="60">
        <f>IF(KOL_Database!$T$15="",0,KOL_Database!$T$15)</f>
      </c>
      <c r="AC17" s="60">
        <f>IF(KOL_Database!$U$15="",0,KOL_Database!$U$15)</f>
      </c>
      <c r="AD17" s="60">
        <f>IF(KOL_Database!$P$15="",0,KOL_Database!$P$15)</f>
      </c>
      <c r="AE17" s="60">
        <f>IF(KOL_Database!$BC$15="",0,KOL_Database!$BC$15)</f>
      </c>
      <c r="AF17" s="60">
        <f>IF(KOL_Database!$V$15="",0,KOL_Database!$V$15)</f>
      </c>
      <c r="AG17" s="60">
        <f>IF(KOL_Database!$N$15="",0,KOL_Database!$N$15)</f>
      </c>
      <c r="AH17" s="60">
        <f>IF(KOL_Database!$O$15="",0,KOL_Database!$O$15)</f>
      </c>
      <c r="AI17" s="60">
        <f>ROUND(MIN(100,IF(KOL_Database!$N$15="",0,KOL_Database!$N$15)*8+IF(KOL_Database!$O$15="",0,KOL_Database!$O$15)*2+IF(KOL_Database!$K$15="",0,KOL_Database!$K$15)*3),1)</f>
      </c>
      <c r="AJ17" s="60">
        <f>IF(KOL_Database!$R$15="",0,KOL_Database!$R$15)</f>
      </c>
      <c r="AK17" s="60">
        <f>IF(KOL_Database!$S$15="",0,KOL_Database!$S$15)</f>
      </c>
      <c r="AL17" s="60">
        <f>INDEX(Matching_Engine!$S$6:$S$95,$W17,1)</f>
      </c>
      <c r="AM17" s="60">
        <f>IF(KOL_Database!$Q$15="",0,KOL_Database!$Q$15)</f>
      </c>
      <c r="AN17" s="60">
        <f>IF(KOL_Database!$AO$15="",999999999,KOL_Database!$AO$15)</f>
      </c>
      <c r="AO17" s="60">
        <f>IF(KOL_Database!$AP$15="",999999999,KOL_Database!$AP$15)</f>
      </c>
      <c r="AP17" s="60">
        <f>IF(KOL_Database!$AQ$15="",999999999,KOL_Database!$AQ$15)</f>
      </c>
      <c r="AQ17" s="60">
        <f>IF(KOL_Database!$BD$15="",0,KOL_Database!$BD$15)</f>
      </c>
      <c r="AR17" s="60">
        <f>IF(KOL_Database!$AS$15="",0,KOL_Database!$AS$15)</f>
      </c>
      <c r="AS17" s="60">
        <f>INDEX(Matching_Engine!$AT$6:$AT$95,$W17,1)</f>
      </c>
      <c r="AT17" s="60">
        <f>INDEX(Matching_Engine!$AU$6:$AU$95,$W17,1)</f>
      </c>
      <c r="AU17" s="60">
        <f>IF(KOL_Database!$AU$15="",0,KOL_Database!$AU$15)</f>
      </c>
      <c r="AV17" s="60">
        <f>INDEX(Matching_Engine!$X$6:$X$95,$W17,1)</f>
      </c>
      <c r="AW17" s="60">
        <f>IF(KOL_Database!$BA$15="",0,KOL_Database!$BA$15+0)</f>
      </c>
      <c r="AX17" s="60">
        <f>IF(KOL_Database!$BB$15="",0,KOL_Database!$BB$15+0)</f>
      </c>
      <c r="AY17" s="60">
        <f>ROUND(IF(KOL_Database!$V$15="",0,KOL_Database!$V$15)*0.6+MIN(100,IF(KOL_Database!$N$15="",0,KOL_Database!$N$15)*10)*0.4,1)</f>
      </c>
      <c r="AZ17" s="60">
        <f>ROUND(MIN(100,IF(KOL_Database!$K$15="",0,KOL_Database!$K$15)/8*100)*0.35+IF(KOL_Database!$R$15="",0,KOL_Database!$R$15)*0.25+(100-IF(KOL_Database!$AU$15="",0,KOL_Database!$AU$15))*0.25+(100-MIN(100,IF(KOL_Database!$J$15="",0,KOL_Database!$J$15)/5000))*0.15,1)</f>
      </c>
      <c r="BA17" s="60">
        <f>ROUND(INDEX(Matching_Engine!$AP$6:$AP$95,$W17,1)*IF(INDEX(Matching_Engine!$AS$6:$AS$95,$W17,1)="High",1,IF(INDEX(Matching_Engine!$AS$6:$AS$95,$W17,1)="Medium",0.92,0.8)),1)</f>
      </c>
    </row>
    <row r="18" spans="1:53" x14ac:dyDescent="0.25">
      <c r="A18" s="44">
        <f>IF($R18="EXCLUDED","—",COUNTIFS($S$7:$S$36,"&gt;"&amp;$S18,$R$7:$R$36,"PASS")+1)</f>
      </c>
      <c r="B18" s="44">
        <f>KOL_Database!$B$16</f>
      </c>
      <c r="C18" s="44">
        <f>KOL_Database!$C$16</f>
      </c>
      <c r="D18" s="44">
        <f>KOL_Database!$D$16</f>
      </c>
      <c r="E18" s="44">
        <f>KOL_Database!$E$16</f>
      </c>
      <c r="F18" s="44">
        <f>KOL_Database!$G$16</f>
      </c>
      <c r="G18" s="45">
        <f>KOL_Database!$J$16</f>
      </c>
      <c r="H18" s="46">
        <f>KOL_Database!$K$16</f>
      </c>
      <c r="I18" s="47">
        <f>INDEX(Matching_Engine!$S$6:$S$95,$W18,1)</f>
      </c>
      <c r="J18" s="49">
        <f>INDEX(Matching_Engine!$AP$6:$AP$95,$W18,1)</f>
      </c>
      <c r="K18" s="47">
        <f>INDEX(Matching_Engine!$X$6:$X$95,$W18,1)</f>
      </c>
      <c r="L18" s="47">
        <f>INDEX(Matching_Engine!$AJ$6:$AJ$95,$W18,1)</f>
      </c>
      <c r="M18" s="47">
        <f>INDEX(Matching_Engine!$AO$6:$AO$95,$W18,1)</f>
      </c>
      <c r="N18" s="47">
        <f>INDEX(Matching_Engine!$AU$6:$AU$95,$W18,1)</f>
      </c>
      <c r="O18" s="48">
        <f>IF(KOL_Database!$AS$16="","—",KOL_Database!$AS$16)</f>
      </c>
      <c r="P18" s="44">
        <f>INDEX(Matching_Engine!$AQ$6:$AQ$95,$W18,1)</f>
      </c>
      <c r="Q18" s="44">
        <f>INDEX(Matching_Engine!$AX$6:$AX$95,$W18,1)</f>
      </c>
      <c r="R18" s="44">
        <f>INDEX(Matching_Engine!$AV$6:$AV$95,$W18,1)</f>
      </c>
      <c r="S18" s="59">
        <f>IF($R18="EXCLUDED",-1,$J18+$I18/1000+$K18/100000+$L18/10000000+$M18/1000000000)</f>
      </c>
      <c r="T18" s="44">
        <f>IF($R18="EXCLUDED","—",IF(Discovery_Ranking!$F$4="asc",COUNTIFS($U$7:$U$36,"&lt;"&amp;$U18,$R$7:$R$36,"PASS")+1,COUNTIFS($U$7:$U$36,"&gt;"&amp;$U18,$R$7:$R$36,"PASS")+1))</f>
      </c>
      <c r="U18" s="48">
        <f>INDEX($X18:$BA18,1,Discovery_Ranking!$K$4)</f>
      </c>
      <c r="V18" s="44">
        <f>KOL_Database!$A$16</f>
      </c>
      <c r="W18" s="44">
        <f>MATCH(Brand_Profile!$B$4&amp;"|"&amp;KOL_Database!$A$16,Matching_Engine!$AZ$6:$AZ$95,0)</f>
      </c>
      <c r="X18" s="60">
        <f>INDEX(Matching_Engine!$AP$6:$AP$95,$W18,1)</f>
      </c>
      <c r="Y18" s="60">
        <f>IF(KOL_Database!$L$16="",0,KOL_Database!$L$16)</f>
      </c>
      <c r="Z18" s="60">
        <f>IF(KOL_Database!$M$16="",0,KOL_Database!$M$16)</f>
      </c>
      <c r="AA18" s="60">
        <f>ROUND(INDEX(Matching_Engine!$AD$6:$AD$95,$W18,1)*0.6+INDEX(Matching_Engine!$AE$6:$AE$95,$W18,1)*0.4,1)</f>
      </c>
      <c r="AB18" s="60">
        <f>IF(KOL_Database!$T$16="",0,KOL_Database!$T$16)</f>
      </c>
      <c r="AC18" s="60">
        <f>IF(KOL_Database!$U$16="",0,KOL_Database!$U$16)</f>
      </c>
      <c r="AD18" s="60">
        <f>IF(KOL_Database!$P$16="",0,KOL_Database!$P$16)</f>
      </c>
      <c r="AE18" s="60">
        <f>IF(KOL_Database!$BC$16="",0,KOL_Database!$BC$16)</f>
      </c>
      <c r="AF18" s="60">
        <f>IF(KOL_Database!$V$16="",0,KOL_Database!$V$16)</f>
      </c>
      <c r="AG18" s="60">
        <f>IF(KOL_Database!$N$16="",0,KOL_Database!$N$16)</f>
      </c>
      <c r="AH18" s="60">
        <f>IF(KOL_Database!$O$16="",0,KOL_Database!$O$16)</f>
      </c>
      <c r="AI18" s="60">
        <f>ROUND(MIN(100,IF(KOL_Database!$N$16="",0,KOL_Database!$N$16)*8+IF(KOL_Database!$O$16="",0,KOL_Database!$O$16)*2+IF(KOL_Database!$K$16="",0,KOL_Database!$K$16)*3),1)</f>
      </c>
      <c r="AJ18" s="60">
        <f>IF(KOL_Database!$R$16="",0,KOL_Database!$R$16)</f>
      </c>
      <c r="AK18" s="60">
        <f>IF(KOL_Database!$S$16="",0,KOL_Database!$S$16)</f>
      </c>
      <c r="AL18" s="60">
        <f>INDEX(Matching_Engine!$S$6:$S$95,$W18,1)</f>
      </c>
      <c r="AM18" s="60">
        <f>IF(KOL_Database!$Q$16="",0,KOL_Database!$Q$16)</f>
      </c>
      <c r="AN18" s="60">
        <f>IF(KOL_Database!$AO$16="",999999999,KOL_Database!$AO$16)</f>
      </c>
      <c r="AO18" s="60">
        <f>IF(KOL_Database!$AP$16="",999999999,KOL_Database!$AP$16)</f>
      </c>
      <c r="AP18" s="60">
        <f>IF(KOL_Database!$AQ$16="",999999999,KOL_Database!$AQ$16)</f>
      </c>
      <c r="AQ18" s="60">
        <f>IF(KOL_Database!$BD$16="",0,KOL_Database!$BD$16)</f>
      </c>
      <c r="AR18" s="60">
        <f>IF(KOL_Database!$AS$16="",0,KOL_Database!$AS$16)</f>
      </c>
      <c r="AS18" s="60">
        <f>INDEX(Matching_Engine!$AT$6:$AT$95,$W18,1)</f>
      </c>
      <c r="AT18" s="60">
        <f>INDEX(Matching_Engine!$AU$6:$AU$95,$W18,1)</f>
      </c>
      <c r="AU18" s="60">
        <f>IF(KOL_Database!$AU$16="",0,KOL_Database!$AU$16)</f>
      </c>
      <c r="AV18" s="60">
        <f>INDEX(Matching_Engine!$X$6:$X$95,$W18,1)</f>
      </c>
      <c r="AW18" s="60">
        <f>IF(KOL_Database!$BA$16="",0,KOL_Database!$BA$16+0)</f>
      </c>
      <c r="AX18" s="60">
        <f>IF(KOL_Database!$BB$16="",0,KOL_Database!$BB$16+0)</f>
      </c>
      <c r="AY18" s="60">
        <f>ROUND(IF(KOL_Database!$V$16="",0,KOL_Database!$V$16)*0.6+MIN(100,IF(KOL_Database!$N$16="",0,KOL_Database!$N$16)*10)*0.4,1)</f>
      </c>
      <c r="AZ18" s="60">
        <f>ROUND(MIN(100,IF(KOL_Database!$K$16="",0,KOL_Database!$K$16)/8*100)*0.35+IF(KOL_Database!$R$16="",0,KOL_Database!$R$16)*0.25+(100-IF(KOL_Database!$AU$16="",0,KOL_Database!$AU$16))*0.25+(100-MIN(100,IF(KOL_Database!$J$16="",0,KOL_Database!$J$16)/5000))*0.15,1)</f>
      </c>
      <c r="BA18" s="60">
        <f>ROUND(INDEX(Matching_Engine!$AP$6:$AP$95,$W18,1)*IF(INDEX(Matching_Engine!$AS$6:$AS$95,$W18,1)="High",1,IF(INDEX(Matching_Engine!$AS$6:$AS$95,$W18,1)="Medium",0.92,0.8)),1)</f>
      </c>
    </row>
    <row r="19" spans="1:53" x14ac:dyDescent="0.25">
      <c r="A19" s="44">
        <f>IF($R19="EXCLUDED","—",COUNTIFS($S$7:$S$36,"&gt;"&amp;$S19,$R$7:$R$36,"PASS")+1)</f>
      </c>
      <c r="B19" s="44">
        <f>KOL_Database!$B$17</f>
      </c>
      <c r="C19" s="44">
        <f>KOL_Database!$C$17</f>
      </c>
      <c r="D19" s="44">
        <f>KOL_Database!$D$17</f>
      </c>
      <c r="E19" s="44">
        <f>KOL_Database!$E$17</f>
      </c>
      <c r="F19" s="44">
        <f>KOL_Database!$G$17</f>
      </c>
      <c r="G19" s="45">
        <f>KOL_Database!$J$17</f>
      </c>
      <c r="H19" s="46">
        <f>KOL_Database!$K$17</f>
      </c>
      <c r="I19" s="47">
        <f>INDEX(Matching_Engine!$S$6:$S$95,$W19,1)</f>
      </c>
      <c r="J19" s="49">
        <f>INDEX(Matching_Engine!$AP$6:$AP$95,$W19,1)</f>
      </c>
      <c r="K19" s="47">
        <f>INDEX(Matching_Engine!$X$6:$X$95,$W19,1)</f>
      </c>
      <c r="L19" s="47">
        <f>INDEX(Matching_Engine!$AJ$6:$AJ$95,$W19,1)</f>
      </c>
      <c r="M19" s="47">
        <f>INDEX(Matching_Engine!$AO$6:$AO$95,$W19,1)</f>
      </c>
      <c r="N19" s="47">
        <f>INDEX(Matching_Engine!$AU$6:$AU$95,$W19,1)</f>
      </c>
      <c r="O19" s="48">
        <f>IF(KOL_Database!$AS$17="","—",KOL_Database!$AS$17)</f>
      </c>
      <c r="P19" s="44">
        <f>INDEX(Matching_Engine!$AQ$6:$AQ$95,$W19,1)</f>
      </c>
      <c r="Q19" s="44">
        <f>INDEX(Matching_Engine!$AX$6:$AX$95,$W19,1)</f>
      </c>
      <c r="R19" s="44">
        <f>INDEX(Matching_Engine!$AV$6:$AV$95,$W19,1)</f>
      </c>
      <c r="S19" s="59">
        <f>IF($R19="EXCLUDED",-1,$J19+$I19/1000+$K19/100000+$L19/10000000+$M19/1000000000)</f>
      </c>
      <c r="T19" s="44">
        <f>IF($R19="EXCLUDED","—",IF(Discovery_Ranking!$F$4="asc",COUNTIFS($U$7:$U$36,"&lt;"&amp;$U19,$R$7:$R$36,"PASS")+1,COUNTIFS($U$7:$U$36,"&gt;"&amp;$U19,$R$7:$R$36,"PASS")+1))</f>
      </c>
      <c r="U19" s="48">
        <f>INDEX($X19:$BA19,1,Discovery_Ranking!$K$4)</f>
      </c>
      <c r="V19" s="44">
        <f>KOL_Database!$A$17</f>
      </c>
      <c r="W19" s="44">
        <f>MATCH(Brand_Profile!$B$4&amp;"|"&amp;KOL_Database!$A$17,Matching_Engine!$AZ$6:$AZ$95,0)</f>
      </c>
      <c r="X19" s="60">
        <f>INDEX(Matching_Engine!$AP$6:$AP$95,$W19,1)</f>
      </c>
      <c r="Y19" s="60">
        <f>IF(KOL_Database!$L$17="",0,KOL_Database!$L$17)</f>
      </c>
      <c r="Z19" s="60">
        <f>IF(KOL_Database!$M$17="",0,KOL_Database!$M$17)</f>
      </c>
      <c r="AA19" s="60">
        <f>ROUND(INDEX(Matching_Engine!$AD$6:$AD$95,$W19,1)*0.6+INDEX(Matching_Engine!$AE$6:$AE$95,$W19,1)*0.4,1)</f>
      </c>
      <c r="AB19" s="60">
        <f>IF(KOL_Database!$T$17="",0,KOL_Database!$T$17)</f>
      </c>
      <c r="AC19" s="60">
        <f>IF(KOL_Database!$U$17="",0,KOL_Database!$U$17)</f>
      </c>
      <c r="AD19" s="60">
        <f>IF(KOL_Database!$P$17="",0,KOL_Database!$P$17)</f>
      </c>
      <c r="AE19" s="60">
        <f>IF(KOL_Database!$BC$17="",0,KOL_Database!$BC$17)</f>
      </c>
      <c r="AF19" s="60">
        <f>IF(KOL_Database!$V$17="",0,KOL_Database!$V$17)</f>
      </c>
      <c r="AG19" s="60">
        <f>IF(KOL_Database!$N$17="",0,KOL_Database!$N$17)</f>
      </c>
      <c r="AH19" s="60">
        <f>IF(KOL_Database!$O$17="",0,KOL_Database!$O$17)</f>
      </c>
      <c r="AI19" s="60">
        <f>ROUND(MIN(100,IF(KOL_Database!$N$17="",0,KOL_Database!$N$17)*8+IF(KOL_Database!$O$17="",0,KOL_Database!$O$17)*2+IF(KOL_Database!$K$17="",0,KOL_Database!$K$17)*3),1)</f>
      </c>
      <c r="AJ19" s="60">
        <f>IF(KOL_Database!$R$17="",0,KOL_Database!$R$17)</f>
      </c>
      <c r="AK19" s="60">
        <f>IF(KOL_Database!$S$17="",0,KOL_Database!$S$17)</f>
      </c>
      <c r="AL19" s="60">
        <f>INDEX(Matching_Engine!$S$6:$S$95,$W19,1)</f>
      </c>
      <c r="AM19" s="60">
        <f>IF(KOL_Database!$Q$17="",0,KOL_Database!$Q$17)</f>
      </c>
      <c r="AN19" s="60">
        <f>IF(KOL_Database!$AO$17="",999999999,KOL_Database!$AO$17)</f>
      </c>
      <c r="AO19" s="60">
        <f>IF(KOL_Database!$AP$17="",999999999,KOL_Database!$AP$17)</f>
      </c>
      <c r="AP19" s="60">
        <f>IF(KOL_Database!$AQ$17="",999999999,KOL_Database!$AQ$17)</f>
      </c>
      <c r="AQ19" s="60">
        <f>IF(KOL_Database!$BD$17="",0,KOL_Database!$BD$17)</f>
      </c>
      <c r="AR19" s="60">
        <f>IF(KOL_Database!$AS$17="",0,KOL_Database!$AS$17)</f>
      </c>
      <c r="AS19" s="60">
        <f>INDEX(Matching_Engine!$AT$6:$AT$95,$W19,1)</f>
      </c>
      <c r="AT19" s="60">
        <f>INDEX(Matching_Engine!$AU$6:$AU$95,$W19,1)</f>
      </c>
      <c r="AU19" s="60">
        <f>IF(KOL_Database!$AU$17="",0,KOL_Database!$AU$17)</f>
      </c>
      <c r="AV19" s="60">
        <f>INDEX(Matching_Engine!$X$6:$X$95,$W19,1)</f>
      </c>
      <c r="AW19" s="60">
        <f>IF(KOL_Database!$BA$17="",0,KOL_Database!$BA$17+0)</f>
      </c>
      <c r="AX19" s="60">
        <f>IF(KOL_Database!$BB$17="",0,KOL_Database!$BB$17+0)</f>
      </c>
      <c r="AY19" s="60">
        <f>ROUND(IF(KOL_Database!$V$17="",0,KOL_Database!$V$17)*0.6+MIN(100,IF(KOL_Database!$N$17="",0,KOL_Database!$N$17)*10)*0.4,1)</f>
      </c>
      <c r="AZ19" s="60">
        <f>ROUND(MIN(100,IF(KOL_Database!$K$17="",0,KOL_Database!$K$17)/8*100)*0.35+IF(KOL_Database!$R$17="",0,KOL_Database!$R$17)*0.25+(100-IF(KOL_Database!$AU$17="",0,KOL_Database!$AU$17))*0.25+(100-MIN(100,IF(KOL_Database!$J$17="",0,KOL_Database!$J$17)/5000))*0.15,1)</f>
      </c>
      <c r="BA19" s="60">
        <f>ROUND(INDEX(Matching_Engine!$AP$6:$AP$95,$W19,1)*IF(INDEX(Matching_Engine!$AS$6:$AS$95,$W19,1)="High",1,IF(INDEX(Matching_Engine!$AS$6:$AS$95,$W19,1)="Medium",0.92,0.8)),1)</f>
      </c>
    </row>
    <row r="20" spans="1:53" x14ac:dyDescent="0.25">
      <c r="A20" s="44">
        <f>IF($R20="EXCLUDED","—",COUNTIFS($S$7:$S$36,"&gt;"&amp;$S20,$R$7:$R$36,"PASS")+1)</f>
      </c>
      <c r="B20" s="44">
        <f>KOL_Database!$B$18</f>
      </c>
      <c r="C20" s="44">
        <f>KOL_Database!$C$18</f>
      </c>
      <c r="D20" s="44">
        <f>KOL_Database!$D$18</f>
      </c>
      <c r="E20" s="44">
        <f>KOL_Database!$E$18</f>
      </c>
      <c r="F20" s="44">
        <f>KOL_Database!$G$18</f>
      </c>
      <c r="G20" s="45">
        <f>KOL_Database!$J$18</f>
      </c>
      <c r="H20" s="46">
        <f>KOL_Database!$K$18</f>
      </c>
      <c r="I20" s="47">
        <f>INDEX(Matching_Engine!$S$6:$S$95,$W20,1)</f>
      </c>
      <c r="J20" s="49">
        <f>INDEX(Matching_Engine!$AP$6:$AP$95,$W20,1)</f>
      </c>
      <c r="K20" s="47">
        <f>INDEX(Matching_Engine!$X$6:$X$95,$W20,1)</f>
      </c>
      <c r="L20" s="47">
        <f>INDEX(Matching_Engine!$AJ$6:$AJ$95,$W20,1)</f>
      </c>
      <c r="M20" s="47">
        <f>INDEX(Matching_Engine!$AO$6:$AO$95,$W20,1)</f>
      </c>
      <c r="N20" s="47">
        <f>INDEX(Matching_Engine!$AU$6:$AU$95,$W20,1)</f>
      </c>
      <c r="O20" s="48">
        <f>IF(KOL_Database!$AS$18="","—",KOL_Database!$AS$18)</f>
      </c>
      <c r="P20" s="44">
        <f>INDEX(Matching_Engine!$AQ$6:$AQ$95,$W20,1)</f>
      </c>
      <c r="Q20" s="44">
        <f>INDEX(Matching_Engine!$AX$6:$AX$95,$W20,1)</f>
      </c>
      <c r="R20" s="44">
        <f>INDEX(Matching_Engine!$AV$6:$AV$95,$W20,1)</f>
      </c>
      <c r="S20" s="59">
        <f>IF($R20="EXCLUDED",-1,$J20+$I20/1000+$K20/100000+$L20/10000000+$M20/1000000000)</f>
      </c>
      <c r="T20" s="44">
        <f>IF($R20="EXCLUDED","—",IF(Discovery_Ranking!$F$4="asc",COUNTIFS($U$7:$U$36,"&lt;"&amp;$U20,$R$7:$R$36,"PASS")+1,COUNTIFS($U$7:$U$36,"&gt;"&amp;$U20,$R$7:$R$36,"PASS")+1))</f>
      </c>
      <c r="U20" s="48">
        <f>INDEX($X20:$BA20,1,Discovery_Ranking!$K$4)</f>
      </c>
      <c r="V20" s="44">
        <f>KOL_Database!$A$18</f>
      </c>
      <c r="W20" s="44">
        <f>MATCH(Brand_Profile!$B$4&amp;"|"&amp;KOL_Database!$A$18,Matching_Engine!$AZ$6:$AZ$95,0)</f>
      </c>
      <c r="X20" s="60">
        <f>INDEX(Matching_Engine!$AP$6:$AP$95,$W20,1)</f>
      </c>
      <c r="Y20" s="60">
        <f>IF(KOL_Database!$L$18="",0,KOL_Database!$L$18)</f>
      </c>
      <c r="Z20" s="60">
        <f>IF(KOL_Database!$M$18="",0,KOL_Database!$M$18)</f>
      </c>
      <c r="AA20" s="60">
        <f>ROUND(INDEX(Matching_Engine!$AD$6:$AD$95,$W20,1)*0.6+INDEX(Matching_Engine!$AE$6:$AE$95,$W20,1)*0.4,1)</f>
      </c>
      <c r="AB20" s="60">
        <f>IF(KOL_Database!$T$18="",0,KOL_Database!$T$18)</f>
      </c>
      <c r="AC20" s="60">
        <f>IF(KOL_Database!$U$18="",0,KOL_Database!$U$18)</f>
      </c>
      <c r="AD20" s="60">
        <f>IF(KOL_Database!$P$18="",0,KOL_Database!$P$18)</f>
      </c>
      <c r="AE20" s="60">
        <f>IF(KOL_Database!$BC$18="",0,KOL_Database!$BC$18)</f>
      </c>
      <c r="AF20" s="60">
        <f>IF(KOL_Database!$V$18="",0,KOL_Database!$V$18)</f>
      </c>
      <c r="AG20" s="60">
        <f>IF(KOL_Database!$N$18="",0,KOL_Database!$N$18)</f>
      </c>
      <c r="AH20" s="60">
        <f>IF(KOL_Database!$O$18="",0,KOL_Database!$O$18)</f>
      </c>
      <c r="AI20" s="60">
        <f>ROUND(MIN(100,IF(KOL_Database!$N$18="",0,KOL_Database!$N$18)*8+IF(KOL_Database!$O$18="",0,KOL_Database!$O$18)*2+IF(KOL_Database!$K$18="",0,KOL_Database!$K$18)*3),1)</f>
      </c>
      <c r="AJ20" s="60">
        <f>IF(KOL_Database!$R$18="",0,KOL_Database!$R$18)</f>
      </c>
      <c r="AK20" s="60">
        <f>IF(KOL_Database!$S$18="",0,KOL_Database!$S$18)</f>
      </c>
      <c r="AL20" s="60">
        <f>INDEX(Matching_Engine!$S$6:$S$95,$W20,1)</f>
      </c>
      <c r="AM20" s="60">
        <f>IF(KOL_Database!$Q$18="",0,KOL_Database!$Q$18)</f>
      </c>
      <c r="AN20" s="60">
        <f>IF(KOL_Database!$AO$18="",999999999,KOL_Database!$AO$18)</f>
      </c>
      <c r="AO20" s="60">
        <f>IF(KOL_Database!$AP$18="",999999999,KOL_Database!$AP$18)</f>
      </c>
      <c r="AP20" s="60">
        <f>IF(KOL_Database!$AQ$18="",999999999,KOL_Database!$AQ$18)</f>
      </c>
      <c r="AQ20" s="60">
        <f>IF(KOL_Database!$BD$18="",0,KOL_Database!$BD$18)</f>
      </c>
      <c r="AR20" s="60">
        <f>IF(KOL_Database!$AS$18="",0,KOL_Database!$AS$18)</f>
      </c>
      <c r="AS20" s="60">
        <f>INDEX(Matching_Engine!$AT$6:$AT$95,$W20,1)</f>
      </c>
      <c r="AT20" s="60">
        <f>INDEX(Matching_Engine!$AU$6:$AU$95,$W20,1)</f>
      </c>
      <c r="AU20" s="60">
        <f>IF(KOL_Database!$AU$18="",0,KOL_Database!$AU$18)</f>
      </c>
      <c r="AV20" s="60">
        <f>INDEX(Matching_Engine!$X$6:$X$95,$W20,1)</f>
      </c>
      <c r="AW20" s="60">
        <f>IF(KOL_Database!$BA$18="",0,KOL_Database!$BA$18+0)</f>
      </c>
      <c r="AX20" s="60">
        <f>IF(KOL_Database!$BB$18="",0,KOL_Database!$BB$18+0)</f>
      </c>
      <c r="AY20" s="60">
        <f>ROUND(IF(KOL_Database!$V$18="",0,KOL_Database!$V$18)*0.6+MIN(100,IF(KOL_Database!$N$18="",0,KOL_Database!$N$18)*10)*0.4,1)</f>
      </c>
      <c r="AZ20" s="60">
        <f>ROUND(MIN(100,IF(KOL_Database!$K$18="",0,KOL_Database!$K$18)/8*100)*0.35+IF(KOL_Database!$R$18="",0,KOL_Database!$R$18)*0.25+(100-IF(KOL_Database!$AU$18="",0,KOL_Database!$AU$18))*0.25+(100-MIN(100,IF(KOL_Database!$J$18="",0,KOL_Database!$J$18)/5000))*0.15,1)</f>
      </c>
      <c r="BA20" s="60">
        <f>ROUND(INDEX(Matching_Engine!$AP$6:$AP$95,$W20,1)*IF(INDEX(Matching_Engine!$AS$6:$AS$95,$W20,1)="High",1,IF(INDEX(Matching_Engine!$AS$6:$AS$95,$W20,1)="Medium",0.92,0.8)),1)</f>
      </c>
    </row>
    <row r="21" spans="1:53" x14ac:dyDescent="0.25">
      <c r="A21" s="44">
        <f>IF($R21="EXCLUDED","—",COUNTIFS($S$7:$S$36,"&gt;"&amp;$S21,$R$7:$R$36,"PASS")+1)</f>
      </c>
      <c r="B21" s="44">
        <f>KOL_Database!$B$19</f>
      </c>
      <c r="C21" s="44">
        <f>KOL_Database!$C$19</f>
      </c>
      <c r="D21" s="44">
        <f>KOL_Database!$D$19</f>
      </c>
      <c r="E21" s="44">
        <f>KOL_Database!$E$19</f>
      </c>
      <c r="F21" s="44">
        <f>KOL_Database!$G$19</f>
      </c>
      <c r="G21" s="45">
        <f>KOL_Database!$J$19</f>
      </c>
      <c r="H21" s="46">
        <f>KOL_Database!$K$19</f>
      </c>
      <c r="I21" s="47">
        <f>INDEX(Matching_Engine!$S$6:$S$95,$W21,1)</f>
      </c>
      <c r="J21" s="49">
        <f>INDEX(Matching_Engine!$AP$6:$AP$95,$W21,1)</f>
      </c>
      <c r="K21" s="47">
        <f>INDEX(Matching_Engine!$X$6:$X$95,$W21,1)</f>
      </c>
      <c r="L21" s="47">
        <f>INDEX(Matching_Engine!$AJ$6:$AJ$95,$W21,1)</f>
      </c>
      <c r="M21" s="47">
        <f>INDEX(Matching_Engine!$AO$6:$AO$95,$W21,1)</f>
      </c>
      <c r="N21" s="47">
        <f>INDEX(Matching_Engine!$AU$6:$AU$95,$W21,1)</f>
      </c>
      <c r="O21" s="48">
        <f>IF(KOL_Database!$AS$19="","—",KOL_Database!$AS$19)</f>
      </c>
      <c r="P21" s="44">
        <f>INDEX(Matching_Engine!$AQ$6:$AQ$95,$W21,1)</f>
      </c>
      <c r="Q21" s="44">
        <f>INDEX(Matching_Engine!$AX$6:$AX$95,$W21,1)</f>
      </c>
      <c r="R21" s="44">
        <f>INDEX(Matching_Engine!$AV$6:$AV$95,$W21,1)</f>
      </c>
      <c r="S21" s="59">
        <f>IF($R21="EXCLUDED",-1,$J21+$I21/1000+$K21/100000+$L21/10000000+$M21/1000000000)</f>
      </c>
      <c r="T21" s="44">
        <f>IF($R21="EXCLUDED","—",IF(Discovery_Ranking!$F$4="asc",COUNTIFS($U$7:$U$36,"&lt;"&amp;$U21,$R$7:$R$36,"PASS")+1,COUNTIFS($U$7:$U$36,"&gt;"&amp;$U21,$R$7:$R$36,"PASS")+1))</f>
      </c>
      <c r="U21" s="48">
        <f>INDEX($X21:$BA21,1,Discovery_Ranking!$K$4)</f>
      </c>
      <c r="V21" s="44">
        <f>KOL_Database!$A$19</f>
      </c>
      <c r="W21" s="44">
        <f>MATCH(Brand_Profile!$B$4&amp;"|"&amp;KOL_Database!$A$19,Matching_Engine!$AZ$6:$AZ$95,0)</f>
      </c>
      <c r="X21" s="60">
        <f>INDEX(Matching_Engine!$AP$6:$AP$95,$W21,1)</f>
      </c>
      <c r="Y21" s="60">
        <f>IF(KOL_Database!$L$19="",0,KOL_Database!$L$19)</f>
      </c>
      <c r="Z21" s="60">
        <f>IF(KOL_Database!$M$19="",0,KOL_Database!$M$19)</f>
      </c>
      <c r="AA21" s="60">
        <f>ROUND(INDEX(Matching_Engine!$AD$6:$AD$95,$W21,1)*0.6+INDEX(Matching_Engine!$AE$6:$AE$95,$W21,1)*0.4,1)</f>
      </c>
      <c r="AB21" s="60">
        <f>IF(KOL_Database!$T$19="",0,KOL_Database!$T$19)</f>
      </c>
      <c r="AC21" s="60">
        <f>IF(KOL_Database!$U$19="",0,KOL_Database!$U$19)</f>
      </c>
      <c r="AD21" s="60">
        <f>IF(KOL_Database!$P$19="",0,KOL_Database!$P$19)</f>
      </c>
      <c r="AE21" s="60">
        <f>IF(KOL_Database!$BC$19="",0,KOL_Database!$BC$19)</f>
      </c>
      <c r="AF21" s="60">
        <f>IF(KOL_Database!$V$19="",0,KOL_Database!$V$19)</f>
      </c>
      <c r="AG21" s="60">
        <f>IF(KOL_Database!$N$19="",0,KOL_Database!$N$19)</f>
      </c>
      <c r="AH21" s="60">
        <f>IF(KOL_Database!$O$19="",0,KOL_Database!$O$19)</f>
      </c>
      <c r="AI21" s="60">
        <f>ROUND(MIN(100,IF(KOL_Database!$N$19="",0,KOL_Database!$N$19)*8+IF(KOL_Database!$O$19="",0,KOL_Database!$O$19)*2+IF(KOL_Database!$K$19="",0,KOL_Database!$K$19)*3),1)</f>
      </c>
      <c r="AJ21" s="60">
        <f>IF(KOL_Database!$R$19="",0,KOL_Database!$R$19)</f>
      </c>
      <c r="AK21" s="60">
        <f>IF(KOL_Database!$S$19="",0,KOL_Database!$S$19)</f>
      </c>
      <c r="AL21" s="60">
        <f>INDEX(Matching_Engine!$S$6:$S$95,$W21,1)</f>
      </c>
      <c r="AM21" s="60">
        <f>IF(KOL_Database!$Q$19="",0,KOL_Database!$Q$19)</f>
      </c>
      <c r="AN21" s="60">
        <f>IF(KOL_Database!$AO$19="",999999999,KOL_Database!$AO$19)</f>
      </c>
      <c r="AO21" s="60">
        <f>IF(KOL_Database!$AP$19="",999999999,KOL_Database!$AP$19)</f>
      </c>
      <c r="AP21" s="60">
        <f>IF(KOL_Database!$AQ$19="",999999999,KOL_Database!$AQ$19)</f>
      </c>
      <c r="AQ21" s="60">
        <f>IF(KOL_Database!$BD$19="",0,KOL_Database!$BD$19)</f>
      </c>
      <c r="AR21" s="60">
        <f>IF(KOL_Database!$AS$19="",0,KOL_Database!$AS$19)</f>
      </c>
      <c r="AS21" s="60">
        <f>INDEX(Matching_Engine!$AT$6:$AT$95,$W21,1)</f>
      </c>
      <c r="AT21" s="60">
        <f>INDEX(Matching_Engine!$AU$6:$AU$95,$W21,1)</f>
      </c>
      <c r="AU21" s="60">
        <f>IF(KOL_Database!$AU$19="",0,KOL_Database!$AU$19)</f>
      </c>
      <c r="AV21" s="60">
        <f>INDEX(Matching_Engine!$X$6:$X$95,$W21,1)</f>
      </c>
      <c r="AW21" s="60">
        <f>IF(KOL_Database!$BA$19="",0,KOL_Database!$BA$19+0)</f>
      </c>
      <c r="AX21" s="60">
        <f>IF(KOL_Database!$BB$19="",0,KOL_Database!$BB$19+0)</f>
      </c>
      <c r="AY21" s="60">
        <f>ROUND(IF(KOL_Database!$V$19="",0,KOL_Database!$V$19)*0.6+MIN(100,IF(KOL_Database!$N$19="",0,KOL_Database!$N$19)*10)*0.4,1)</f>
      </c>
      <c r="AZ21" s="60">
        <f>ROUND(MIN(100,IF(KOL_Database!$K$19="",0,KOL_Database!$K$19)/8*100)*0.35+IF(KOL_Database!$R$19="",0,KOL_Database!$R$19)*0.25+(100-IF(KOL_Database!$AU$19="",0,KOL_Database!$AU$19))*0.25+(100-MIN(100,IF(KOL_Database!$J$19="",0,KOL_Database!$J$19)/5000))*0.15,1)</f>
      </c>
      <c r="BA21" s="60">
        <f>ROUND(INDEX(Matching_Engine!$AP$6:$AP$95,$W21,1)*IF(INDEX(Matching_Engine!$AS$6:$AS$95,$W21,1)="High",1,IF(INDEX(Matching_Engine!$AS$6:$AS$95,$W21,1)="Medium",0.92,0.8)),1)</f>
      </c>
    </row>
    <row r="22" spans="1:53" x14ac:dyDescent="0.25">
      <c r="A22" s="44">
        <f>IF($R22="EXCLUDED","—",COUNTIFS($S$7:$S$36,"&gt;"&amp;$S22,$R$7:$R$36,"PASS")+1)</f>
      </c>
      <c r="B22" s="44">
        <f>KOL_Database!$B$20</f>
      </c>
      <c r="C22" s="44">
        <f>KOL_Database!$C$20</f>
      </c>
      <c r="D22" s="44">
        <f>KOL_Database!$D$20</f>
      </c>
      <c r="E22" s="44">
        <f>KOL_Database!$E$20</f>
      </c>
      <c r="F22" s="44">
        <f>KOL_Database!$G$20</f>
      </c>
      <c r="G22" s="45">
        <f>KOL_Database!$J$20</f>
      </c>
      <c r="H22" s="46">
        <f>KOL_Database!$K$20</f>
      </c>
      <c r="I22" s="47">
        <f>INDEX(Matching_Engine!$S$6:$S$95,$W22,1)</f>
      </c>
      <c r="J22" s="49">
        <f>INDEX(Matching_Engine!$AP$6:$AP$95,$W22,1)</f>
      </c>
      <c r="K22" s="47">
        <f>INDEX(Matching_Engine!$X$6:$X$95,$W22,1)</f>
      </c>
      <c r="L22" s="47">
        <f>INDEX(Matching_Engine!$AJ$6:$AJ$95,$W22,1)</f>
      </c>
      <c r="M22" s="47">
        <f>INDEX(Matching_Engine!$AO$6:$AO$95,$W22,1)</f>
      </c>
      <c r="N22" s="47">
        <f>INDEX(Matching_Engine!$AU$6:$AU$95,$W22,1)</f>
      </c>
      <c r="O22" s="48">
        <f>IF(KOL_Database!$AS$20="","—",KOL_Database!$AS$20)</f>
      </c>
      <c r="P22" s="44">
        <f>INDEX(Matching_Engine!$AQ$6:$AQ$95,$W22,1)</f>
      </c>
      <c r="Q22" s="44">
        <f>INDEX(Matching_Engine!$AX$6:$AX$95,$W22,1)</f>
      </c>
      <c r="R22" s="44">
        <f>INDEX(Matching_Engine!$AV$6:$AV$95,$W22,1)</f>
      </c>
      <c r="S22" s="59">
        <f>IF($R22="EXCLUDED",-1,$J22+$I22/1000+$K22/100000+$L22/10000000+$M22/1000000000)</f>
      </c>
      <c r="T22" s="44">
        <f>IF($R22="EXCLUDED","—",IF(Discovery_Ranking!$F$4="asc",COUNTIFS($U$7:$U$36,"&lt;"&amp;$U22,$R$7:$R$36,"PASS")+1,COUNTIFS($U$7:$U$36,"&gt;"&amp;$U22,$R$7:$R$36,"PASS")+1))</f>
      </c>
      <c r="U22" s="48">
        <f>INDEX($X22:$BA22,1,Discovery_Ranking!$K$4)</f>
      </c>
      <c r="V22" s="44">
        <f>KOL_Database!$A$20</f>
      </c>
      <c r="W22" s="44">
        <f>MATCH(Brand_Profile!$B$4&amp;"|"&amp;KOL_Database!$A$20,Matching_Engine!$AZ$6:$AZ$95,0)</f>
      </c>
      <c r="X22" s="60">
        <f>INDEX(Matching_Engine!$AP$6:$AP$95,$W22,1)</f>
      </c>
      <c r="Y22" s="60">
        <f>IF(KOL_Database!$L$20="",0,KOL_Database!$L$20)</f>
      </c>
      <c r="Z22" s="60">
        <f>IF(KOL_Database!$M$20="",0,KOL_Database!$M$20)</f>
      </c>
      <c r="AA22" s="60">
        <f>ROUND(INDEX(Matching_Engine!$AD$6:$AD$95,$W22,1)*0.6+INDEX(Matching_Engine!$AE$6:$AE$95,$W22,1)*0.4,1)</f>
      </c>
      <c r="AB22" s="60">
        <f>IF(KOL_Database!$T$20="",0,KOL_Database!$T$20)</f>
      </c>
      <c r="AC22" s="60">
        <f>IF(KOL_Database!$U$20="",0,KOL_Database!$U$20)</f>
      </c>
      <c r="AD22" s="60">
        <f>IF(KOL_Database!$P$20="",0,KOL_Database!$P$20)</f>
      </c>
      <c r="AE22" s="60">
        <f>IF(KOL_Database!$BC$20="",0,KOL_Database!$BC$20)</f>
      </c>
      <c r="AF22" s="60">
        <f>IF(KOL_Database!$V$20="",0,KOL_Database!$V$20)</f>
      </c>
      <c r="AG22" s="60">
        <f>IF(KOL_Database!$N$20="",0,KOL_Database!$N$20)</f>
      </c>
      <c r="AH22" s="60">
        <f>IF(KOL_Database!$O$20="",0,KOL_Database!$O$20)</f>
      </c>
      <c r="AI22" s="60">
        <f>ROUND(MIN(100,IF(KOL_Database!$N$20="",0,KOL_Database!$N$20)*8+IF(KOL_Database!$O$20="",0,KOL_Database!$O$20)*2+IF(KOL_Database!$K$20="",0,KOL_Database!$K$20)*3),1)</f>
      </c>
      <c r="AJ22" s="60">
        <f>IF(KOL_Database!$R$20="",0,KOL_Database!$R$20)</f>
      </c>
      <c r="AK22" s="60">
        <f>IF(KOL_Database!$S$20="",0,KOL_Database!$S$20)</f>
      </c>
      <c r="AL22" s="60">
        <f>INDEX(Matching_Engine!$S$6:$S$95,$W22,1)</f>
      </c>
      <c r="AM22" s="60">
        <f>IF(KOL_Database!$Q$20="",0,KOL_Database!$Q$20)</f>
      </c>
      <c r="AN22" s="60">
        <f>IF(KOL_Database!$AO$20="",999999999,KOL_Database!$AO$20)</f>
      </c>
      <c r="AO22" s="60">
        <f>IF(KOL_Database!$AP$20="",999999999,KOL_Database!$AP$20)</f>
      </c>
      <c r="AP22" s="60">
        <f>IF(KOL_Database!$AQ$20="",999999999,KOL_Database!$AQ$20)</f>
      </c>
      <c r="AQ22" s="60">
        <f>IF(KOL_Database!$BD$20="",0,KOL_Database!$BD$20)</f>
      </c>
      <c r="AR22" s="60">
        <f>IF(KOL_Database!$AS$20="",0,KOL_Database!$AS$20)</f>
      </c>
      <c r="AS22" s="60">
        <f>INDEX(Matching_Engine!$AT$6:$AT$95,$W22,1)</f>
      </c>
      <c r="AT22" s="60">
        <f>INDEX(Matching_Engine!$AU$6:$AU$95,$W22,1)</f>
      </c>
      <c r="AU22" s="60">
        <f>IF(KOL_Database!$AU$20="",0,KOL_Database!$AU$20)</f>
      </c>
      <c r="AV22" s="60">
        <f>INDEX(Matching_Engine!$X$6:$X$95,$W22,1)</f>
      </c>
      <c r="AW22" s="60">
        <f>IF(KOL_Database!$BA$20="",0,KOL_Database!$BA$20+0)</f>
      </c>
      <c r="AX22" s="60">
        <f>IF(KOL_Database!$BB$20="",0,KOL_Database!$BB$20+0)</f>
      </c>
      <c r="AY22" s="60">
        <f>ROUND(IF(KOL_Database!$V$20="",0,KOL_Database!$V$20)*0.6+MIN(100,IF(KOL_Database!$N$20="",0,KOL_Database!$N$20)*10)*0.4,1)</f>
      </c>
      <c r="AZ22" s="60">
        <f>ROUND(MIN(100,IF(KOL_Database!$K$20="",0,KOL_Database!$K$20)/8*100)*0.35+IF(KOL_Database!$R$20="",0,KOL_Database!$R$20)*0.25+(100-IF(KOL_Database!$AU$20="",0,KOL_Database!$AU$20))*0.25+(100-MIN(100,IF(KOL_Database!$J$20="",0,KOL_Database!$J$20)/5000))*0.15,1)</f>
      </c>
      <c r="BA22" s="60">
        <f>ROUND(INDEX(Matching_Engine!$AP$6:$AP$95,$W22,1)*IF(INDEX(Matching_Engine!$AS$6:$AS$95,$W22,1)="High",1,IF(INDEX(Matching_Engine!$AS$6:$AS$95,$W22,1)="Medium",0.92,0.8)),1)</f>
      </c>
    </row>
    <row r="23" spans="1:53" x14ac:dyDescent="0.25">
      <c r="A23" s="44">
        <f>IF($R23="EXCLUDED","—",COUNTIFS($S$7:$S$36,"&gt;"&amp;$S23,$R$7:$R$36,"PASS")+1)</f>
      </c>
      <c r="B23" s="44">
        <f>KOL_Database!$B$21</f>
      </c>
      <c r="C23" s="44">
        <f>KOL_Database!$C$21</f>
      </c>
      <c r="D23" s="44">
        <f>KOL_Database!$D$21</f>
      </c>
      <c r="E23" s="44">
        <f>KOL_Database!$E$21</f>
      </c>
      <c r="F23" s="44">
        <f>KOL_Database!$G$21</f>
      </c>
      <c r="G23" s="45">
        <f>KOL_Database!$J$21</f>
      </c>
      <c r="H23" s="46">
        <f>KOL_Database!$K$21</f>
      </c>
      <c r="I23" s="47">
        <f>INDEX(Matching_Engine!$S$6:$S$95,$W23,1)</f>
      </c>
      <c r="J23" s="49">
        <f>INDEX(Matching_Engine!$AP$6:$AP$95,$W23,1)</f>
      </c>
      <c r="K23" s="47">
        <f>INDEX(Matching_Engine!$X$6:$X$95,$W23,1)</f>
      </c>
      <c r="L23" s="47">
        <f>INDEX(Matching_Engine!$AJ$6:$AJ$95,$W23,1)</f>
      </c>
      <c r="M23" s="47">
        <f>INDEX(Matching_Engine!$AO$6:$AO$95,$W23,1)</f>
      </c>
      <c r="N23" s="47">
        <f>INDEX(Matching_Engine!$AU$6:$AU$95,$W23,1)</f>
      </c>
      <c r="O23" s="48">
        <f>IF(KOL_Database!$AS$21="","—",KOL_Database!$AS$21)</f>
      </c>
      <c r="P23" s="44">
        <f>INDEX(Matching_Engine!$AQ$6:$AQ$95,$W23,1)</f>
      </c>
      <c r="Q23" s="44">
        <f>INDEX(Matching_Engine!$AX$6:$AX$95,$W23,1)</f>
      </c>
      <c r="R23" s="44">
        <f>INDEX(Matching_Engine!$AV$6:$AV$95,$W23,1)</f>
      </c>
      <c r="S23" s="59">
        <f>IF($R23="EXCLUDED",-1,$J23+$I23/1000+$K23/100000+$L23/10000000+$M23/1000000000)</f>
      </c>
      <c r="T23" s="44">
        <f>IF($R23="EXCLUDED","—",IF(Discovery_Ranking!$F$4="asc",COUNTIFS($U$7:$U$36,"&lt;"&amp;$U23,$R$7:$R$36,"PASS")+1,COUNTIFS($U$7:$U$36,"&gt;"&amp;$U23,$R$7:$R$36,"PASS")+1))</f>
      </c>
      <c r="U23" s="48">
        <f>INDEX($X23:$BA23,1,Discovery_Ranking!$K$4)</f>
      </c>
      <c r="V23" s="44">
        <f>KOL_Database!$A$21</f>
      </c>
      <c r="W23" s="44">
        <f>MATCH(Brand_Profile!$B$4&amp;"|"&amp;KOL_Database!$A$21,Matching_Engine!$AZ$6:$AZ$95,0)</f>
      </c>
      <c r="X23" s="60">
        <f>INDEX(Matching_Engine!$AP$6:$AP$95,$W23,1)</f>
      </c>
      <c r="Y23" s="60">
        <f>IF(KOL_Database!$L$21="",0,KOL_Database!$L$21)</f>
      </c>
      <c r="Z23" s="60">
        <f>IF(KOL_Database!$M$21="",0,KOL_Database!$M$21)</f>
      </c>
      <c r="AA23" s="60">
        <f>ROUND(INDEX(Matching_Engine!$AD$6:$AD$95,$W23,1)*0.6+INDEX(Matching_Engine!$AE$6:$AE$95,$W23,1)*0.4,1)</f>
      </c>
      <c r="AB23" s="60">
        <f>IF(KOL_Database!$T$21="",0,KOL_Database!$T$21)</f>
      </c>
      <c r="AC23" s="60">
        <f>IF(KOL_Database!$U$21="",0,KOL_Database!$U$21)</f>
      </c>
      <c r="AD23" s="60">
        <f>IF(KOL_Database!$P$21="",0,KOL_Database!$P$21)</f>
      </c>
      <c r="AE23" s="60">
        <f>IF(KOL_Database!$BC$21="",0,KOL_Database!$BC$21)</f>
      </c>
      <c r="AF23" s="60">
        <f>IF(KOL_Database!$V$21="",0,KOL_Database!$V$21)</f>
      </c>
      <c r="AG23" s="60">
        <f>IF(KOL_Database!$N$21="",0,KOL_Database!$N$21)</f>
      </c>
      <c r="AH23" s="60">
        <f>IF(KOL_Database!$O$21="",0,KOL_Database!$O$21)</f>
      </c>
      <c r="AI23" s="60">
        <f>ROUND(MIN(100,IF(KOL_Database!$N$21="",0,KOL_Database!$N$21)*8+IF(KOL_Database!$O$21="",0,KOL_Database!$O$21)*2+IF(KOL_Database!$K$21="",0,KOL_Database!$K$21)*3),1)</f>
      </c>
      <c r="AJ23" s="60">
        <f>IF(KOL_Database!$R$21="",0,KOL_Database!$R$21)</f>
      </c>
      <c r="AK23" s="60">
        <f>IF(KOL_Database!$S$21="",0,KOL_Database!$S$21)</f>
      </c>
      <c r="AL23" s="60">
        <f>INDEX(Matching_Engine!$S$6:$S$95,$W23,1)</f>
      </c>
      <c r="AM23" s="60">
        <f>IF(KOL_Database!$Q$21="",0,KOL_Database!$Q$21)</f>
      </c>
      <c r="AN23" s="60">
        <f>IF(KOL_Database!$AO$21="",999999999,KOL_Database!$AO$21)</f>
      </c>
      <c r="AO23" s="60">
        <f>IF(KOL_Database!$AP$21="",999999999,KOL_Database!$AP$21)</f>
      </c>
      <c r="AP23" s="60">
        <f>IF(KOL_Database!$AQ$21="",999999999,KOL_Database!$AQ$21)</f>
      </c>
      <c r="AQ23" s="60">
        <f>IF(KOL_Database!$BD$21="",0,KOL_Database!$BD$21)</f>
      </c>
      <c r="AR23" s="60">
        <f>IF(KOL_Database!$AS$21="",0,KOL_Database!$AS$21)</f>
      </c>
      <c r="AS23" s="60">
        <f>INDEX(Matching_Engine!$AT$6:$AT$95,$W23,1)</f>
      </c>
      <c r="AT23" s="60">
        <f>INDEX(Matching_Engine!$AU$6:$AU$95,$W23,1)</f>
      </c>
      <c r="AU23" s="60">
        <f>IF(KOL_Database!$AU$21="",0,KOL_Database!$AU$21)</f>
      </c>
      <c r="AV23" s="60">
        <f>INDEX(Matching_Engine!$X$6:$X$95,$W23,1)</f>
      </c>
      <c r="AW23" s="60">
        <f>IF(KOL_Database!$BA$21="",0,KOL_Database!$BA$21+0)</f>
      </c>
      <c r="AX23" s="60">
        <f>IF(KOL_Database!$BB$21="",0,KOL_Database!$BB$21+0)</f>
      </c>
      <c r="AY23" s="60">
        <f>ROUND(IF(KOL_Database!$V$21="",0,KOL_Database!$V$21)*0.6+MIN(100,IF(KOL_Database!$N$21="",0,KOL_Database!$N$21)*10)*0.4,1)</f>
      </c>
      <c r="AZ23" s="60">
        <f>ROUND(MIN(100,IF(KOL_Database!$K$21="",0,KOL_Database!$K$21)/8*100)*0.35+IF(KOL_Database!$R$21="",0,KOL_Database!$R$21)*0.25+(100-IF(KOL_Database!$AU$21="",0,KOL_Database!$AU$21))*0.25+(100-MIN(100,IF(KOL_Database!$J$21="",0,KOL_Database!$J$21)/5000))*0.15,1)</f>
      </c>
      <c r="BA23" s="60">
        <f>ROUND(INDEX(Matching_Engine!$AP$6:$AP$95,$W23,1)*IF(INDEX(Matching_Engine!$AS$6:$AS$95,$W23,1)="High",1,IF(INDEX(Matching_Engine!$AS$6:$AS$95,$W23,1)="Medium",0.92,0.8)),1)</f>
      </c>
    </row>
    <row r="24" spans="1:53" x14ac:dyDescent="0.25">
      <c r="A24" s="44">
        <f>IF($R24="EXCLUDED","—",COUNTIFS($S$7:$S$36,"&gt;"&amp;$S24,$R$7:$R$36,"PASS")+1)</f>
      </c>
      <c r="B24" s="44">
        <f>KOL_Database!$B$22</f>
      </c>
      <c r="C24" s="44">
        <f>KOL_Database!$C$22</f>
      </c>
      <c r="D24" s="44">
        <f>KOL_Database!$D$22</f>
      </c>
      <c r="E24" s="44">
        <f>KOL_Database!$E$22</f>
      </c>
      <c r="F24" s="44">
        <f>KOL_Database!$G$22</f>
      </c>
      <c r="G24" s="45">
        <f>KOL_Database!$J$22</f>
      </c>
      <c r="H24" s="46">
        <f>KOL_Database!$K$22</f>
      </c>
      <c r="I24" s="47">
        <f>INDEX(Matching_Engine!$S$6:$S$95,$W24,1)</f>
      </c>
      <c r="J24" s="49">
        <f>INDEX(Matching_Engine!$AP$6:$AP$95,$W24,1)</f>
      </c>
      <c r="K24" s="47">
        <f>INDEX(Matching_Engine!$X$6:$X$95,$W24,1)</f>
      </c>
      <c r="L24" s="47">
        <f>INDEX(Matching_Engine!$AJ$6:$AJ$95,$W24,1)</f>
      </c>
      <c r="M24" s="47">
        <f>INDEX(Matching_Engine!$AO$6:$AO$95,$W24,1)</f>
      </c>
      <c r="N24" s="47">
        <f>INDEX(Matching_Engine!$AU$6:$AU$95,$W24,1)</f>
      </c>
      <c r="O24" s="48">
        <f>IF(KOL_Database!$AS$22="","—",KOL_Database!$AS$22)</f>
      </c>
      <c r="P24" s="44">
        <f>INDEX(Matching_Engine!$AQ$6:$AQ$95,$W24,1)</f>
      </c>
      <c r="Q24" s="44">
        <f>INDEX(Matching_Engine!$AX$6:$AX$95,$W24,1)</f>
      </c>
      <c r="R24" s="44">
        <f>INDEX(Matching_Engine!$AV$6:$AV$95,$W24,1)</f>
      </c>
      <c r="S24" s="59">
        <f>IF($R24="EXCLUDED",-1,$J24+$I24/1000+$K24/100000+$L24/10000000+$M24/1000000000)</f>
      </c>
      <c r="T24" s="44">
        <f>IF($R24="EXCLUDED","—",IF(Discovery_Ranking!$F$4="asc",COUNTIFS($U$7:$U$36,"&lt;"&amp;$U24,$R$7:$R$36,"PASS")+1,COUNTIFS($U$7:$U$36,"&gt;"&amp;$U24,$R$7:$R$36,"PASS")+1))</f>
      </c>
      <c r="U24" s="48">
        <f>INDEX($X24:$BA24,1,Discovery_Ranking!$K$4)</f>
      </c>
      <c r="V24" s="44">
        <f>KOL_Database!$A$22</f>
      </c>
      <c r="W24" s="44">
        <f>MATCH(Brand_Profile!$B$4&amp;"|"&amp;KOL_Database!$A$22,Matching_Engine!$AZ$6:$AZ$95,0)</f>
      </c>
      <c r="X24" s="60">
        <f>INDEX(Matching_Engine!$AP$6:$AP$95,$W24,1)</f>
      </c>
      <c r="Y24" s="60">
        <f>IF(KOL_Database!$L$22="",0,KOL_Database!$L$22)</f>
      </c>
      <c r="Z24" s="60">
        <f>IF(KOL_Database!$M$22="",0,KOL_Database!$M$22)</f>
      </c>
      <c r="AA24" s="60">
        <f>ROUND(INDEX(Matching_Engine!$AD$6:$AD$95,$W24,1)*0.6+INDEX(Matching_Engine!$AE$6:$AE$95,$W24,1)*0.4,1)</f>
      </c>
      <c r="AB24" s="60">
        <f>IF(KOL_Database!$T$22="",0,KOL_Database!$T$22)</f>
      </c>
      <c r="AC24" s="60">
        <f>IF(KOL_Database!$U$22="",0,KOL_Database!$U$22)</f>
      </c>
      <c r="AD24" s="60">
        <f>IF(KOL_Database!$P$22="",0,KOL_Database!$P$22)</f>
      </c>
      <c r="AE24" s="60">
        <f>IF(KOL_Database!$BC$22="",0,KOL_Database!$BC$22)</f>
      </c>
      <c r="AF24" s="60">
        <f>IF(KOL_Database!$V$22="",0,KOL_Database!$V$22)</f>
      </c>
      <c r="AG24" s="60">
        <f>IF(KOL_Database!$N$22="",0,KOL_Database!$N$22)</f>
      </c>
      <c r="AH24" s="60">
        <f>IF(KOL_Database!$O$22="",0,KOL_Database!$O$22)</f>
      </c>
      <c r="AI24" s="60">
        <f>ROUND(MIN(100,IF(KOL_Database!$N$22="",0,KOL_Database!$N$22)*8+IF(KOL_Database!$O$22="",0,KOL_Database!$O$22)*2+IF(KOL_Database!$K$22="",0,KOL_Database!$K$22)*3),1)</f>
      </c>
      <c r="AJ24" s="60">
        <f>IF(KOL_Database!$R$22="",0,KOL_Database!$R$22)</f>
      </c>
      <c r="AK24" s="60">
        <f>IF(KOL_Database!$S$22="",0,KOL_Database!$S$22)</f>
      </c>
      <c r="AL24" s="60">
        <f>INDEX(Matching_Engine!$S$6:$S$95,$W24,1)</f>
      </c>
      <c r="AM24" s="60">
        <f>IF(KOL_Database!$Q$22="",0,KOL_Database!$Q$22)</f>
      </c>
      <c r="AN24" s="60">
        <f>IF(KOL_Database!$AO$22="",999999999,KOL_Database!$AO$22)</f>
      </c>
      <c r="AO24" s="60">
        <f>IF(KOL_Database!$AP$22="",999999999,KOL_Database!$AP$22)</f>
      </c>
      <c r="AP24" s="60">
        <f>IF(KOL_Database!$AQ$22="",999999999,KOL_Database!$AQ$22)</f>
      </c>
      <c r="AQ24" s="60">
        <f>IF(KOL_Database!$BD$22="",0,KOL_Database!$BD$22)</f>
      </c>
      <c r="AR24" s="60">
        <f>IF(KOL_Database!$AS$22="",0,KOL_Database!$AS$22)</f>
      </c>
      <c r="AS24" s="60">
        <f>INDEX(Matching_Engine!$AT$6:$AT$95,$W24,1)</f>
      </c>
      <c r="AT24" s="60">
        <f>INDEX(Matching_Engine!$AU$6:$AU$95,$W24,1)</f>
      </c>
      <c r="AU24" s="60">
        <f>IF(KOL_Database!$AU$22="",0,KOL_Database!$AU$22)</f>
      </c>
      <c r="AV24" s="60">
        <f>INDEX(Matching_Engine!$X$6:$X$95,$W24,1)</f>
      </c>
      <c r="AW24" s="60">
        <f>IF(KOL_Database!$BA$22="",0,KOL_Database!$BA$22+0)</f>
      </c>
      <c r="AX24" s="60">
        <f>IF(KOL_Database!$BB$22="",0,KOL_Database!$BB$22+0)</f>
      </c>
      <c r="AY24" s="60">
        <f>ROUND(IF(KOL_Database!$V$22="",0,KOL_Database!$V$22)*0.6+MIN(100,IF(KOL_Database!$N$22="",0,KOL_Database!$N$22)*10)*0.4,1)</f>
      </c>
      <c r="AZ24" s="60">
        <f>ROUND(MIN(100,IF(KOL_Database!$K$22="",0,KOL_Database!$K$22)/8*100)*0.35+IF(KOL_Database!$R$22="",0,KOL_Database!$R$22)*0.25+(100-IF(KOL_Database!$AU$22="",0,KOL_Database!$AU$22))*0.25+(100-MIN(100,IF(KOL_Database!$J$22="",0,KOL_Database!$J$22)/5000))*0.15,1)</f>
      </c>
      <c r="BA24" s="60">
        <f>ROUND(INDEX(Matching_Engine!$AP$6:$AP$95,$W24,1)*IF(INDEX(Matching_Engine!$AS$6:$AS$95,$W24,1)="High",1,IF(INDEX(Matching_Engine!$AS$6:$AS$95,$W24,1)="Medium",0.92,0.8)),1)</f>
      </c>
    </row>
    <row r="25" spans="1:53" x14ac:dyDescent="0.25">
      <c r="A25" s="44">
        <f>IF($R25="EXCLUDED","—",COUNTIFS($S$7:$S$36,"&gt;"&amp;$S25,$R$7:$R$36,"PASS")+1)</f>
      </c>
      <c r="B25" s="44">
        <f>KOL_Database!$B$23</f>
      </c>
      <c r="C25" s="44">
        <f>KOL_Database!$C$23</f>
      </c>
      <c r="D25" s="44">
        <f>KOL_Database!$D$23</f>
      </c>
      <c r="E25" s="44">
        <f>KOL_Database!$E$23</f>
      </c>
      <c r="F25" s="44">
        <f>KOL_Database!$G$23</f>
      </c>
      <c r="G25" s="45">
        <f>KOL_Database!$J$23</f>
      </c>
      <c r="H25" s="46">
        <f>KOL_Database!$K$23</f>
      </c>
      <c r="I25" s="47">
        <f>INDEX(Matching_Engine!$S$6:$S$95,$W25,1)</f>
      </c>
      <c r="J25" s="49">
        <f>INDEX(Matching_Engine!$AP$6:$AP$95,$W25,1)</f>
      </c>
      <c r="K25" s="47">
        <f>INDEX(Matching_Engine!$X$6:$X$95,$W25,1)</f>
      </c>
      <c r="L25" s="47">
        <f>INDEX(Matching_Engine!$AJ$6:$AJ$95,$W25,1)</f>
      </c>
      <c r="M25" s="47">
        <f>INDEX(Matching_Engine!$AO$6:$AO$95,$W25,1)</f>
      </c>
      <c r="N25" s="47">
        <f>INDEX(Matching_Engine!$AU$6:$AU$95,$W25,1)</f>
      </c>
      <c r="O25" s="48">
        <f>IF(KOL_Database!$AS$23="","—",KOL_Database!$AS$23)</f>
      </c>
      <c r="P25" s="44">
        <f>INDEX(Matching_Engine!$AQ$6:$AQ$95,$W25,1)</f>
      </c>
      <c r="Q25" s="44">
        <f>INDEX(Matching_Engine!$AX$6:$AX$95,$W25,1)</f>
      </c>
      <c r="R25" s="44">
        <f>INDEX(Matching_Engine!$AV$6:$AV$95,$W25,1)</f>
      </c>
      <c r="S25" s="59">
        <f>IF($R25="EXCLUDED",-1,$J25+$I25/1000+$K25/100000+$L25/10000000+$M25/1000000000)</f>
      </c>
      <c r="T25" s="44">
        <f>IF($R25="EXCLUDED","—",IF(Discovery_Ranking!$F$4="asc",COUNTIFS($U$7:$U$36,"&lt;"&amp;$U25,$R$7:$R$36,"PASS")+1,COUNTIFS($U$7:$U$36,"&gt;"&amp;$U25,$R$7:$R$36,"PASS")+1))</f>
      </c>
      <c r="U25" s="48">
        <f>INDEX($X25:$BA25,1,Discovery_Ranking!$K$4)</f>
      </c>
      <c r="V25" s="44">
        <f>KOL_Database!$A$23</f>
      </c>
      <c r="W25" s="44">
        <f>MATCH(Brand_Profile!$B$4&amp;"|"&amp;KOL_Database!$A$23,Matching_Engine!$AZ$6:$AZ$95,0)</f>
      </c>
      <c r="X25" s="60">
        <f>INDEX(Matching_Engine!$AP$6:$AP$95,$W25,1)</f>
      </c>
      <c r="Y25" s="60">
        <f>IF(KOL_Database!$L$23="",0,KOL_Database!$L$23)</f>
      </c>
      <c r="Z25" s="60">
        <f>IF(KOL_Database!$M$23="",0,KOL_Database!$M$23)</f>
      </c>
      <c r="AA25" s="60">
        <f>ROUND(INDEX(Matching_Engine!$AD$6:$AD$95,$W25,1)*0.6+INDEX(Matching_Engine!$AE$6:$AE$95,$W25,1)*0.4,1)</f>
      </c>
      <c r="AB25" s="60">
        <f>IF(KOL_Database!$T$23="",0,KOL_Database!$T$23)</f>
      </c>
      <c r="AC25" s="60">
        <f>IF(KOL_Database!$U$23="",0,KOL_Database!$U$23)</f>
      </c>
      <c r="AD25" s="60">
        <f>IF(KOL_Database!$P$23="",0,KOL_Database!$P$23)</f>
      </c>
      <c r="AE25" s="60">
        <f>IF(KOL_Database!$BC$23="",0,KOL_Database!$BC$23)</f>
      </c>
      <c r="AF25" s="60">
        <f>IF(KOL_Database!$V$23="",0,KOL_Database!$V$23)</f>
      </c>
      <c r="AG25" s="60">
        <f>IF(KOL_Database!$N$23="",0,KOL_Database!$N$23)</f>
      </c>
      <c r="AH25" s="60">
        <f>IF(KOL_Database!$O$23="",0,KOL_Database!$O$23)</f>
      </c>
      <c r="AI25" s="60">
        <f>ROUND(MIN(100,IF(KOL_Database!$N$23="",0,KOL_Database!$N$23)*8+IF(KOL_Database!$O$23="",0,KOL_Database!$O$23)*2+IF(KOL_Database!$K$23="",0,KOL_Database!$K$23)*3),1)</f>
      </c>
      <c r="AJ25" s="60">
        <f>IF(KOL_Database!$R$23="",0,KOL_Database!$R$23)</f>
      </c>
      <c r="AK25" s="60">
        <f>IF(KOL_Database!$S$23="",0,KOL_Database!$S$23)</f>
      </c>
      <c r="AL25" s="60">
        <f>INDEX(Matching_Engine!$S$6:$S$95,$W25,1)</f>
      </c>
      <c r="AM25" s="60">
        <f>IF(KOL_Database!$Q$23="",0,KOL_Database!$Q$23)</f>
      </c>
      <c r="AN25" s="60">
        <f>IF(KOL_Database!$AO$23="",999999999,KOL_Database!$AO$23)</f>
      </c>
      <c r="AO25" s="60">
        <f>IF(KOL_Database!$AP$23="",999999999,KOL_Database!$AP$23)</f>
      </c>
      <c r="AP25" s="60">
        <f>IF(KOL_Database!$AQ$23="",999999999,KOL_Database!$AQ$23)</f>
      </c>
      <c r="AQ25" s="60">
        <f>IF(KOL_Database!$BD$23="",0,KOL_Database!$BD$23)</f>
      </c>
      <c r="AR25" s="60">
        <f>IF(KOL_Database!$AS$23="",0,KOL_Database!$AS$23)</f>
      </c>
      <c r="AS25" s="60">
        <f>INDEX(Matching_Engine!$AT$6:$AT$95,$W25,1)</f>
      </c>
      <c r="AT25" s="60">
        <f>INDEX(Matching_Engine!$AU$6:$AU$95,$W25,1)</f>
      </c>
      <c r="AU25" s="60">
        <f>IF(KOL_Database!$AU$23="",0,KOL_Database!$AU$23)</f>
      </c>
      <c r="AV25" s="60">
        <f>INDEX(Matching_Engine!$X$6:$X$95,$W25,1)</f>
      </c>
      <c r="AW25" s="60">
        <f>IF(KOL_Database!$BA$23="",0,KOL_Database!$BA$23+0)</f>
      </c>
      <c r="AX25" s="60">
        <f>IF(KOL_Database!$BB$23="",0,KOL_Database!$BB$23+0)</f>
      </c>
      <c r="AY25" s="60">
        <f>ROUND(IF(KOL_Database!$V$23="",0,KOL_Database!$V$23)*0.6+MIN(100,IF(KOL_Database!$N$23="",0,KOL_Database!$N$23)*10)*0.4,1)</f>
      </c>
      <c r="AZ25" s="60">
        <f>ROUND(MIN(100,IF(KOL_Database!$K$23="",0,KOL_Database!$K$23)/8*100)*0.35+IF(KOL_Database!$R$23="",0,KOL_Database!$R$23)*0.25+(100-IF(KOL_Database!$AU$23="",0,KOL_Database!$AU$23))*0.25+(100-MIN(100,IF(KOL_Database!$J$23="",0,KOL_Database!$J$23)/5000))*0.15,1)</f>
      </c>
      <c r="BA25" s="60">
        <f>ROUND(INDEX(Matching_Engine!$AP$6:$AP$95,$W25,1)*IF(INDEX(Matching_Engine!$AS$6:$AS$95,$W25,1)="High",1,IF(INDEX(Matching_Engine!$AS$6:$AS$95,$W25,1)="Medium",0.92,0.8)),1)</f>
      </c>
    </row>
    <row r="26" spans="1:53" x14ac:dyDescent="0.25">
      <c r="A26" s="44">
        <f>IF($R26="EXCLUDED","—",COUNTIFS($S$7:$S$36,"&gt;"&amp;$S26,$R$7:$R$36,"PASS")+1)</f>
      </c>
      <c r="B26" s="44">
        <f>KOL_Database!$B$24</f>
      </c>
      <c r="C26" s="44">
        <f>KOL_Database!$C$24</f>
      </c>
      <c r="D26" s="44">
        <f>KOL_Database!$D$24</f>
      </c>
      <c r="E26" s="44">
        <f>KOL_Database!$E$24</f>
      </c>
      <c r="F26" s="44">
        <f>KOL_Database!$G$24</f>
      </c>
      <c r="G26" s="45">
        <f>KOL_Database!$J$24</f>
      </c>
      <c r="H26" s="46">
        <f>KOL_Database!$K$24</f>
      </c>
      <c r="I26" s="47">
        <f>INDEX(Matching_Engine!$S$6:$S$95,$W26,1)</f>
      </c>
      <c r="J26" s="49">
        <f>INDEX(Matching_Engine!$AP$6:$AP$95,$W26,1)</f>
      </c>
      <c r="K26" s="47">
        <f>INDEX(Matching_Engine!$X$6:$X$95,$W26,1)</f>
      </c>
      <c r="L26" s="47">
        <f>INDEX(Matching_Engine!$AJ$6:$AJ$95,$W26,1)</f>
      </c>
      <c r="M26" s="47">
        <f>INDEX(Matching_Engine!$AO$6:$AO$95,$W26,1)</f>
      </c>
      <c r="N26" s="47">
        <f>INDEX(Matching_Engine!$AU$6:$AU$95,$W26,1)</f>
      </c>
      <c r="O26" s="48">
        <f>IF(KOL_Database!$AS$24="","—",KOL_Database!$AS$24)</f>
      </c>
      <c r="P26" s="44">
        <f>INDEX(Matching_Engine!$AQ$6:$AQ$95,$W26,1)</f>
      </c>
      <c r="Q26" s="44">
        <f>INDEX(Matching_Engine!$AX$6:$AX$95,$W26,1)</f>
      </c>
      <c r="R26" s="44">
        <f>INDEX(Matching_Engine!$AV$6:$AV$95,$W26,1)</f>
      </c>
      <c r="S26" s="59">
        <f>IF($R26="EXCLUDED",-1,$J26+$I26/1000+$K26/100000+$L26/10000000+$M26/1000000000)</f>
      </c>
      <c r="T26" s="44">
        <f>IF($R26="EXCLUDED","—",IF(Discovery_Ranking!$F$4="asc",COUNTIFS($U$7:$U$36,"&lt;"&amp;$U26,$R$7:$R$36,"PASS")+1,COUNTIFS($U$7:$U$36,"&gt;"&amp;$U26,$R$7:$R$36,"PASS")+1))</f>
      </c>
      <c r="U26" s="48">
        <f>INDEX($X26:$BA26,1,Discovery_Ranking!$K$4)</f>
      </c>
      <c r="V26" s="44">
        <f>KOL_Database!$A$24</f>
      </c>
      <c r="W26" s="44">
        <f>MATCH(Brand_Profile!$B$4&amp;"|"&amp;KOL_Database!$A$24,Matching_Engine!$AZ$6:$AZ$95,0)</f>
      </c>
      <c r="X26" s="60">
        <f>INDEX(Matching_Engine!$AP$6:$AP$95,$W26,1)</f>
      </c>
      <c r="Y26" s="60">
        <f>IF(KOL_Database!$L$24="",0,KOL_Database!$L$24)</f>
      </c>
      <c r="Z26" s="60">
        <f>IF(KOL_Database!$M$24="",0,KOL_Database!$M$24)</f>
      </c>
      <c r="AA26" s="60">
        <f>ROUND(INDEX(Matching_Engine!$AD$6:$AD$95,$W26,1)*0.6+INDEX(Matching_Engine!$AE$6:$AE$95,$W26,1)*0.4,1)</f>
      </c>
      <c r="AB26" s="60">
        <f>IF(KOL_Database!$T$24="",0,KOL_Database!$T$24)</f>
      </c>
      <c r="AC26" s="60">
        <f>IF(KOL_Database!$U$24="",0,KOL_Database!$U$24)</f>
      </c>
      <c r="AD26" s="60">
        <f>IF(KOL_Database!$P$24="",0,KOL_Database!$P$24)</f>
      </c>
      <c r="AE26" s="60">
        <f>IF(KOL_Database!$BC$24="",0,KOL_Database!$BC$24)</f>
      </c>
      <c r="AF26" s="60">
        <f>IF(KOL_Database!$V$24="",0,KOL_Database!$V$24)</f>
      </c>
      <c r="AG26" s="60">
        <f>IF(KOL_Database!$N$24="",0,KOL_Database!$N$24)</f>
      </c>
      <c r="AH26" s="60">
        <f>IF(KOL_Database!$O$24="",0,KOL_Database!$O$24)</f>
      </c>
      <c r="AI26" s="60">
        <f>ROUND(MIN(100,IF(KOL_Database!$N$24="",0,KOL_Database!$N$24)*8+IF(KOL_Database!$O$24="",0,KOL_Database!$O$24)*2+IF(KOL_Database!$K$24="",0,KOL_Database!$K$24)*3),1)</f>
      </c>
      <c r="AJ26" s="60">
        <f>IF(KOL_Database!$R$24="",0,KOL_Database!$R$24)</f>
      </c>
      <c r="AK26" s="60">
        <f>IF(KOL_Database!$S$24="",0,KOL_Database!$S$24)</f>
      </c>
      <c r="AL26" s="60">
        <f>INDEX(Matching_Engine!$S$6:$S$95,$W26,1)</f>
      </c>
      <c r="AM26" s="60">
        <f>IF(KOL_Database!$Q$24="",0,KOL_Database!$Q$24)</f>
      </c>
      <c r="AN26" s="60">
        <f>IF(KOL_Database!$AO$24="",999999999,KOL_Database!$AO$24)</f>
      </c>
      <c r="AO26" s="60">
        <f>IF(KOL_Database!$AP$24="",999999999,KOL_Database!$AP$24)</f>
      </c>
      <c r="AP26" s="60">
        <f>IF(KOL_Database!$AQ$24="",999999999,KOL_Database!$AQ$24)</f>
      </c>
      <c r="AQ26" s="60">
        <f>IF(KOL_Database!$BD$24="",0,KOL_Database!$BD$24)</f>
      </c>
      <c r="AR26" s="60">
        <f>IF(KOL_Database!$AS$24="",0,KOL_Database!$AS$24)</f>
      </c>
      <c r="AS26" s="60">
        <f>INDEX(Matching_Engine!$AT$6:$AT$95,$W26,1)</f>
      </c>
      <c r="AT26" s="60">
        <f>INDEX(Matching_Engine!$AU$6:$AU$95,$W26,1)</f>
      </c>
      <c r="AU26" s="60">
        <f>IF(KOL_Database!$AU$24="",0,KOL_Database!$AU$24)</f>
      </c>
      <c r="AV26" s="60">
        <f>INDEX(Matching_Engine!$X$6:$X$95,$W26,1)</f>
      </c>
      <c r="AW26" s="60">
        <f>IF(KOL_Database!$BA$24="",0,KOL_Database!$BA$24+0)</f>
      </c>
      <c r="AX26" s="60">
        <f>IF(KOL_Database!$BB$24="",0,KOL_Database!$BB$24+0)</f>
      </c>
      <c r="AY26" s="60">
        <f>ROUND(IF(KOL_Database!$V$24="",0,KOL_Database!$V$24)*0.6+MIN(100,IF(KOL_Database!$N$24="",0,KOL_Database!$N$24)*10)*0.4,1)</f>
      </c>
      <c r="AZ26" s="60">
        <f>ROUND(MIN(100,IF(KOL_Database!$K$24="",0,KOL_Database!$K$24)/8*100)*0.35+IF(KOL_Database!$R$24="",0,KOL_Database!$R$24)*0.25+(100-IF(KOL_Database!$AU$24="",0,KOL_Database!$AU$24))*0.25+(100-MIN(100,IF(KOL_Database!$J$24="",0,KOL_Database!$J$24)/5000))*0.15,1)</f>
      </c>
      <c r="BA26" s="60">
        <f>ROUND(INDEX(Matching_Engine!$AP$6:$AP$95,$W26,1)*IF(INDEX(Matching_Engine!$AS$6:$AS$95,$W26,1)="High",1,IF(INDEX(Matching_Engine!$AS$6:$AS$95,$W26,1)="Medium",0.92,0.8)),1)</f>
      </c>
    </row>
    <row r="27" spans="1:53" x14ac:dyDescent="0.25">
      <c r="A27" s="44">
        <f>IF($R27="EXCLUDED","—",COUNTIFS($S$7:$S$36,"&gt;"&amp;$S27,$R$7:$R$36,"PASS")+1)</f>
      </c>
      <c r="B27" s="44">
        <f>KOL_Database!$B$25</f>
      </c>
      <c r="C27" s="44">
        <f>KOL_Database!$C$25</f>
      </c>
      <c r="D27" s="44">
        <f>KOL_Database!$D$25</f>
      </c>
      <c r="E27" s="44">
        <f>KOL_Database!$E$25</f>
      </c>
      <c r="F27" s="44">
        <f>KOL_Database!$G$25</f>
      </c>
      <c r="G27" s="45">
        <f>KOL_Database!$J$25</f>
      </c>
      <c r="H27" s="46">
        <f>KOL_Database!$K$25</f>
      </c>
      <c r="I27" s="47">
        <f>INDEX(Matching_Engine!$S$6:$S$95,$W27,1)</f>
      </c>
      <c r="J27" s="49">
        <f>INDEX(Matching_Engine!$AP$6:$AP$95,$W27,1)</f>
      </c>
      <c r="K27" s="47">
        <f>INDEX(Matching_Engine!$X$6:$X$95,$W27,1)</f>
      </c>
      <c r="L27" s="47">
        <f>INDEX(Matching_Engine!$AJ$6:$AJ$95,$W27,1)</f>
      </c>
      <c r="M27" s="47">
        <f>INDEX(Matching_Engine!$AO$6:$AO$95,$W27,1)</f>
      </c>
      <c r="N27" s="47">
        <f>INDEX(Matching_Engine!$AU$6:$AU$95,$W27,1)</f>
      </c>
      <c r="O27" s="48">
        <f>IF(KOL_Database!$AS$25="","—",KOL_Database!$AS$25)</f>
      </c>
      <c r="P27" s="44">
        <f>INDEX(Matching_Engine!$AQ$6:$AQ$95,$W27,1)</f>
      </c>
      <c r="Q27" s="44">
        <f>INDEX(Matching_Engine!$AX$6:$AX$95,$W27,1)</f>
      </c>
      <c r="R27" s="44">
        <f>INDEX(Matching_Engine!$AV$6:$AV$95,$W27,1)</f>
      </c>
      <c r="S27" s="59">
        <f>IF($R27="EXCLUDED",-1,$J27+$I27/1000+$K27/100000+$L27/10000000+$M27/1000000000)</f>
      </c>
      <c r="T27" s="44">
        <f>IF($R27="EXCLUDED","—",IF(Discovery_Ranking!$F$4="asc",COUNTIFS($U$7:$U$36,"&lt;"&amp;$U27,$R$7:$R$36,"PASS")+1,COUNTIFS($U$7:$U$36,"&gt;"&amp;$U27,$R$7:$R$36,"PASS")+1))</f>
      </c>
      <c r="U27" s="48">
        <f>INDEX($X27:$BA27,1,Discovery_Ranking!$K$4)</f>
      </c>
      <c r="V27" s="44">
        <f>KOL_Database!$A$25</f>
      </c>
      <c r="W27" s="44">
        <f>MATCH(Brand_Profile!$B$4&amp;"|"&amp;KOL_Database!$A$25,Matching_Engine!$AZ$6:$AZ$95,0)</f>
      </c>
      <c r="X27" s="60">
        <f>INDEX(Matching_Engine!$AP$6:$AP$95,$W27,1)</f>
      </c>
      <c r="Y27" s="60">
        <f>IF(KOL_Database!$L$25="",0,KOL_Database!$L$25)</f>
      </c>
      <c r="Z27" s="60">
        <f>IF(KOL_Database!$M$25="",0,KOL_Database!$M$25)</f>
      </c>
      <c r="AA27" s="60">
        <f>ROUND(INDEX(Matching_Engine!$AD$6:$AD$95,$W27,1)*0.6+INDEX(Matching_Engine!$AE$6:$AE$95,$W27,1)*0.4,1)</f>
      </c>
      <c r="AB27" s="60">
        <f>IF(KOL_Database!$T$25="",0,KOL_Database!$T$25)</f>
      </c>
      <c r="AC27" s="60">
        <f>IF(KOL_Database!$U$25="",0,KOL_Database!$U$25)</f>
      </c>
      <c r="AD27" s="60">
        <f>IF(KOL_Database!$P$25="",0,KOL_Database!$P$25)</f>
      </c>
      <c r="AE27" s="60">
        <f>IF(KOL_Database!$BC$25="",0,KOL_Database!$BC$25)</f>
      </c>
      <c r="AF27" s="60">
        <f>IF(KOL_Database!$V$25="",0,KOL_Database!$V$25)</f>
      </c>
      <c r="AG27" s="60">
        <f>IF(KOL_Database!$N$25="",0,KOL_Database!$N$25)</f>
      </c>
      <c r="AH27" s="60">
        <f>IF(KOL_Database!$O$25="",0,KOL_Database!$O$25)</f>
      </c>
      <c r="AI27" s="60">
        <f>ROUND(MIN(100,IF(KOL_Database!$N$25="",0,KOL_Database!$N$25)*8+IF(KOL_Database!$O$25="",0,KOL_Database!$O$25)*2+IF(KOL_Database!$K$25="",0,KOL_Database!$K$25)*3),1)</f>
      </c>
      <c r="AJ27" s="60">
        <f>IF(KOL_Database!$R$25="",0,KOL_Database!$R$25)</f>
      </c>
      <c r="AK27" s="60">
        <f>IF(KOL_Database!$S$25="",0,KOL_Database!$S$25)</f>
      </c>
      <c r="AL27" s="60">
        <f>INDEX(Matching_Engine!$S$6:$S$95,$W27,1)</f>
      </c>
      <c r="AM27" s="60">
        <f>IF(KOL_Database!$Q$25="",0,KOL_Database!$Q$25)</f>
      </c>
      <c r="AN27" s="60">
        <f>IF(KOL_Database!$AO$25="",999999999,KOL_Database!$AO$25)</f>
      </c>
      <c r="AO27" s="60">
        <f>IF(KOL_Database!$AP$25="",999999999,KOL_Database!$AP$25)</f>
      </c>
      <c r="AP27" s="60">
        <f>IF(KOL_Database!$AQ$25="",999999999,KOL_Database!$AQ$25)</f>
      </c>
      <c r="AQ27" s="60">
        <f>IF(KOL_Database!$BD$25="",0,KOL_Database!$BD$25)</f>
      </c>
      <c r="AR27" s="60">
        <f>IF(KOL_Database!$AS$25="",0,KOL_Database!$AS$25)</f>
      </c>
      <c r="AS27" s="60">
        <f>INDEX(Matching_Engine!$AT$6:$AT$95,$W27,1)</f>
      </c>
      <c r="AT27" s="60">
        <f>INDEX(Matching_Engine!$AU$6:$AU$95,$W27,1)</f>
      </c>
      <c r="AU27" s="60">
        <f>IF(KOL_Database!$AU$25="",0,KOL_Database!$AU$25)</f>
      </c>
      <c r="AV27" s="60">
        <f>INDEX(Matching_Engine!$X$6:$X$95,$W27,1)</f>
      </c>
      <c r="AW27" s="60">
        <f>IF(KOL_Database!$BA$25="",0,KOL_Database!$BA$25+0)</f>
      </c>
      <c r="AX27" s="60">
        <f>IF(KOL_Database!$BB$25="",0,KOL_Database!$BB$25+0)</f>
      </c>
      <c r="AY27" s="60">
        <f>ROUND(IF(KOL_Database!$V$25="",0,KOL_Database!$V$25)*0.6+MIN(100,IF(KOL_Database!$N$25="",0,KOL_Database!$N$25)*10)*0.4,1)</f>
      </c>
      <c r="AZ27" s="60">
        <f>ROUND(MIN(100,IF(KOL_Database!$K$25="",0,KOL_Database!$K$25)/8*100)*0.35+IF(KOL_Database!$R$25="",0,KOL_Database!$R$25)*0.25+(100-IF(KOL_Database!$AU$25="",0,KOL_Database!$AU$25))*0.25+(100-MIN(100,IF(KOL_Database!$J$25="",0,KOL_Database!$J$25)/5000))*0.15,1)</f>
      </c>
      <c r="BA27" s="60">
        <f>ROUND(INDEX(Matching_Engine!$AP$6:$AP$95,$W27,1)*IF(INDEX(Matching_Engine!$AS$6:$AS$95,$W27,1)="High",1,IF(INDEX(Matching_Engine!$AS$6:$AS$95,$W27,1)="Medium",0.92,0.8)),1)</f>
      </c>
    </row>
    <row r="28" spans="1:53" x14ac:dyDescent="0.25">
      <c r="A28" s="44">
        <f>IF($R28="EXCLUDED","—",COUNTIFS($S$7:$S$36,"&gt;"&amp;$S28,$R$7:$R$36,"PASS")+1)</f>
      </c>
      <c r="B28" s="44">
        <f>KOL_Database!$B$26</f>
      </c>
      <c r="C28" s="44">
        <f>KOL_Database!$C$26</f>
      </c>
      <c r="D28" s="44">
        <f>KOL_Database!$D$26</f>
      </c>
      <c r="E28" s="44">
        <f>KOL_Database!$E$26</f>
      </c>
      <c r="F28" s="44">
        <f>KOL_Database!$G$26</f>
      </c>
      <c r="G28" s="45">
        <f>KOL_Database!$J$26</f>
      </c>
      <c r="H28" s="46">
        <f>KOL_Database!$K$26</f>
      </c>
      <c r="I28" s="47">
        <f>INDEX(Matching_Engine!$S$6:$S$95,$W28,1)</f>
      </c>
      <c r="J28" s="49">
        <f>INDEX(Matching_Engine!$AP$6:$AP$95,$W28,1)</f>
      </c>
      <c r="K28" s="47">
        <f>INDEX(Matching_Engine!$X$6:$X$95,$W28,1)</f>
      </c>
      <c r="L28" s="47">
        <f>INDEX(Matching_Engine!$AJ$6:$AJ$95,$W28,1)</f>
      </c>
      <c r="M28" s="47">
        <f>INDEX(Matching_Engine!$AO$6:$AO$95,$W28,1)</f>
      </c>
      <c r="N28" s="47">
        <f>INDEX(Matching_Engine!$AU$6:$AU$95,$W28,1)</f>
      </c>
      <c r="O28" s="48">
        <f>IF(KOL_Database!$AS$26="","—",KOL_Database!$AS$26)</f>
      </c>
      <c r="P28" s="44">
        <f>INDEX(Matching_Engine!$AQ$6:$AQ$95,$W28,1)</f>
      </c>
      <c r="Q28" s="44">
        <f>INDEX(Matching_Engine!$AX$6:$AX$95,$W28,1)</f>
      </c>
      <c r="R28" s="44">
        <f>INDEX(Matching_Engine!$AV$6:$AV$95,$W28,1)</f>
      </c>
      <c r="S28" s="59">
        <f>IF($R28="EXCLUDED",-1,$J28+$I28/1000+$K28/100000+$L28/10000000+$M28/1000000000)</f>
      </c>
      <c r="T28" s="44">
        <f>IF($R28="EXCLUDED","—",IF(Discovery_Ranking!$F$4="asc",COUNTIFS($U$7:$U$36,"&lt;"&amp;$U28,$R$7:$R$36,"PASS")+1,COUNTIFS($U$7:$U$36,"&gt;"&amp;$U28,$R$7:$R$36,"PASS")+1))</f>
      </c>
      <c r="U28" s="48">
        <f>INDEX($X28:$BA28,1,Discovery_Ranking!$K$4)</f>
      </c>
      <c r="V28" s="44">
        <f>KOL_Database!$A$26</f>
      </c>
      <c r="W28" s="44">
        <f>MATCH(Brand_Profile!$B$4&amp;"|"&amp;KOL_Database!$A$26,Matching_Engine!$AZ$6:$AZ$95,0)</f>
      </c>
      <c r="X28" s="60">
        <f>INDEX(Matching_Engine!$AP$6:$AP$95,$W28,1)</f>
      </c>
      <c r="Y28" s="60">
        <f>IF(KOL_Database!$L$26="",0,KOL_Database!$L$26)</f>
      </c>
      <c r="Z28" s="60">
        <f>IF(KOL_Database!$M$26="",0,KOL_Database!$M$26)</f>
      </c>
      <c r="AA28" s="60">
        <f>ROUND(INDEX(Matching_Engine!$AD$6:$AD$95,$W28,1)*0.6+INDEX(Matching_Engine!$AE$6:$AE$95,$W28,1)*0.4,1)</f>
      </c>
      <c r="AB28" s="60">
        <f>IF(KOL_Database!$T$26="",0,KOL_Database!$T$26)</f>
      </c>
      <c r="AC28" s="60">
        <f>IF(KOL_Database!$U$26="",0,KOL_Database!$U$26)</f>
      </c>
      <c r="AD28" s="60">
        <f>IF(KOL_Database!$P$26="",0,KOL_Database!$P$26)</f>
      </c>
      <c r="AE28" s="60">
        <f>IF(KOL_Database!$BC$26="",0,KOL_Database!$BC$26)</f>
      </c>
      <c r="AF28" s="60">
        <f>IF(KOL_Database!$V$26="",0,KOL_Database!$V$26)</f>
      </c>
      <c r="AG28" s="60">
        <f>IF(KOL_Database!$N$26="",0,KOL_Database!$N$26)</f>
      </c>
      <c r="AH28" s="60">
        <f>IF(KOL_Database!$O$26="",0,KOL_Database!$O$26)</f>
      </c>
      <c r="AI28" s="60">
        <f>ROUND(MIN(100,IF(KOL_Database!$N$26="",0,KOL_Database!$N$26)*8+IF(KOL_Database!$O$26="",0,KOL_Database!$O$26)*2+IF(KOL_Database!$K$26="",0,KOL_Database!$K$26)*3),1)</f>
      </c>
      <c r="AJ28" s="60">
        <f>IF(KOL_Database!$R$26="",0,KOL_Database!$R$26)</f>
      </c>
      <c r="AK28" s="60">
        <f>IF(KOL_Database!$S$26="",0,KOL_Database!$S$26)</f>
      </c>
      <c r="AL28" s="60">
        <f>INDEX(Matching_Engine!$S$6:$S$95,$W28,1)</f>
      </c>
      <c r="AM28" s="60">
        <f>IF(KOL_Database!$Q$26="",0,KOL_Database!$Q$26)</f>
      </c>
      <c r="AN28" s="60">
        <f>IF(KOL_Database!$AO$26="",999999999,KOL_Database!$AO$26)</f>
      </c>
      <c r="AO28" s="60">
        <f>IF(KOL_Database!$AP$26="",999999999,KOL_Database!$AP$26)</f>
      </c>
      <c r="AP28" s="60">
        <f>IF(KOL_Database!$AQ$26="",999999999,KOL_Database!$AQ$26)</f>
      </c>
      <c r="AQ28" s="60">
        <f>IF(KOL_Database!$BD$26="",0,KOL_Database!$BD$26)</f>
      </c>
      <c r="AR28" s="60">
        <f>IF(KOL_Database!$AS$26="",0,KOL_Database!$AS$26)</f>
      </c>
      <c r="AS28" s="60">
        <f>INDEX(Matching_Engine!$AT$6:$AT$95,$W28,1)</f>
      </c>
      <c r="AT28" s="60">
        <f>INDEX(Matching_Engine!$AU$6:$AU$95,$W28,1)</f>
      </c>
      <c r="AU28" s="60">
        <f>IF(KOL_Database!$AU$26="",0,KOL_Database!$AU$26)</f>
      </c>
      <c r="AV28" s="60">
        <f>INDEX(Matching_Engine!$X$6:$X$95,$W28,1)</f>
      </c>
      <c r="AW28" s="60">
        <f>IF(KOL_Database!$BA$26="",0,KOL_Database!$BA$26+0)</f>
      </c>
      <c r="AX28" s="60">
        <f>IF(KOL_Database!$BB$26="",0,KOL_Database!$BB$26+0)</f>
      </c>
      <c r="AY28" s="60">
        <f>ROUND(IF(KOL_Database!$V$26="",0,KOL_Database!$V$26)*0.6+MIN(100,IF(KOL_Database!$N$26="",0,KOL_Database!$N$26)*10)*0.4,1)</f>
      </c>
      <c r="AZ28" s="60">
        <f>ROUND(MIN(100,IF(KOL_Database!$K$26="",0,KOL_Database!$K$26)/8*100)*0.35+IF(KOL_Database!$R$26="",0,KOL_Database!$R$26)*0.25+(100-IF(KOL_Database!$AU$26="",0,KOL_Database!$AU$26))*0.25+(100-MIN(100,IF(KOL_Database!$J$26="",0,KOL_Database!$J$26)/5000))*0.15,1)</f>
      </c>
      <c r="BA28" s="60">
        <f>ROUND(INDEX(Matching_Engine!$AP$6:$AP$95,$W28,1)*IF(INDEX(Matching_Engine!$AS$6:$AS$95,$W28,1)="High",1,IF(INDEX(Matching_Engine!$AS$6:$AS$95,$W28,1)="Medium",0.92,0.8)),1)</f>
      </c>
    </row>
    <row r="29" spans="1:53" x14ac:dyDescent="0.25">
      <c r="A29" s="44">
        <f>IF($R29="EXCLUDED","—",COUNTIFS($S$7:$S$36,"&gt;"&amp;$S29,$R$7:$R$36,"PASS")+1)</f>
      </c>
      <c r="B29" s="44">
        <f>KOL_Database!$B$27</f>
      </c>
      <c r="C29" s="44">
        <f>KOL_Database!$C$27</f>
      </c>
      <c r="D29" s="44">
        <f>KOL_Database!$D$27</f>
      </c>
      <c r="E29" s="44">
        <f>KOL_Database!$E$27</f>
      </c>
      <c r="F29" s="44">
        <f>KOL_Database!$G$27</f>
      </c>
      <c r="G29" s="45">
        <f>KOL_Database!$J$27</f>
      </c>
      <c r="H29" s="46">
        <f>KOL_Database!$K$27</f>
      </c>
      <c r="I29" s="47">
        <f>INDEX(Matching_Engine!$S$6:$S$95,$W29,1)</f>
      </c>
      <c r="J29" s="49">
        <f>INDEX(Matching_Engine!$AP$6:$AP$95,$W29,1)</f>
      </c>
      <c r="K29" s="47">
        <f>INDEX(Matching_Engine!$X$6:$X$95,$W29,1)</f>
      </c>
      <c r="L29" s="47">
        <f>INDEX(Matching_Engine!$AJ$6:$AJ$95,$W29,1)</f>
      </c>
      <c r="M29" s="47">
        <f>INDEX(Matching_Engine!$AO$6:$AO$95,$W29,1)</f>
      </c>
      <c r="N29" s="47">
        <f>INDEX(Matching_Engine!$AU$6:$AU$95,$W29,1)</f>
      </c>
      <c r="O29" s="48">
        <f>IF(KOL_Database!$AS$27="","—",KOL_Database!$AS$27)</f>
      </c>
      <c r="P29" s="44">
        <f>INDEX(Matching_Engine!$AQ$6:$AQ$95,$W29,1)</f>
      </c>
      <c r="Q29" s="44">
        <f>INDEX(Matching_Engine!$AX$6:$AX$95,$W29,1)</f>
      </c>
      <c r="R29" s="44">
        <f>INDEX(Matching_Engine!$AV$6:$AV$95,$W29,1)</f>
      </c>
      <c r="S29" s="59">
        <f>IF($R29="EXCLUDED",-1,$J29+$I29/1000+$K29/100000+$L29/10000000+$M29/1000000000)</f>
      </c>
      <c r="T29" s="44">
        <f>IF($R29="EXCLUDED","—",IF(Discovery_Ranking!$F$4="asc",COUNTIFS($U$7:$U$36,"&lt;"&amp;$U29,$R$7:$R$36,"PASS")+1,COUNTIFS($U$7:$U$36,"&gt;"&amp;$U29,$R$7:$R$36,"PASS")+1))</f>
      </c>
      <c r="U29" s="48">
        <f>INDEX($X29:$BA29,1,Discovery_Ranking!$K$4)</f>
      </c>
      <c r="V29" s="44">
        <f>KOL_Database!$A$27</f>
      </c>
      <c r="W29" s="44">
        <f>MATCH(Brand_Profile!$B$4&amp;"|"&amp;KOL_Database!$A$27,Matching_Engine!$AZ$6:$AZ$95,0)</f>
      </c>
      <c r="X29" s="60">
        <f>INDEX(Matching_Engine!$AP$6:$AP$95,$W29,1)</f>
      </c>
      <c r="Y29" s="60">
        <f>IF(KOL_Database!$L$27="",0,KOL_Database!$L$27)</f>
      </c>
      <c r="Z29" s="60">
        <f>IF(KOL_Database!$M$27="",0,KOL_Database!$M$27)</f>
      </c>
      <c r="AA29" s="60">
        <f>ROUND(INDEX(Matching_Engine!$AD$6:$AD$95,$W29,1)*0.6+INDEX(Matching_Engine!$AE$6:$AE$95,$W29,1)*0.4,1)</f>
      </c>
      <c r="AB29" s="60">
        <f>IF(KOL_Database!$T$27="",0,KOL_Database!$T$27)</f>
      </c>
      <c r="AC29" s="60">
        <f>IF(KOL_Database!$U$27="",0,KOL_Database!$U$27)</f>
      </c>
      <c r="AD29" s="60">
        <f>IF(KOL_Database!$P$27="",0,KOL_Database!$P$27)</f>
      </c>
      <c r="AE29" s="60">
        <f>IF(KOL_Database!$BC$27="",0,KOL_Database!$BC$27)</f>
      </c>
      <c r="AF29" s="60">
        <f>IF(KOL_Database!$V$27="",0,KOL_Database!$V$27)</f>
      </c>
      <c r="AG29" s="60">
        <f>IF(KOL_Database!$N$27="",0,KOL_Database!$N$27)</f>
      </c>
      <c r="AH29" s="60">
        <f>IF(KOL_Database!$O$27="",0,KOL_Database!$O$27)</f>
      </c>
      <c r="AI29" s="60">
        <f>ROUND(MIN(100,IF(KOL_Database!$N$27="",0,KOL_Database!$N$27)*8+IF(KOL_Database!$O$27="",0,KOL_Database!$O$27)*2+IF(KOL_Database!$K$27="",0,KOL_Database!$K$27)*3),1)</f>
      </c>
      <c r="AJ29" s="60">
        <f>IF(KOL_Database!$R$27="",0,KOL_Database!$R$27)</f>
      </c>
      <c r="AK29" s="60">
        <f>IF(KOL_Database!$S$27="",0,KOL_Database!$S$27)</f>
      </c>
      <c r="AL29" s="60">
        <f>INDEX(Matching_Engine!$S$6:$S$95,$W29,1)</f>
      </c>
      <c r="AM29" s="60">
        <f>IF(KOL_Database!$Q$27="",0,KOL_Database!$Q$27)</f>
      </c>
      <c r="AN29" s="60">
        <f>IF(KOL_Database!$AO$27="",999999999,KOL_Database!$AO$27)</f>
      </c>
      <c r="AO29" s="60">
        <f>IF(KOL_Database!$AP$27="",999999999,KOL_Database!$AP$27)</f>
      </c>
      <c r="AP29" s="60">
        <f>IF(KOL_Database!$AQ$27="",999999999,KOL_Database!$AQ$27)</f>
      </c>
      <c r="AQ29" s="60">
        <f>IF(KOL_Database!$BD$27="",0,KOL_Database!$BD$27)</f>
      </c>
      <c r="AR29" s="60">
        <f>IF(KOL_Database!$AS$27="",0,KOL_Database!$AS$27)</f>
      </c>
      <c r="AS29" s="60">
        <f>INDEX(Matching_Engine!$AT$6:$AT$95,$W29,1)</f>
      </c>
      <c r="AT29" s="60">
        <f>INDEX(Matching_Engine!$AU$6:$AU$95,$W29,1)</f>
      </c>
      <c r="AU29" s="60">
        <f>IF(KOL_Database!$AU$27="",0,KOL_Database!$AU$27)</f>
      </c>
      <c r="AV29" s="60">
        <f>INDEX(Matching_Engine!$X$6:$X$95,$W29,1)</f>
      </c>
      <c r="AW29" s="60">
        <f>IF(KOL_Database!$BA$27="",0,KOL_Database!$BA$27+0)</f>
      </c>
      <c r="AX29" s="60">
        <f>IF(KOL_Database!$BB$27="",0,KOL_Database!$BB$27+0)</f>
      </c>
      <c r="AY29" s="60">
        <f>ROUND(IF(KOL_Database!$V$27="",0,KOL_Database!$V$27)*0.6+MIN(100,IF(KOL_Database!$N$27="",0,KOL_Database!$N$27)*10)*0.4,1)</f>
      </c>
      <c r="AZ29" s="60">
        <f>ROUND(MIN(100,IF(KOL_Database!$K$27="",0,KOL_Database!$K$27)/8*100)*0.35+IF(KOL_Database!$R$27="",0,KOL_Database!$R$27)*0.25+(100-IF(KOL_Database!$AU$27="",0,KOL_Database!$AU$27))*0.25+(100-MIN(100,IF(KOL_Database!$J$27="",0,KOL_Database!$J$27)/5000))*0.15,1)</f>
      </c>
      <c r="BA29" s="60">
        <f>ROUND(INDEX(Matching_Engine!$AP$6:$AP$95,$W29,1)*IF(INDEX(Matching_Engine!$AS$6:$AS$95,$W29,1)="High",1,IF(INDEX(Matching_Engine!$AS$6:$AS$95,$W29,1)="Medium",0.92,0.8)),1)</f>
      </c>
    </row>
    <row r="30" spans="1:53" x14ac:dyDescent="0.25">
      <c r="A30" s="44">
        <f>IF($R30="EXCLUDED","—",COUNTIFS($S$7:$S$36,"&gt;"&amp;$S30,$R$7:$R$36,"PASS")+1)</f>
      </c>
      <c r="B30" s="44">
        <f>KOL_Database!$B$28</f>
      </c>
      <c r="C30" s="44">
        <f>KOL_Database!$C$28</f>
      </c>
      <c r="D30" s="44">
        <f>KOL_Database!$D$28</f>
      </c>
      <c r="E30" s="44">
        <f>KOL_Database!$E$28</f>
      </c>
      <c r="F30" s="44">
        <f>KOL_Database!$G$28</f>
      </c>
      <c r="G30" s="45">
        <f>KOL_Database!$J$28</f>
      </c>
      <c r="H30" s="46">
        <f>KOL_Database!$K$28</f>
      </c>
      <c r="I30" s="47">
        <f>INDEX(Matching_Engine!$S$6:$S$95,$W30,1)</f>
      </c>
      <c r="J30" s="49">
        <f>INDEX(Matching_Engine!$AP$6:$AP$95,$W30,1)</f>
      </c>
      <c r="K30" s="47">
        <f>INDEX(Matching_Engine!$X$6:$X$95,$W30,1)</f>
      </c>
      <c r="L30" s="47">
        <f>INDEX(Matching_Engine!$AJ$6:$AJ$95,$W30,1)</f>
      </c>
      <c r="M30" s="47">
        <f>INDEX(Matching_Engine!$AO$6:$AO$95,$W30,1)</f>
      </c>
      <c r="N30" s="47">
        <f>INDEX(Matching_Engine!$AU$6:$AU$95,$W30,1)</f>
      </c>
      <c r="O30" s="48">
        <f>IF(KOL_Database!$AS$28="","—",KOL_Database!$AS$28)</f>
      </c>
      <c r="P30" s="44">
        <f>INDEX(Matching_Engine!$AQ$6:$AQ$95,$W30,1)</f>
      </c>
      <c r="Q30" s="44">
        <f>INDEX(Matching_Engine!$AX$6:$AX$95,$W30,1)</f>
      </c>
      <c r="R30" s="44">
        <f>INDEX(Matching_Engine!$AV$6:$AV$95,$W30,1)</f>
      </c>
      <c r="S30" s="59">
        <f>IF($R30="EXCLUDED",-1,$J30+$I30/1000+$K30/100000+$L30/10000000+$M30/1000000000)</f>
      </c>
      <c r="T30" s="44">
        <f>IF($R30="EXCLUDED","—",IF(Discovery_Ranking!$F$4="asc",COUNTIFS($U$7:$U$36,"&lt;"&amp;$U30,$R$7:$R$36,"PASS")+1,COUNTIFS($U$7:$U$36,"&gt;"&amp;$U30,$R$7:$R$36,"PASS")+1))</f>
      </c>
      <c r="U30" s="48">
        <f>INDEX($X30:$BA30,1,Discovery_Ranking!$K$4)</f>
      </c>
      <c r="V30" s="44">
        <f>KOL_Database!$A$28</f>
      </c>
      <c r="W30" s="44">
        <f>MATCH(Brand_Profile!$B$4&amp;"|"&amp;KOL_Database!$A$28,Matching_Engine!$AZ$6:$AZ$95,0)</f>
      </c>
      <c r="X30" s="60">
        <f>INDEX(Matching_Engine!$AP$6:$AP$95,$W30,1)</f>
      </c>
      <c r="Y30" s="60">
        <f>IF(KOL_Database!$L$28="",0,KOL_Database!$L$28)</f>
      </c>
      <c r="Z30" s="60">
        <f>IF(KOL_Database!$M$28="",0,KOL_Database!$M$28)</f>
      </c>
      <c r="AA30" s="60">
        <f>ROUND(INDEX(Matching_Engine!$AD$6:$AD$95,$W30,1)*0.6+INDEX(Matching_Engine!$AE$6:$AE$95,$W30,1)*0.4,1)</f>
      </c>
      <c r="AB30" s="60">
        <f>IF(KOL_Database!$T$28="",0,KOL_Database!$T$28)</f>
      </c>
      <c r="AC30" s="60">
        <f>IF(KOL_Database!$U$28="",0,KOL_Database!$U$28)</f>
      </c>
      <c r="AD30" s="60">
        <f>IF(KOL_Database!$P$28="",0,KOL_Database!$P$28)</f>
      </c>
      <c r="AE30" s="60">
        <f>IF(KOL_Database!$BC$28="",0,KOL_Database!$BC$28)</f>
      </c>
      <c r="AF30" s="60">
        <f>IF(KOL_Database!$V$28="",0,KOL_Database!$V$28)</f>
      </c>
      <c r="AG30" s="60">
        <f>IF(KOL_Database!$N$28="",0,KOL_Database!$N$28)</f>
      </c>
      <c r="AH30" s="60">
        <f>IF(KOL_Database!$O$28="",0,KOL_Database!$O$28)</f>
      </c>
      <c r="AI30" s="60">
        <f>ROUND(MIN(100,IF(KOL_Database!$N$28="",0,KOL_Database!$N$28)*8+IF(KOL_Database!$O$28="",0,KOL_Database!$O$28)*2+IF(KOL_Database!$K$28="",0,KOL_Database!$K$28)*3),1)</f>
      </c>
      <c r="AJ30" s="60">
        <f>IF(KOL_Database!$R$28="",0,KOL_Database!$R$28)</f>
      </c>
      <c r="AK30" s="60">
        <f>IF(KOL_Database!$S$28="",0,KOL_Database!$S$28)</f>
      </c>
      <c r="AL30" s="60">
        <f>INDEX(Matching_Engine!$S$6:$S$95,$W30,1)</f>
      </c>
      <c r="AM30" s="60">
        <f>IF(KOL_Database!$Q$28="",0,KOL_Database!$Q$28)</f>
      </c>
      <c r="AN30" s="60">
        <f>IF(KOL_Database!$AO$28="",999999999,KOL_Database!$AO$28)</f>
      </c>
      <c r="AO30" s="60">
        <f>IF(KOL_Database!$AP$28="",999999999,KOL_Database!$AP$28)</f>
      </c>
      <c r="AP30" s="60">
        <f>IF(KOL_Database!$AQ$28="",999999999,KOL_Database!$AQ$28)</f>
      </c>
      <c r="AQ30" s="60">
        <f>IF(KOL_Database!$BD$28="",0,KOL_Database!$BD$28)</f>
      </c>
      <c r="AR30" s="60">
        <f>IF(KOL_Database!$AS$28="",0,KOL_Database!$AS$28)</f>
      </c>
      <c r="AS30" s="60">
        <f>INDEX(Matching_Engine!$AT$6:$AT$95,$W30,1)</f>
      </c>
      <c r="AT30" s="60">
        <f>INDEX(Matching_Engine!$AU$6:$AU$95,$W30,1)</f>
      </c>
      <c r="AU30" s="60">
        <f>IF(KOL_Database!$AU$28="",0,KOL_Database!$AU$28)</f>
      </c>
      <c r="AV30" s="60">
        <f>INDEX(Matching_Engine!$X$6:$X$95,$W30,1)</f>
      </c>
      <c r="AW30" s="60">
        <f>IF(KOL_Database!$BA$28="",0,KOL_Database!$BA$28+0)</f>
      </c>
      <c r="AX30" s="60">
        <f>IF(KOL_Database!$BB$28="",0,KOL_Database!$BB$28+0)</f>
      </c>
      <c r="AY30" s="60">
        <f>ROUND(IF(KOL_Database!$V$28="",0,KOL_Database!$V$28)*0.6+MIN(100,IF(KOL_Database!$N$28="",0,KOL_Database!$N$28)*10)*0.4,1)</f>
      </c>
      <c r="AZ30" s="60">
        <f>ROUND(MIN(100,IF(KOL_Database!$K$28="",0,KOL_Database!$K$28)/8*100)*0.35+IF(KOL_Database!$R$28="",0,KOL_Database!$R$28)*0.25+(100-IF(KOL_Database!$AU$28="",0,KOL_Database!$AU$28))*0.25+(100-MIN(100,IF(KOL_Database!$J$28="",0,KOL_Database!$J$28)/5000))*0.15,1)</f>
      </c>
      <c r="BA30" s="60">
        <f>ROUND(INDEX(Matching_Engine!$AP$6:$AP$95,$W30,1)*IF(INDEX(Matching_Engine!$AS$6:$AS$95,$W30,1)="High",1,IF(INDEX(Matching_Engine!$AS$6:$AS$95,$W30,1)="Medium",0.92,0.8)),1)</f>
      </c>
    </row>
    <row r="31" spans="1:53" x14ac:dyDescent="0.25">
      <c r="A31" s="44">
        <f>IF($R31="EXCLUDED","—",COUNTIFS($S$7:$S$36,"&gt;"&amp;$S31,$R$7:$R$36,"PASS")+1)</f>
      </c>
      <c r="B31" s="44">
        <f>KOL_Database!$B$29</f>
      </c>
      <c r="C31" s="44">
        <f>KOL_Database!$C$29</f>
      </c>
      <c r="D31" s="44">
        <f>KOL_Database!$D$29</f>
      </c>
      <c r="E31" s="44">
        <f>KOL_Database!$E$29</f>
      </c>
      <c r="F31" s="44">
        <f>KOL_Database!$G$29</f>
      </c>
      <c r="G31" s="45">
        <f>KOL_Database!$J$29</f>
      </c>
      <c r="H31" s="46">
        <f>KOL_Database!$K$29</f>
      </c>
      <c r="I31" s="47">
        <f>INDEX(Matching_Engine!$S$6:$S$95,$W31,1)</f>
      </c>
      <c r="J31" s="49">
        <f>INDEX(Matching_Engine!$AP$6:$AP$95,$W31,1)</f>
      </c>
      <c r="K31" s="47">
        <f>INDEX(Matching_Engine!$X$6:$X$95,$W31,1)</f>
      </c>
      <c r="L31" s="47">
        <f>INDEX(Matching_Engine!$AJ$6:$AJ$95,$W31,1)</f>
      </c>
      <c r="M31" s="47">
        <f>INDEX(Matching_Engine!$AO$6:$AO$95,$W31,1)</f>
      </c>
      <c r="N31" s="47">
        <f>INDEX(Matching_Engine!$AU$6:$AU$95,$W31,1)</f>
      </c>
      <c r="O31" s="48">
        <f>IF(KOL_Database!$AS$29="","—",KOL_Database!$AS$29)</f>
      </c>
      <c r="P31" s="44">
        <f>INDEX(Matching_Engine!$AQ$6:$AQ$95,$W31,1)</f>
      </c>
      <c r="Q31" s="44">
        <f>INDEX(Matching_Engine!$AX$6:$AX$95,$W31,1)</f>
      </c>
      <c r="R31" s="44">
        <f>INDEX(Matching_Engine!$AV$6:$AV$95,$W31,1)</f>
      </c>
      <c r="S31" s="59">
        <f>IF($R31="EXCLUDED",-1,$J31+$I31/1000+$K31/100000+$L31/10000000+$M31/1000000000)</f>
      </c>
      <c r="T31" s="44">
        <f>IF($R31="EXCLUDED","—",IF(Discovery_Ranking!$F$4="asc",COUNTIFS($U$7:$U$36,"&lt;"&amp;$U31,$R$7:$R$36,"PASS")+1,COUNTIFS($U$7:$U$36,"&gt;"&amp;$U31,$R$7:$R$36,"PASS")+1))</f>
      </c>
      <c r="U31" s="48">
        <f>INDEX($X31:$BA31,1,Discovery_Ranking!$K$4)</f>
      </c>
      <c r="V31" s="44">
        <f>KOL_Database!$A$29</f>
      </c>
      <c r="W31" s="44">
        <f>MATCH(Brand_Profile!$B$4&amp;"|"&amp;KOL_Database!$A$29,Matching_Engine!$AZ$6:$AZ$95,0)</f>
      </c>
      <c r="X31" s="60">
        <f>INDEX(Matching_Engine!$AP$6:$AP$95,$W31,1)</f>
      </c>
      <c r="Y31" s="60">
        <f>IF(KOL_Database!$L$29="",0,KOL_Database!$L$29)</f>
      </c>
      <c r="Z31" s="60">
        <f>IF(KOL_Database!$M$29="",0,KOL_Database!$M$29)</f>
      </c>
      <c r="AA31" s="60">
        <f>ROUND(INDEX(Matching_Engine!$AD$6:$AD$95,$W31,1)*0.6+INDEX(Matching_Engine!$AE$6:$AE$95,$W31,1)*0.4,1)</f>
      </c>
      <c r="AB31" s="60">
        <f>IF(KOL_Database!$T$29="",0,KOL_Database!$T$29)</f>
      </c>
      <c r="AC31" s="60">
        <f>IF(KOL_Database!$U$29="",0,KOL_Database!$U$29)</f>
      </c>
      <c r="AD31" s="60">
        <f>IF(KOL_Database!$P$29="",0,KOL_Database!$P$29)</f>
      </c>
      <c r="AE31" s="60">
        <f>IF(KOL_Database!$BC$29="",0,KOL_Database!$BC$29)</f>
      </c>
      <c r="AF31" s="60">
        <f>IF(KOL_Database!$V$29="",0,KOL_Database!$V$29)</f>
      </c>
      <c r="AG31" s="60">
        <f>IF(KOL_Database!$N$29="",0,KOL_Database!$N$29)</f>
      </c>
      <c r="AH31" s="60">
        <f>IF(KOL_Database!$O$29="",0,KOL_Database!$O$29)</f>
      </c>
      <c r="AI31" s="60">
        <f>ROUND(MIN(100,IF(KOL_Database!$N$29="",0,KOL_Database!$N$29)*8+IF(KOL_Database!$O$29="",0,KOL_Database!$O$29)*2+IF(KOL_Database!$K$29="",0,KOL_Database!$K$29)*3),1)</f>
      </c>
      <c r="AJ31" s="60">
        <f>IF(KOL_Database!$R$29="",0,KOL_Database!$R$29)</f>
      </c>
      <c r="AK31" s="60">
        <f>IF(KOL_Database!$S$29="",0,KOL_Database!$S$29)</f>
      </c>
      <c r="AL31" s="60">
        <f>INDEX(Matching_Engine!$S$6:$S$95,$W31,1)</f>
      </c>
      <c r="AM31" s="60">
        <f>IF(KOL_Database!$Q$29="",0,KOL_Database!$Q$29)</f>
      </c>
      <c r="AN31" s="60">
        <f>IF(KOL_Database!$AO$29="",999999999,KOL_Database!$AO$29)</f>
      </c>
      <c r="AO31" s="60">
        <f>IF(KOL_Database!$AP$29="",999999999,KOL_Database!$AP$29)</f>
      </c>
      <c r="AP31" s="60">
        <f>IF(KOL_Database!$AQ$29="",999999999,KOL_Database!$AQ$29)</f>
      </c>
      <c r="AQ31" s="60">
        <f>IF(KOL_Database!$BD$29="",0,KOL_Database!$BD$29)</f>
      </c>
      <c r="AR31" s="60">
        <f>IF(KOL_Database!$AS$29="",0,KOL_Database!$AS$29)</f>
      </c>
      <c r="AS31" s="60">
        <f>INDEX(Matching_Engine!$AT$6:$AT$95,$W31,1)</f>
      </c>
      <c r="AT31" s="60">
        <f>INDEX(Matching_Engine!$AU$6:$AU$95,$W31,1)</f>
      </c>
      <c r="AU31" s="60">
        <f>IF(KOL_Database!$AU$29="",0,KOL_Database!$AU$29)</f>
      </c>
      <c r="AV31" s="60">
        <f>INDEX(Matching_Engine!$X$6:$X$95,$W31,1)</f>
      </c>
      <c r="AW31" s="60">
        <f>IF(KOL_Database!$BA$29="",0,KOL_Database!$BA$29+0)</f>
      </c>
      <c r="AX31" s="60">
        <f>IF(KOL_Database!$BB$29="",0,KOL_Database!$BB$29+0)</f>
      </c>
      <c r="AY31" s="60">
        <f>ROUND(IF(KOL_Database!$V$29="",0,KOL_Database!$V$29)*0.6+MIN(100,IF(KOL_Database!$N$29="",0,KOL_Database!$N$29)*10)*0.4,1)</f>
      </c>
      <c r="AZ31" s="60">
        <f>ROUND(MIN(100,IF(KOL_Database!$K$29="",0,KOL_Database!$K$29)/8*100)*0.35+IF(KOL_Database!$R$29="",0,KOL_Database!$R$29)*0.25+(100-IF(KOL_Database!$AU$29="",0,KOL_Database!$AU$29))*0.25+(100-MIN(100,IF(KOL_Database!$J$29="",0,KOL_Database!$J$29)/5000))*0.15,1)</f>
      </c>
      <c r="BA31" s="60">
        <f>ROUND(INDEX(Matching_Engine!$AP$6:$AP$95,$W31,1)*IF(INDEX(Matching_Engine!$AS$6:$AS$95,$W31,1)="High",1,IF(INDEX(Matching_Engine!$AS$6:$AS$95,$W31,1)="Medium",0.92,0.8)),1)</f>
      </c>
    </row>
    <row r="32" spans="1:53" x14ac:dyDescent="0.25">
      <c r="A32" s="44">
        <f>IF($R32="EXCLUDED","—",COUNTIFS($S$7:$S$36,"&gt;"&amp;$S32,$R$7:$R$36,"PASS")+1)</f>
      </c>
      <c r="B32" s="44">
        <f>KOL_Database!$B$30</f>
      </c>
      <c r="C32" s="44">
        <f>KOL_Database!$C$30</f>
      </c>
      <c r="D32" s="44">
        <f>KOL_Database!$D$30</f>
      </c>
      <c r="E32" s="44">
        <f>KOL_Database!$E$30</f>
      </c>
      <c r="F32" s="44">
        <f>KOL_Database!$G$30</f>
      </c>
      <c r="G32" s="45">
        <f>KOL_Database!$J$30</f>
      </c>
      <c r="H32" s="46">
        <f>KOL_Database!$K$30</f>
      </c>
      <c r="I32" s="47">
        <f>INDEX(Matching_Engine!$S$6:$S$95,$W32,1)</f>
      </c>
      <c r="J32" s="49">
        <f>INDEX(Matching_Engine!$AP$6:$AP$95,$W32,1)</f>
      </c>
      <c r="K32" s="47">
        <f>INDEX(Matching_Engine!$X$6:$X$95,$W32,1)</f>
      </c>
      <c r="L32" s="47">
        <f>INDEX(Matching_Engine!$AJ$6:$AJ$95,$W32,1)</f>
      </c>
      <c r="M32" s="47">
        <f>INDEX(Matching_Engine!$AO$6:$AO$95,$W32,1)</f>
      </c>
      <c r="N32" s="47">
        <f>INDEX(Matching_Engine!$AU$6:$AU$95,$W32,1)</f>
      </c>
      <c r="O32" s="48">
        <f>IF(KOL_Database!$AS$30="","—",KOL_Database!$AS$30)</f>
      </c>
      <c r="P32" s="44">
        <f>INDEX(Matching_Engine!$AQ$6:$AQ$95,$W32,1)</f>
      </c>
      <c r="Q32" s="44">
        <f>INDEX(Matching_Engine!$AX$6:$AX$95,$W32,1)</f>
      </c>
      <c r="R32" s="44">
        <f>INDEX(Matching_Engine!$AV$6:$AV$95,$W32,1)</f>
      </c>
      <c r="S32" s="59">
        <f>IF($R32="EXCLUDED",-1,$J32+$I32/1000+$K32/100000+$L32/10000000+$M32/1000000000)</f>
      </c>
      <c r="T32" s="44">
        <f>IF($R32="EXCLUDED","—",IF(Discovery_Ranking!$F$4="asc",COUNTIFS($U$7:$U$36,"&lt;"&amp;$U32,$R$7:$R$36,"PASS")+1,COUNTIFS($U$7:$U$36,"&gt;"&amp;$U32,$R$7:$R$36,"PASS")+1))</f>
      </c>
      <c r="U32" s="48">
        <f>INDEX($X32:$BA32,1,Discovery_Ranking!$K$4)</f>
      </c>
      <c r="V32" s="44">
        <f>KOL_Database!$A$30</f>
      </c>
      <c r="W32" s="44">
        <f>MATCH(Brand_Profile!$B$4&amp;"|"&amp;KOL_Database!$A$30,Matching_Engine!$AZ$6:$AZ$95,0)</f>
      </c>
      <c r="X32" s="60">
        <f>INDEX(Matching_Engine!$AP$6:$AP$95,$W32,1)</f>
      </c>
      <c r="Y32" s="60">
        <f>IF(KOL_Database!$L$30="",0,KOL_Database!$L$30)</f>
      </c>
      <c r="Z32" s="60">
        <f>IF(KOL_Database!$M$30="",0,KOL_Database!$M$30)</f>
      </c>
      <c r="AA32" s="60">
        <f>ROUND(INDEX(Matching_Engine!$AD$6:$AD$95,$W32,1)*0.6+INDEX(Matching_Engine!$AE$6:$AE$95,$W32,1)*0.4,1)</f>
      </c>
      <c r="AB32" s="60">
        <f>IF(KOL_Database!$T$30="",0,KOL_Database!$T$30)</f>
      </c>
      <c r="AC32" s="60">
        <f>IF(KOL_Database!$U$30="",0,KOL_Database!$U$30)</f>
      </c>
      <c r="AD32" s="60">
        <f>IF(KOL_Database!$P$30="",0,KOL_Database!$P$30)</f>
      </c>
      <c r="AE32" s="60">
        <f>IF(KOL_Database!$BC$30="",0,KOL_Database!$BC$30)</f>
      </c>
      <c r="AF32" s="60">
        <f>IF(KOL_Database!$V$30="",0,KOL_Database!$V$30)</f>
      </c>
      <c r="AG32" s="60">
        <f>IF(KOL_Database!$N$30="",0,KOL_Database!$N$30)</f>
      </c>
      <c r="AH32" s="60">
        <f>IF(KOL_Database!$O$30="",0,KOL_Database!$O$30)</f>
      </c>
      <c r="AI32" s="60">
        <f>ROUND(MIN(100,IF(KOL_Database!$N$30="",0,KOL_Database!$N$30)*8+IF(KOL_Database!$O$30="",0,KOL_Database!$O$30)*2+IF(KOL_Database!$K$30="",0,KOL_Database!$K$30)*3),1)</f>
      </c>
      <c r="AJ32" s="60">
        <f>IF(KOL_Database!$R$30="",0,KOL_Database!$R$30)</f>
      </c>
      <c r="AK32" s="60">
        <f>IF(KOL_Database!$S$30="",0,KOL_Database!$S$30)</f>
      </c>
      <c r="AL32" s="60">
        <f>INDEX(Matching_Engine!$S$6:$S$95,$W32,1)</f>
      </c>
      <c r="AM32" s="60">
        <f>IF(KOL_Database!$Q$30="",0,KOL_Database!$Q$30)</f>
      </c>
      <c r="AN32" s="60">
        <f>IF(KOL_Database!$AO$30="",999999999,KOL_Database!$AO$30)</f>
      </c>
      <c r="AO32" s="60">
        <f>IF(KOL_Database!$AP$30="",999999999,KOL_Database!$AP$30)</f>
      </c>
      <c r="AP32" s="60">
        <f>IF(KOL_Database!$AQ$30="",999999999,KOL_Database!$AQ$30)</f>
      </c>
      <c r="AQ32" s="60">
        <f>IF(KOL_Database!$BD$30="",0,KOL_Database!$BD$30)</f>
      </c>
      <c r="AR32" s="60">
        <f>IF(KOL_Database!$AS$30="",0,KOL_Database!$AS$30)</f>
      </c>
      <c r="AS32" s="60">
        <f>INDEX(Matching_Engine!$AT$6:$AT$95,$W32,1)</f>
      </c>
      <c r="AT32" s="60">
        <f>INDEX(Matching_Engine!$AU$6:$AU$95,$W32,1)</f>
      </c>
      <c r="AU32" s="60">
        <f>IF(KOL_Database!$AU$30="",0,KOL_Database!$AU$30)</f>
      </c>
      <c r="AV32" s="60">
        <f>INDEX(Matching_Engine!$X$6:$X$95,$W32,1)</f>
      </c>
      <c r="AW32" s="60">
        <f>IF(KOL_Database!$BA$30="",0,KOL_Database!$BA$30+0)</f>
      </c>
      <c r="AX32" s="60">
        <f>IF(KOL_Database!$BB$30="",0,KOL_Database!$BB$30+0)</f>
      </c>
      <c r="AY32" s="60">
        <f>ROUND(IF(KOL_Database!$V$30="",0,KOL_Database!$V$30)*0.6+MIN(100,IF(KOL_Database!$N$30="",0,KOL_Database!$N$30)*10)*0.4,1)</f>
      </c>
      <c r="AZ32" s="60">
        <f>ROUND(MIN(100,IF(KOL_Database!$K$30="",0,KOL_Database!$K$30)/8*100)*0.35+IF(KOL_Database!$R$30="",0,KOL_Database!$R$30)*0.25+(100-IF(KOL_Database!$AU$30="",0,KOL_Database!$AU$30))*0.25+(100-MIN(100,IF(KOL_Database!$J$30="",0,KOL_Database!$J$30)/5000))*0.15,1)</f>
      </c>
      <c r="BA32" s="60">
        <f>ROUND(INDEX(Matching_Engine!$AP$6:$AP$95,$W32,1)*IF(INDEX(Matching_Engine!$AS$6:$AS$95,$W32,1)="High",1,IF(INDEX(Matching_Engine!$AS$6:$AS$95,$W32,1)="Medium",0.92,0.8)),1)</f>
      </c>
    </row>
    <row r="33" spans="1:53" x14ac:dyDescent="0.25">
      <c r="A33" s="44">
        <f>IF($R33="EXCLUDED","—",COUNTIFS($S$7:$S$36,"&gt;"&amp;$S33,$R$7:$R$36,"PASS")+1)</f>
      </c>
      <c r="B33" s="44">
        <f>KOL_Database!$B$31</f>
      </c>
      <c r="C33" s="44">
        <f>KOL_Database!$C$31</f>
      </c>
      <c r="D33" s="44">
        <f>KOL_Database!$D$31</f>
      </c>
      <c r="E33" s="44">
        <f>KOL_Database!$E$31</f>
      </c>
      <c r="F33" s="44">
        <f>KOL_Database!$G$31</f>
      </c>
      <c r="G33" s="45">
        <f>KOL_Database!$J$31</f>
      </c>
      <c r="H33" s="46">
        <f>KOL_Database!$K$31</f>
      </c>
      <c r="I33" s="47">
        <f>INDEX(Matching_Engine!$S$6:$S$95,$W33,1)</f>
      </c>
      <c r="J33" s="49">
        <f>INDEX(Matching_Engine!$AP$6:$AP$95,$W33,1)</f>
      </c>
      <c r="K33" s="47">
        <f>INDEX(Matching_Engine!$X$6:$X$95,$W33,1)</f>
      </c>
      <c r="L33" s="47">
        <f>INDEX(Matching_Engine!$AJ$6:$AJ$95,$W33,1)</f>
      </c>
      <c r="M33" s="47">
        <f>INDEX(Matching_Engine!$AO$6:$AO$95,$W33,1)</f>
      </c>
      <c r="N33" s="47">
        <f>INDEX(Matching_Engine!$AU$6:$AU$95,$W33,1)</f>
      </c>
      <c r="O33" s="48">
        <f>IF(KOL_Database!$AS$31="","—",KOL_Database!$AS$31)</f>
      </c>
      <c r="P33" s="44">
        <f>INDEX(Matching_Engine!$AQ$6:$AQ$95,$W33,1)</f>
      </c>
      <c r="Q33" s="44">
        <f>INDEX(Matching_Engine!$AX$6:$AX$95,$W33,1)</f>
      </c>
      <c r="R33" s="44">
        <f>INDEX(Matching_Engine!$AV$6:$AV$95,$W33,1)</f>
      </c>
      <c r="S33" s="59">
        <f>IF($R33="EXCLUDED",-1,$J33+$I33/1000+$K33/100000+$L33/10000000+$M33/1000000000)</f>
      </c>
      <c r="T33" s="44">
        <f>IF($R33="EXCLUDED","—",IF(Discovery_Ranking!$F$4="asc",COUNTIFS($U$7:$U$36,"&lt;"&amp;$U33,$R$7:$R$36,"PASS")+1,COUNTIFS($U$7:$U$36,"&gt;"&amp;$U33,$R$7:$R$36,"PASS")+1))</f>
      </c>
      <c r="U33" s="48">
        <f>INDEX($X33:$BA33,1,Discovery_Ranking!$K$4)</f>
      </c>
      <c r="V33" s="44">
        <f>KOL_Database!$A$31</f>
      </c>
      <c r="W33" s="44">
        <f>MATCH(Brand_Profile!$B$4&amp;"|"&amp;KOL_Database!$A$31,Matching_Engine!$AZ$6:$AZ$95,0)</f>
      </c>
      <c r="X33" s="60">
        <f>INDEX(Matching_Engine!$AP$6:$AP$95,$W33,1)</f>
      </c>
      <c r="Y33" s="60">
        <f>IF(KOL_Database!$L$31="",0,KOL_Database!$L$31)</f>
      </c>
      <c r="Z33" s="60">
        <f>IF(KOL_Database!$M$31="",0,KOL_Database!$M$31)</f>
      </c>
      <c r="AA33" s="60">
        <f>ROUND(INDEX(Matching_Engine!$AD$6:$AD$95,$W33,1)*0.6+INDEX(Matching_Engine!$AE$6:$AE$95,$W33,1)*0.4,1)</f>
      </c>
      <c r="AB33" s="60">
        <f>IF(KOL_Database!$T$31="",0,KOL_Database!$T$31)</f>
      </c>
      <c r="AC33" s="60">
        <f>IF(KOL_Database!$U$31="",0,KOL_Database!$U$31)</f>
      </c>
      <c r="AD33" s="60">
        <f>IF(KOL_Database!$P$31="",0,KOL_Database!$P$31)</f>
      </c>
      <c r="AE33" s="60">
        <f>IF(KOL_Database!$BC$31="",0,KOL_Database!$BC$31)</f>
      </c>
      <c r="AF33" s="60">
        <f>IF(KOL_Database!$V$31="",0,KOL_Database!$V$31)</f>
      </c>
      <c r="AG33" s="60">
        <f>IF(KOL_Database!$N$31="",0,KOL_Database!$N$31)</f>
      </c>
      <c r="AH33" s="60">
        <f>IF(KOL_Database!$O$31="",0,KOL_Database!$O$31)</f>
      </c>
      <c r="AI33" s="60">
        <f>ROUND(MIN(100,IF(KOL_Database!$N$31="",0,KOL_Database!$N$31)*8+IF(KOL_Database!$O$31="",0,KOL_Database!$O$31)*2+IF(KOL_Database!$K$31="",0,KOL_Database!$K$31)*3),1)</f>
      </c>
      <c r="AJ33" s="60">
        <f>IF(KOL_Database!$R$31="",0,KOL_Database!$R$31)</f>
      </c>
      <c r="AK33" s="60">
        <f>IF(KOL_Database!$S$31="",0,KOL_Database!$S$31)</f>
      </c>
      <c r="AL33" s="60">
        <f>INDEX(Matching_Engine!$S$6:$S$95,$W33,1)</f>
      </c>
      <c r="AM33" s="60">
        <f>IF(KOL_Database!$Q$31="",0,KOL_Database!$Q$31)</f>
      </c>
      <c r="AN33" s="60">
        <f>IF(KOL_Database!$AO$31="",999999999,KOL_Database!$AO$31)</f>
      </c>
      <c r="AO33" s="60">
        <f>IF(KOL_Database!$AP$31="",999999999,KOL_Database!$AP$31)</f>
      </c>
      <c r="AP33" s="60">
        <f>IF(KOL_Database!$AQ$31="",999999999,KOL_Database!$AQ$31)</f>
      </c>
      <c r="AQ33" s="60">
        <f>IF(KOL_Database!$BD$31="",0,KOL_Database!$BD$31)</f>
      </c>
      <c r="AR33" s="60">
        <f>IF(KOL_Database!$AS$31="",0,KOL_Database!$AS$31)</f>
      </c>
      <c r="AS33" s="60">
        <f>INDEX(Matching_Engine!$AT$6:$AT$95,$W33,1)</f>
      </c>
      <c r="AT33" s="60">
        <f>INDEX(Matching_Engine!$AU$6:$AU$95,$W33,1)</f>
      </c>
      <c r="AU33" s="60">
        <f>IF(KOL_Database!$AU$31="",0,KOL_Database!$AU$31)</f>
      </c>
      <c r="AV33" s="60">
        <f>INDEX(Matching_Engine!$X$6:$X$95,$W33,1)</f>
      </c>
      <c r="AW33" s="60">
        <f>IF(KOL_Database!$BA$31="",0,KOL_Database!$BA$31+0)</f>
      </c>
      <c r="AX33" s="60">
        <f>IF(KOL_Database!$BB$31="",0,KOL_Database!$BB$31+0)</f>
      </c>
      <c r="AY33" s="60">
        <f>ROUND(IF(KOL_Database!$V$31="",0,KOL_Database!$V$31)*0.6+MIN(100,IF(KOL_Database!$N$31="",0,KOL_Database!$N$31)*10)*0.4,1)</f>
      </c>
      <c r="AZ33" s="60">
        <f>ROUND(MIN(100,IF(KOL_Database!$K$31="",0,KOL_Database!$K$31)/8*100)*0.35+IF(KOL_Database!$R$31="",0,KOL_Database!$R$31)*0.25+(100-IF(KOL_Database!$AU$31="",0,KOL_Database!$AU$31))*0.25+(100-MIN(100,IF(KOL_Database!$J$31="",0,KOL_Database!$J$31)/5000))*0.15,1)</f>
      </c>
      <c r="BA33" s="60">
        <f>ROUND(INDEX(Matching_Engine!$AP$6:$AP$95,$W33,1)*IF(INDEX(Matching_Engine!$AS$6:$AS$95,$W33,1)="High",1,IF(INDEX(Matching_Engine!$AS$6:$AS$95,$W33,1)="Medium",0.92,0.8)),1)</f>
      </c>
    </row>
    <row r="34" spans="1:53" x14ac:dyDescent="0.25">
      <c r="A34" s="44">
        <f>IF($R34="EXCLUDED","—",COUNTIFS($S$7:$S$36,"&gt;"&amp;$S34,$R$7:$R$36,"PASS")+1)</f>
      </c>
      <c r="B34" s="44">
        <f>KOL_Database!$B$32</f>
      </c>
      <c r="C34" s="44">
        <f>KOL_Database!$C$32</f>
      </c>
      <c r="D34" s="44">
        <f>KOL_Database!$D$32</f>
      </c>
      <c r="E34" s="44">
        <f>KOL_Database!$E$32</f>
      </c>
      <c r="F34" s="44">
        <f>KOL_Database!$G$32</f>
      </c>
      <c r="G34" s="45">
        <f>KOL_Database!$J$32</f>
      </c>
      <c r="H34" s="46">
        <f>KOL_Database!$K$32</f>
      </c>
      <c r="I34" s="47">
        <f>INDEX(Matching_Engine!$S$6:$S$95,$W34,1)</f>
      </c>
      <c r="J34" s="49">
        <f>INDEX(Matching_Engine!$AP$6:$AP$95,$W34,1)</f>
      </c>
      <c r="K34" s="47">
        <f>INDEX(Matching_Engine!$X$6:$X$95,$W34,1)</f>
      </c>
      <c r="L34" s="47">
        <f>INDEX(Matching_Engine!$AJ$6:$AJ$95,$W34,1)</f>
      </c>
      <c r="M34" s="47">
        <f>INDEX(Matching_Engine!$AO$6:$AO$95,$W34,1)</f>
      </c>
      <c r="N34" s="47">
        <f>INDEX(Matching_Engine!$AU$6:$AU$95,$W34,1)</f>
      </c>
      <c r="O34" s="48">
        <f>IF(KOL_Database!$AS$32="","—",KOL_Database!$AS$32)</f>
      </c>
      <c r="P34" s="44">
        <f>INDEX(Matching_Engine!$AQ$6:$AQ$95,$W34,1)</f>
      </c>
      <c r="Q34" s="44">
        <f>INDEX(Matching_Engine!$AX$6:$AX$95,$W34,1)</f>
      </c>
      <c r="R34" s="44">
        <f>INDEX(Matching_Engine!$AV$6:$AV$95,$W34,1)</f>
      </c>
      <c r="S34" s="59">
        <f>IF($R34="EXCLUDED",-1,$J34+$I34/1000+$K34/100000+$L34/10000000+$M34/1000000000)</f>
      </c>
      <c r="T34" s="44">
        <f>IF($R34="EXCLUDED","—",IF(Discovery_Ranking!$F$4="asc",COUNTIFS($U$7:$U$36,"&lt;"&amp;$U34,$R$7:$R$36,"PASS")+1,COUNTIFS($U$7:$U$36,"&gt;"&amp;$U34,$R$7:$R$36,"PASS")+1))</f>
      </c>
      <c r="U34" s="48">
        <f>INDEX($X34:$BA34,1,Discovery_Ranking!$K$4)</f>
      </c>
      <c r="V34" s="44">
        <f>KOL_Database!$A$32</f>
      </c>
      <c r="W34" s="44">
        <f>MATCH(Brand_Profile!$B$4&amp;"|"&amp;KOL_Database!$A$32,Matching_Engine!$AZ$6:$AZ$95,0)</f>
      </c>
      <c r="X34" s="60">
        <f>INDEX(Matching_Engine!$AP$6:$AP$95,$W34,1)</f>
      </c>
      <c r="Y34" s="60">
        <f>IF(KOL_Database!$L$32="",0,KOL_Database!$L$32)</f>
      </c>
      <c r="Z34" s="60">
        <f>IF(KOL_Database!$M$32="",0,KOL_Database!$M$32)</f>
      </c>
      <c r="AA34" s="60">
        <f>ROUND(INDEX(Matching_Engine!$AD$6:$AD$95,$W34,1)*0.6+INDEX(Matching_Engine!$AE$6:$AE$95,$W34,1)*0.4,1)</f>
      </c>
      <c r="AB34" s="60">
        <f>IF(KOL_Database!$T$32="",0,KOL_Database!$T$32)</f>
      </c>
      <c r="AC34" s="60">
        <f>IF(KOL_Database!$U$32="",0,KOL_Database!$U$32)</f>
      </c>
      <c r="AD34" s="60">
        <f>IF(KOL_Database!$P$32="",0,KOL_Database!$P$32)</f>
      </c>
      <c r="AE34" s="60">
        <f>IF(KOL_Database!$BC$32="",0,KOL_Database!$BC$32)</f>
      </c>
      <c r="AF34" s="60">
        <f>IF(KOL_Database!$V$32="",0,KOL_Database!$V$32)</f>
      </c>
      <c r="AG34" s="60">
        <f>IF(KOL_Database!$N$32="",0,KOL_Database!$N$32)</f>
      </c>
      <c r="AH34" s="60">
        <f>IF(KOL_Database!$O$32="",0,KOL_Database!$O$32)</f>
      </c>
      <c r="AI34" s="60">
        <f>ROUND(MIN(100,IF(KOL_Database!$N$32="",0,KOL_Database!$N$32)*8+IF(KOL_Database!$O$32="",0,KOL_Database!$O$32)*2+IF(KOL_Database!$K$32="",0,KOL_Database!$K$32)*3),1)</f>
      </c>
      <c r="AJ34" s="60">
        <f>IF(KOL_Database!$R$32="",0,KOL_Database!$R$32)</f>
      </c>
      <c r="AK34" s="60">
        <f>IF(KOL_Database!$S$32="",0,KOL_Database!$S$32)</f>
      </c>
      <c r="AL34" s="60">
        <f>INDEX(Matching_Engine!$S$6:$S$95,$W34,1)</f>
      </c>
      <c r="AM34" s="60">
        <f>IF(KOL_Database!$Q$32="",0,KOL_Database!$Q$32)</f>
      </c>
      <c r="AN34" s="60">
        <f>IF(KOL_Database!$AO$32="",999999999,KOL_Database!$AO$32)</f>
      </c>
      <c r="AO34" s="60">
        <f>IF(KOL_Database!$AP$32="",999999999,KOL_Database!$AP$32)</f>
      </c>
      <c r="AP34" s="60">
        <f>IF(KOL_Database!$AQ$32="",999999999,KOL_Database!$AQ$32)</f>
      </c>
      <c r="AQ34" s="60">
        <f>IF(KOL_Database!$BD$32="",0,KOL_Database!$BD$32)</f>
      </c>
      <c r="AR34" s="60">
        <f>IF(KOL_Database!$AS$32="",0,KOL_Database!$AS$32)</f>
      </c>
      <c r="AS34" s="60">
        <f>INDEX(Matching_Engine!$AT$6:$AT$95,$W34,1)</f>
      </c>
      <c r="AT34" s="60">
        <f>INDEX(Matching_Engine!$AU$6:$AU$95,$W34,1)</f>
      </c>
      <c r="AU34" s="60">
        <f>IF(KOL_Database!$AU$32="",0,KOL_Database!$AU$32)</f>
      </c>
      <c r="AV34" s="60">
        <f>INDEX(Matching_Engine!$X$6:$X$95,$W34,1)</f>
      </c>
      <c r="AW34" s="60">
        <f>IF(KOL_Database!$BA$32="",0,KOL_Database!$BA$32+0)</f>
      </c>
      <c r="AX34" s="60">
        <f>IF(KOL_Database!$BB$32="",0,KOL_Database!$BB$32+0)</f>
      </c>
      <c r="AY34" s="60">
        <f>ROUND(IF(KOL_Database!$V$32="",0,KOL_Database!$V$32)*0.6+MIN(100,IF(KOL_Database!$N$32="",0,KOL_Database!$N$32)*10)*0.4,1)</f>
      </c>
      <c r="AZ34" s="60">
        <f>ROUND(MIN(100,IF(KOL_Database!$K$32="",0,KOL_Database!$K$32)/8*100)*0.35+IF(KOL_Database!$R$32="",0,KOL_Database!$R$32)*0.25+(100-IF(KOL_Database!$AU$32="",0,KOL_Database!$AU$32))*0.25+(100-MIN(100,IF(KOL_Database!$J$32="",0,KOL_Database!$J$32)/5000))*0.15,1)</f>
      </c>
      <c r="BA34" s="60">
        <f>ROUND(INDEX(Matching_Engine!$AP$6:$AP$95,$W34,1)*IF(INDEX(Matching_Engine!$AS$6:$AS$95,$W34,1)="High",1,IF(INDEX(Matching_Engine!$AS$6:$AS$95,$W34,1)="Medium",0.92,0.8)),1)</f>
      </c>
    </row>
    <row r="35" spans="1:53" x14ac:dyDescent="0.25">
      <c r="A35" s="44">
        <f>IF($R35="EXCLUDED","—",COUNTIFS($S$7:$S$36,"&gt;"&amp;$S35,$R$7:$R$36,"PASS")+1)</f>
      </c>
      <c r="B35" s="44">
        <f>KOL_Database!$B$33</f>
      </c>
      <c r="C35" s="44">
        <f>KOL_Database!$C$33</f>
      </c>
      <c r="D35" s="44">
        <f>KOL_Database!$D$33</f>
      </c>
      <c r="E35" s="44">
        <f>KOL_Database!$E$33</f>
      </c>
      <c r="F35" s="44">
        <f>KOL_Database!$G$33</f>
      </c>
      <c r="G35" s="45">
        <f>KOL_Database!$J$33</f>
      </c>
      <c r="H35" s="46">
        <f>KOL_Database!$K$33</f>
      </c>
      <c r="I35" s="47">
        <f>INDEX(Matching_Engine!$S$6:$S$95,$W35,1)</f>
      </c>
      <c r="J35" s="49">
        <f>INDEX(Matching_Engine!$AP$6:$AP$95,$W35,1)</f>
      </c>
      <c r="K35" s="47">
        <f>INDEX(Matching_Engine!$X$6:$X$95,$W35,1)</f>
      </c>
      <c r="L35" s="47">
        <f>INDEX(Matching_Engine!$AJ$6:$AJ$95,$W35,1)</f>
      </c>
      <c r="M35" s="47">
        <f>INDEX(Matching_Engine!$AO$6:$AO$95,$W35,1)</f>
      </c>
      <c r="N35" s="47">
        <f>INDEX(Matching_Engine!$AU$6:$AU$95,$W35,1)</f>
      </c>
      <c r="O35" s="48">
        <f>IF(KOL_Database!$AS$33="","—",KOL_Database!$AS$33)</f>
      </c>
      <c r="P35" s="44">
        <f>INDEX(Matching_Engine!$AQ$6:$AQ$95,$W35,1)</f>
      </c>
      <c r="Q35" s="44">
        <f>INDEX(Matching_Engine!$AX$6:$AX$95,$W35,1)</f>
      </c>
      <c r="R35" s="44">
        <f>INDEX(Matching_Engine!$AV$6:$AV$95,$W35,1)</f>
      </c>
      <c r="S35" s="59">
        <f>IF($R35="EXCLUDED",-1,$J35+$I35/1000+$K35/100000+$L35/10000000+$M35/1000000000)</f>
      </c>
      <c r="T35" s="44">
        <f>IF($R35="EXCLUDED","—",IF(Discovery_Ranking!$F$4="asc",COUNTIFS($U$7:$U$36,"&lt;"&amp;$U35,$R$7:$R$36,"PASS")+1,COUNTIFS($U$7:$U$36,"&gt;"&amp;$U35,$R$7:$R$36,"PASS")+1))</f>
      </c>
      <c r="U35" s="48">
        <f>INDEX($X35:$BA35,1,Discovery_Ranking!$K$4)</f>
      </c>
      <c r="V35" s="44">
        <f>KOL_Database!$A$33</f>
      </c>
      <c r="W35" s="44">
        <f>MATCH(Brand_Profile!$B$4&amp;"|"&amp;KOL_Database!$A$33,Matching_Engine!$AZ$6:$AZ$95,0)</f>
      </c>
      <c r="X35" s="60">
        <f>INDEX(Matching_Engine!$AP$6:$AP$95,$W35,1)</f>
      </c>
      <c r="Y35" s="60">
        <f>IF(KOL_Database!$L$33="",0,KOL_Database!$L$33)</f>
      </c>
      <c r="Z35" s="60">
        <f>IF(KOL_Database!$M$33="",0,KOL_Database!$M$33)</f>
      </c>
      <c r="AA35" s="60">
        <f>ROUND(INDEX(Matching_Engine!$AD$6:$AD$95,$W35,1)*0.6+INDEX(Matching_Engine!$AE$6:$AE$95,$W35,1)*0.4,1)</f>
      </c>
      <c r="AB35" s="60">
        <f>IF(KOL_Database!$T$33="",0,KOL_Database!$T$33)</f>
      </c>
      <c r="AC35" s="60">
        <f>IF(KOL_Database!$U$33="",0,KOL_Database!$U$33)</f>
      </c>
      <c r="AD35" s="60">
        <f>IF(KOL_Database!$P$33="",0,KOL_Database!$P$33)</f>
      </c>
      <c r="AE35" s="60">
        <f>IF(KOL_Database!$BC$33="",0,KOL_Database!$BC$33)</f>
      </c>
      <c r="AF35" s="60">
        <f>IF(KOL_Database!$V$33="",0,KOL_Database!$V$33)</f>
      </c>
      <c r="AG35" s="60">
        <f>IF(KOL_Database!$N$33="",0,KOL_Database!$N$33)</f>
      </c>
      <c r="AH35" s="60">
        <f>IF(KOL_Database!$O$33="",0,KOL_Database!$O$33)</f>
      </c>
      <c r="AI35" s="60">
        <f>ROUND(MIN(100,IF(KOL_Database!$N$33="",0,KOL_Database!$N$33)*8+IF(KOL_Database!$O$33="",0,KOL_Database!$O$33)*2+IF(KOL_Database!$K$33="",0,KOL_Database!$K$33)*3),1)</f>
      </c>
      <c r="AJ35" s="60">
        <f>IF(KOL_Database!$R$33="",0,KOL_Database!$R$33)</f>
      </c>
      <c r="AK35" s="60">
        <f>IF(KOL_Database!$S$33="",0,KOL_Database!$S$33)</f>
      </c>
      <c r="AL35" s="60">
        <f>INDEX(Matching_Engine!$S$6:$S$95,$W35,1)</f>
      </c>
      <c r="AM35" s="60">
        <f>IF(KOL_Database!$Q$33="",0,KOL_Database!$Q$33)</f>
      </c>
      <c r="AN35" s="60">
        <f>IF(KOL_Database!$AO$33="",999999999,KOL_Database!$AO$33)</f>
      </c>
      <c r="AO35" s="60">
        <f>IF(KOL_Database!$AP$33="",999999999,KOL_Database!$AP$33)</f>
      </c>
      <c r="AP35" s="60">
        <f>IF(KOL_Database!$AQ$33="",999999999,KOL_Database!$AQ$33)</f>
      </c>
      <c r="AQ35" s="60">
        <f>IF(KOL_Database!$BD$33="",0,KOL_Database!$BD$33)</f>
      </c>
      <c r="AR35" s="60">
        <f>IF(KOL_Database!$AS$33="",0,KOL_Database!$AS$33)</f>
      </c>
      <c r="AS35" s="60">
        <f>INDEX(Matching_Engine!$AT$6:$AT$95,$W35,1)</f>
      </c>
      <c r="AT35" s="60">
        <f>INDEX(Matching_Engine!$AU$6:$AU$95,$W35,1)</f>
      </c>
      <c r="AU35" s="60">
        <f>IF(KOL_Database!$AU$33="",0,KOL_Database!$AU$33)</f>
      </c>
      <c r="AV35" s="60">
        <f>INDEX(Matching_Engine!$X$6:$X$95,$W35,1)</f>
      </c>
      <c r="AW35" s="60">
        <f>IF(KOL_Database!$BA$33="",0,KOL_Database!$BA$33+0)</f>
      </c>
      <c r="AX35" s="60">
        <f>IF(KOL_Database!$BB$33="",0,KOL_Database!$BB$33+0)</f>
      </c>
      <c r="AY35" s="60">
        <f>ROUND(IF(KOL_Database!$V$33="",0,KOL_Database!$V$33)*0.6+MIN(100,IF(KOL_Database!$N$33="",0,KOL_Database!$N$33)*10)*0.4,1)</f>
      </c>
      <c r="AZ35" s="60">
        <f>ROUND(MIN(100,IF(KOL_Database!$K$33="",0,KOL_Database!$K$33)/8*100)*0.35+IF(KOL_Database!$R$33="",0,KOL_Database!$R$33)*0.25+(100-IF(KOL_Database!$AU$33="",0,KOL_Database!$AU$33))*0.25+(100-MIN(100,IF(KOL_Database!$J$33="",0,KOL_Database!$J$33)/5000))*0.15,1)</f>
      </c>
      <c r="BA35" s="60">
        <f>ROUND(INDEX(Matching_Engine!$AP$6:$AP$95,$W35,1)*IF(INDEX(Matching_Engine!$AS$6:$AS$95,$W35,1)="High",1,IF(INDEX(Matching_Engine!$AS$6:$AS$95,$W35,1)="Medium",0.92,0.8)),1)</f>
      </c>
    </row>
    <row r="36" spans="1:53" x14ac:dyDescent="0.25">
      <c r="A36" s="44">
        <f>IF($R36="EXCLUDED","—",COUNTIFS($S$7:$S$36,"&gt;"&amp;$S36,$R$7:$R$36,"PASS")+1)</f>
      </c>
      <c r="B36" s="44">
        <f>KOL_Database!$B$34</f>
      </c>
      <c r="C36" s="44">
        <f>KOL_Database!$C$34</f>
      </c>
      <c r="D36" s="44">
        <f>KOL_Database!$D$34</f>
      </c>
      <c r="E36" s="44">
        <f>KOL_Database!$E$34</f>
      </c>
      <c r="F36" s="44">
        <f>KOL_Database!$G$34</f>
      </c>
      <c r="G36" s="45">
        <f>KOL_Database!$J$34</f>
      </c>
      <c r="H36" s="46">
        <f>KOL_Database!$K$34</f>
      </c>
      <c r="I36" s="47">
        <f>INDEX(Matching_Engine!$S$6:$S$95,$W36,1)</f>
      </c>
      <c r="J36" s="49">
        <f>INDEX(Matching_Engine!$AP$6:$AP$95,$W36,1)</f>
      </c>
      <c r="K36" s="47">
        <f>INDEX(Matching_Engine!$X$6:$X$95,$W36,1)</f>
      </c>
      <c r="L36" s="47">
        <f>INDEX(Matching_Engine!$AJ$6:$AJ$95,$W36,1)</f>
      </c>
      <c r="M36" s="47">
        <f>INDEX(Matching_Engine!$AO$6:$AO$95,$W36,1)</f>
      </c>
      <c r="N36" s="47">
        <f>INDEX(Matching_Engine!$AU$6:$AU$95,$W36,1)</f>
      </c>
      <c r="O36" s="48">
        <f>IF(KOL_Database!$AS$34="","—",KOL_Database!$AS$34)</f>
      </c>
      <c r="P36" s="44">
        <f>INDEX(Matching_Engine!$AQ$6:$AQ$95,$W36,1)</f>
      </c>
      <c r="Q36" s="44">
        <f>INDEX(Matching_Engine!$AX$6:$AX$95,$W36,1)</f>
      </c>
      <c r="R36" s="44">
        <f>INDEX(Matching_Engine!$AV$6:$AV$95,$W36,1)</f>
      </c>
      <c r="S36" s="59">
        <f>IF($R36="EXCLUDED",-1,$J36+$I36/1000+$K36/100000+$L36/10000000+$M36/1000000000)</f>
      </c>
      <c r="T36" s="44">
        <f>IF($R36="EXCLUDED","—",IF(Discovery_Ranking!$F$4="asc",COUNTIFS($U$7:$U$36,"&lt;"&amp;$U36,$R$7:$R$36,"PASS")+1,COUNTIFS($U$7:$U$36,"&gt;"&amp;$U36,$R$7:$R$36,"PASS")+1))</f>
      </c>
      <c r="U36" s="48">
        <f>INDEX($X36:$BA36,1,Discovery_Ranking!$K$4)</f>
      </c>
      <c r="V36" s="44">
        <f>KOL_Database!$A$34</f>
      </c>
      <c r="W36" s="44">
        <f>MATCH(Brand_Profile!$B$4&amp;"|"&amp;KOL_Database!$A$34,Matching_Engine!$AZ$6:$AZ$95,0)</f>
      </c>
      <c r="X36" s="60">
        <f>INDEX(Matching_Engine!$AP$6:$AP$95,$W36,1)</f>
      </c>
      <c r="Y36" s="60">
        <f>IF(KOL_Database!$L$34="",0,KOL_Database!$L$34)</f>
      </c>
      <c r="Z36" s="60">
        <f>IF(KOL_Database!$M$34="",0,KOL_Database!$M$34)</f>
      </c>
      <c r="AA36" s="60">
        <f>ROUND(INDEX(Matching_Engine!$AD$6:$AD$95,$W36,1)*0.6+INDEX(Matching_Engine!$AE$6:$AE$95,$W36,1)*0.4,1)</f>
      </c>
      <c r="AB36" s="60">
        <f>IF(KOL_Database!$T$34="",0,KOL_Database!$T$34)</f>
      </c>
      <c r="AC36" s="60">
        <f>IF(KOL_Database!$U$34="",0,KOL_Database!$U$34)</f>
      </c>
      <c r="AD36" s="60">
        <f>IF(KOL_Database!$P$34="",0,KOL_Database!$P$34)</f>
      </c>
      <c r="AE36" s="60">
        <f>IF(KOL_Database!$BC$34="",0,KOL_Database!$BC$34)</f>
      </c>
      <c r="AF36" s="60">
        <f>IF(KOL_Database!$V$34="",0,KOL_Database!$V$34)</f>
      </c>
      <c r="AG36" s="60">
        <f>IF(KOL_Database!$N$34="",0,KOL_Database!$N$34)</f>
      </c>
      <c r="AH36" s="60">
        <f>IF(KOL_Database!$O$34="",0,KOL_Database!$O$34)</f>
      </c>
      <c r="AI36" s="60">
        <f>ROUND(MIN(100,IF(KOL_Database!$N$34="",0,KOL_Database!$N$34)*8+IF(KOL_Database!$O$34="",0,KOL_Database!$O$34)*2+IF(KOL_Database!$K$34="",0,KOL_Database!$K$34)*3),1)</f>
      </c>
      <c r="AJ36" s="60">
        <f>IF(KOL_Database!$R$34="",0,KOL_Database!$R$34)</f>
      </c>
      <c r="AK36" s="60">
        <f>IF(KOL_Database!$S$34="",0,KOL_Database!$S$34)</f>
      </c>
      <c r="AL36" s="60">
        <f>INDEX(Matching_Engine!$S$6:$S$95,$W36,1)</f>
      </c>
      <c r="AM36" s="60">
        <f>IF(KOL_Database!$Q$34="",0,KOL_Database!$Q$34)</f>
      </c>
      <c r="AN36" s="60">
        <f>IF(KOL_Database!$AO$34="",999999999,KOL_Database!$AO$34)</f>
      </c>
      <c r="AO36" s="60">
        <f>IF(KOL_Database!$AP$34="",999999999,KOL_Database!$AP$34)</f>
      </c>
      <c r="AP36" s="60">
        <f>IF(KOL_Database!$AQ$34="",999999999,KOL_Database!$AQ$34)</f>
      </c>
      <c r="AQ36" s="60">
        <f>IF(KOL_Database!$BD$34="",0,KOL_Database!$BD$34)</f>
      </c>
      <c r="AR36" s="60">
        <f>IF(KOL_Database!$AS$34="",0,KOL_Database!$AS$34)</f>
      </c>
      <c r="AS36" s="60">
        <f>INDEX(Matching_Engine!$AT$6:$AT$95,$W36,1)</f>
      </c>
      <c r="AT36" s="60">
        <f>INDEX(Matching_Engine!$AU$6:$AU$95,$W36,1)</f>
      </c>
      <c r="AU36" s="60">
        <f>IF(KOL_Database!$AU$34="",0,KOL_Database!$AU$34)</f>
      </c>
      <c r="AV36" s="60">
        <f>INDEX(Matching_Engine!$X$6:$X$95,$W36,1)</f>
      </c>
      <c r="AW36" s="60">
        <f>IF(KOL_Database!$BA$34="",0,KOL_Database!$BA$34+0)</f>
      </c>
      <c r="AX36" s="60">
        <f>IF(KOL_Database!$BB$34="",0,KOL_Database!$BB$34+0)</f>
      </c>
      <c r="AY36" s="60">
        <f>ROUND(IF(KOL_Database!$V$34="",0,KOL_Database!$V$34)*0.6+MIN(100,IF(KOL_Database!$N$34="",0,KOL_Database!$N$34)*10)*0.4,1)</f>
      </c>
      <c r="AZ36" s="60">
        <f>ROUND(MIN(100,IF(KOL_Database!$K$34="",0,KOL_Database!$K$34)/8*100)*0.35+IF(KOL_Database!$R$34="",0,KOL_Database!$R$34)*0.25+(100-IF(KOL_Database!$AU$34="",0,KOL_Database!$AU$34))*0.25+(100-MIN(100,IF(KOL_Database!$J$34="",0,KOL_Database!$J$34)/5000))*0.15,1)</f>
      </c>
      <c r="BA36" s="60">
        <f>ROUND(INDEX(Matching_Engine!$AP$6:$AP$95,$W36,1)*IF(INDEX(Matching_Engine!$AS$6:$AS$95,$W36,1)="High",1,IF(INDEX(Matching_Engine!$AS$6:$AS$95,$W36,1)="Medium",0.92,0.8)),1)</f>
      </c>
    </row>
  </sheetData>
  <autoFilter ref="A6:W36"/>
  <mergeCells count="4">
    <mergeCell ref="A1:BA1"/>
    <mergeCell ref="A2:BA2"/>
    <mergeCell ref="B4:C4"/>
    <mergeCell ref="X5:BA5"/>
  </mergeCells>
  <conditionalFormatting sqref="J7:J36">
    <cfRule type="colorScale" priority="1">
      <colorScale>
        <cfvo type="num" val="40"/>
        <cfvo type="num" val="70"/>
        <cfvo type="num" val="95"/>
        <color rgb="FFF8696B"/>
        <color rgb="FFFFEB84"/>
        <color rgb="FF63BE7B"/>
      </colorScale>
    </cfRule>
  </conditionalFormatting>
  <conditionalFormatting sqref="R7:R36">
    <cfRule type="containsText" dxfId="24" priority="1" operator="containsText" text="EXCLUDED">
      <formula>NOT(ISERROR(SEARCH("EXCLUDED",R7)))</formula>
    </cfRule>
    <cfRule type="containsText" dxfId="25" priority="2" operator="containsText" text="PASS">
      <formula>NOT(ISERROR(SEARCH("PASS",R7)))</formula>
    </cfRule>
  </conditionalFormatting>
  <conditionalFormatting sqref="P7:P36">
    <cfRule type="containsText" dxfId="26" priority="1" operator="containsText" text="Excellent">
      <formula>NOT(ISERROR(SEARCH("Excellent",P7)))</formula>
    </cfRule>
    <cfRule type="containsText" dxfId="27" priority="2" operator="containsText" text="Strong">
      <formula>NOT(ISERROR(SEARCH("Strong",P7)))</formula>
    </cfRule>
    <cfRule type="containsText" dxfId="28" priority="3" operator="containsText" text="Low">
      <formula>NOT(ISERROR(SEARCH("Low",P7)))</formula>
    </cfRule>
  </conditionalFormatting>
  <dataValidations count="1">
    <dataValidation type="list" sqref="B4">
      <formula1>Lookup_Lists!$AD$6:$AD$35</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pane xSplit="2" ySplit="4" topLeftCell="C5" activePane="bottomRight" state="frozen"/>
      <selection pane="bottomRight"/>
    </sheetView>
  </sheetViews>
  <sheetFormatPr defaultRowHeight="15" outlineLevelRow="0" outlineLevelCol="0" x14ac:dyDescent="55"/>
  <cols>
    <col min="1" max="1" width="14" customWidth="1"/>
    <col min="2" max="2" width="16" customWidth="1"/>
    <col min="3" max="3" width="14" customWidth="1"/>
    <col min="4" max="4" width="30" customWidth="1"/>
    <col min="5" max="6" width="17" customWidth="1"/>
    <col min="7" max="7" width="19" customWidth="1"/>
    <col min="8" max="8" width="21" customWidth="1"/>
    <col min="9" max="9" width="20" customWidth="1"/>
    <col min="10" max="10" width="19" customWidth="1"/>
    <col min="11" max="11" width="17" customWidth="1"/>
    <col min="12" max="12" width="34" customWidth="1"/>
    <col min="13" max="14" width="23" customWidth="1"/>
    <col min="15" max="15" width="16" customWidth="1"/>
    <col min="16" max="16" width="34" customWidth="1"/>
    <col min="17" max="17" width="25" customWidth="1"/>
    <col min="18" max="18" width="24" customWidth="1"/>
    <col min="19" max="19" width="20" customWidth="1"/>
    <col min="20" max="20" width="24" customWidth="1"/>
    <col min="21" max="21" width="29" customWidth="1"/>
    <col min="22" max="22" width="16" customWidth="1"/>
    <col min="23" max="23" width="26" customWidth="1"/>
    <col min="24" max="24" width="22" customWidth="1"/>
    <col min="25" max="26" width="23" customWidth="1"/>
    <col min="27" max="27" width="30" customWidth="1"/>
    <col min="28" max="28" width="19" customWidth="1"/>
    <col min="29" max="30" width="24" customWidth="1"/>
  </cols>
  <sheetData>
    <row r="1" ht="24" customHeight="1" spans="1:30" x14ac:dyDescent="0.25">
      <c r="A1" s="1" t="s">
        <v>1824</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ht="30" customHeight="1" spans="1:30" x14ac:dyDescent="0.25">
      <c r="A2" s="2" t="s">
        <v>1825</v>
      </c>
      <c r="B2" s="2"/>
      <c r="C2" s="2"/>
      <c r="D2" s="2"/>
      <c r="E2" s="2"/>
      <c r="F2" s="2"/>
      <c r="G2" s="2"/>
      <c r="H2" s="2"/>
      <c r="I2" s="2"/>
      <c r="J2" s="2"/>
      <c r="K2" s="2"/>
      <c r="L2" s="2"/>
      <c r="M2" s="2"/>
      <c r="N2" s="2"/>
      <c r="O2" s="2"/>
      <c r="P2" s="2"/>
      <c r="Q2" s="2"/>
      <c r="R2" s="2"/>
      <c r="S2" s="2"/>
      <c r="T2" s="2"/>
      <c r="U2" s="2"/>
      <c r="V2" s="2"/>
      <c r="W2" s="2"/>
      <c r="X2" s="2"/>
      <c r="Y2" s="2"/>
      <c r="Z2" s="2"/>
      <c r="AA2" s="2"/>
      <c r="AB2" s="2"/>
      <c r="AC2" s="2"/>
      <c r="AD2" s="2"/>
    </row>
    <row r="4" ht="34" customHeight="1" spans="1:30" x14ac:dyDescent="0.25">
      <c r="A4" s="12" t="s">
        <v>82</v>
      </c>
      <c r="B4" s="12" t="s">
        <v>85</v>
      </c>
      <c r="C4" s="12" t="s">
        <v>90</v>
      </c>
      <c r="D4" s="12" t="s">
        <v>101</v>
      </c>
      <c r="E4" s="12" t="s">
        <v>113</v>
      </c>
      <c r="F4" s="12" t="s">
        <v>1826</v>
      </c>
      <c r="G4" s="12" t="s">
        <v>1827</v>
      </c>
      <c r="H4" s="12" t="s">
        <v>129</v>
      </c>
      <c r="I4" s="12" t="s">
        <v>135</v>
      </c>
      <c r="J4" s="12" t="s">
        <v>1828</v>
      </c>
      <c r="K4" s="12" t="s">
        <v>144</v>
      </c>
      <c r="L4" s="12" t="s">
        <v>148</v>
      </c>
      <c r="M4" s="12" t="s">
        <v>1829</v>
      </c>
      <c r="N4" s="12" t="s">
        <v>161</v>
      </c>
      <c r="O4" s="12" t="s">
        <v>172</v>
      </c>
      <c r="P4" s="12" t="s">
        <v>167</v>
      </c>
      <c r="Q4" s="12" t="s">
        <v>187</v>
      </c>
      <c r="R4" s="12" t="s">
        <v>195</v>
      </c>
      <c r="S4" s="12" t="s">
        <v>208</v>
      </c>
      <c r="T4" s="12" t="s">
        <v>199</v>
      </c>
      <c r="U4" s="12" t="s">
        <v>222</v>
      </c>
      <c r="V4" s="12" t="s">
        <v>1830</v>
      </c>
      <c r="W4" s="12" t="s">
        <v>1831</v>
      </c>
      <c r="X4" s="12" t="s">
        <v>1832</v>
      </c>
      <c r="Y4" s="12" t="s">
        <v>1833</v>
      </c>
      <c r="Z4" s="12" t="s">
        <v>1834</v>
      </c>
      <c r="AA4" s="12" t="s">
        <v>1835</v>
      </c>
      <c r="AB4" s="12" t="s">
        <v>1836</v>
      </c>
      <c r="AC4" s="12" t="s">
        <v>1837</v>
      </c>
      <c r="AD4" s="12" t="s">
        <v>1838</v>
      </c>
    </row>
    <row r="5" spans="1:30" x14ac:dyDescent="0.25">
      <c r="A5" s="80">
        <f>Brand_Profile!$D$8</f>
      </c>
      <c r="B5" s="80">
        <f>Brand_Profile!$D$9</f>
      </c>
      <c r="C5" s="50">
        <f>Brand_Profile!$D$10</f>
      </c>
      <c r="D5" s="50">
        <f>Brand_Profile!$D$12</f>
      </c>
      <c r="E5" s="50">
        <f>Brand_Profile!$D$14</f>
      </c>
      <c r="F5" s="50">
        <f>Brand_Profile!$D$16</f>
      </c>
      <c r="G5" s="50">
        <f>Brand_Profile!$D$17</f>
      </c>
      <c r="H5" s="50">
        <f>Brand_Profile!$D$18</f>
      </c>
      <c r="I5" s="50">
        <f>Brand_Profile!$D$19</f>
      </c>
      <c r="J5" s="50">
        <f>Brand_Profile!$D$20</f>
      </c>
      <c r="K5" s="50">
        <f>Brand_Profile!$D$21</f>
      </c>
      <c r="L5" s="50">
        <f>Brand_Profile!$D$22</f>
      </c>
      <c r="M5" s="50">
        <f>Brand_Profile!$D$23</f>
      </c>
      <c r="N5" s="50">
        <f>Brand_Profile!$D$25</f>
      </c>
      <c r="O5" s="50">
        <f>Brand_Profile!$D$27</f>
      </c>
      <c r="P5" s="50">
        <f>Brand_Profile!$D$26</f>
      </c>
      <c r="Q5" s="50">
        <f>Brand_Profile!$D$30</f>
      </c>
      <c r="R5" s="50">
        <f>Brand_Profile!$D$32</f>
      </c>
      <c r="S5" s="50">
        <f>Brand_Profile!$D$35</f>
      </c>
      <c r="T5" s="50">
        <f>Brand_Profile!$D$33</f>
      </c>
      <c r="U5" s="50">
        <f>Brand_Profile!$D$39</f>
      </c>
      <c r="V5" s="81">
        <f>Brand_Profile!$D$38</f>
      </c>
      <c r="W5" s="81">
        <f>Brand_Profile!$D$43</f>
      </c>
      <c r="X5" s="81">
        <f>Brand_Profile!$D$44</f>
      </c>
      <c r="Y5" s="29">
        <f>COUNTIF(Matching_Engine!$AV$6:$AV$35,"PASS")</f>
      </c>
      <c r="Z5" s="29">
        <f>COUNTIF(Matching_Engine!$AV$6:$AV$35,"EXCLUDED")</f>
      </c>
      <c r="AA5" s="32">
        <f>IF(COUNT(Matching_Engine!$AY$6:$AY$35)=0,0,ROUND(AVERAGE(Matching_Engine!$AY$6:$AY$35),1))</f>
      </c>
      <c r="AB5" s="82">
        <f>IF(COUNT(Matching_Engine!$AY$6:$AY$35)=0,0,MAX(Matching_Engine!$AY$6:$AY$35))</f>
      </c>
      <c r="AC5" s="30">
        <f>IF(COUNT(Matching_Engine!$AY$6:$AY$35)=0,"—",INDEX(Matching_Engine!$D$6:$D$35,MATCH(MAX(Matching_Engine!$AY$6:$AY$35),Matching_Engine!$AY$6:$AY$35,0),1))</f>
      </c>
      <c r="AD5" s="29">
        <f>COUNTIF(Matching_Engine!$AQ$6:$AQ$35,"Excellent Match")+COUNTIF(Matching_Engine!$AQ$6:$AQ$35,"Strong Match")</f>
      </c>
    </row>
    <row r="6" spans="1:30" x14ac:dyDescent="0.25">
      <c r="A6" s="80">
        <f>Brand_Profile!$E$8</f>
      </c>
      <c r="B6" s="80">
        <f>Brand_Profile!$E$9</f>
      </c>
      <c r="C6" s="50">
        <f>Brand_Profile!$E$10</f>
      </c>
      <c r="D6" s="50">
        <f>Brand_Profile!$E$12</f>
      </c>
      <c r="E6" s="50">
        <f>Brand_Profile!$E$14</f>
      </c>
      <c r="F6" s="50">
        <f>Brand_Profile!$E$16</f>
      </c>
      <c r="G6" s="50">
        <f>Brand_Profile!$E$17</f>
      </c>
      <c r="H6" s="50">
        <f>Brand_Profile!$E$18</f>
      </c>
      <c r="I6" s="50">
        <f>Brand_Profile!$E$19</f>
      </c>
      <c r="J6" s="50">
        <f>Brand_Profile!$E$20</f>
      </c>
      <c r="K6" s="50">
        <f>Brand_Profile!$E$21</f>
      </c>
      <c r="L6" s="50">
        <f>Brand_Profile!$E$22</f>
      </c>
      <c r="M6" s="50">
        <f>Brand_Profile!$E$23</f>
      </c>
      <c r="N6" s="50">
        <f>Brand_Profile!$E$25</f>
      </c>
      <c r="O6" s="50">
        <f>Brand_Profile!$E$27</f>
      </c>
      <c r="P6" s="50">
        <f>Brand_Profile!$E$26</f>
      </c>
      <c r="Q6" s="50">
        <f>Brand_Profile!$E$30</f>
      </c>
      <c r="R6" s="50">
        <f>Brand_Profile!$E$32</f>
      </c>
      <c r="S6" s="50">
        <f>Brand_Profile!$E$35</f>
      </c>
      <c r="T6" s="50">
        <f>Brand_Profile!$E$33</f>
      </c>
      <c r="U6" s="50">
        <f>Brand_Profile!$E$39</f>
      </c>
      <c r="V6" s="81">
        <f>Brand_Profile!$E$38</f>
      </c>
      <c r="W6" s="81">
        <f>Brand_Profile!$E$43</f>
      </c>
      <c r="X6" s="81">
        <f>Brand_Profile!$E$44</f>
      </c>
      <c r="Y6" s="29">
        <f>COUNTIF(Matching_Engine!$AV$36:$AV$65,"PASS")</f>
      </c>
      <c r="Z6" s="29">
        <f>COUNTIF(Matching_Engine!$AV$36:$AV$65,"EXCLUDED")</f>
      </c>
      <c r="AA6" s="32">
        <f>IF(COUNT(Matching_Engine!$AY$36:$AY$65)=0,0,ROUND(AVERAGE(Matching_Engine!$AY$36:$AY$65),1))</f>
      </c>
      <c r="AB6" s="82">
        <f>IF(COUNT(Matching_Engine!$AY$36:$AY$65)=0,0,MAX(Matching_Engine!$AY$36:$AY$65))</f>
      </c>
      <c r="AC6" s="30">
        <f>IF(COUNT(Matching_Engine!$AY$36:$AY$65)=0,"—",INDEX(Matching_Engine!$D$36:$D$65,MATCH(MAX(Matching_Engine!$AY$36:$AY$65),Matching_Engine!$AY$36:$AY$65,0),1))</f>
      </c>
      <c r="AD6" s="29">
        <f>COUNTIF(Matching_Engine!$AQ$36:$AQ$65,"Excellent Match")+COUNTIF(Matching_Engine!$AQ$36:$AQ$65,"Strong Match")</f>
      </c>
    </row>
    <row r="7" spans="1:30" x14ac:dyDescent="0.25">
      <c r="A7" s="80">
        <f>Brand_Profile!$F$8</f>
      </c>
      <c r="B7" s="80">
        <f>Brand_Profile!$F$9</f>
      </c>
      <c r="C7" s="50">
        <f>Brand_Profile!$F$10</f>
      </c>
      <c r="D7" s="50">
        <f>Brand_Profile!$F$12</f>
      </c>
      <c r="E7" s="50">
        <f>Brand_Profile!$F$14</f>
      </c>
      <c r="F7" s="50">
        <f>Brand_Profile!$F$16</f>
      </c>
      <c r="G7" s="50">
        <f>Brand_Profile!$F$17</f>
      </c>
      <c r="H7" s="50">
        <f>Brand_Profile!$F$18</f>
      </c>
      <c r="I7" s="50">
        <f>Brand_Profile!$F$19</f>
      </c>
      <c r="J7" s="50">
        <f>Brand_Profile!$F$20</f>
      </c>
      <c r="K7" s="50">
        <f>Brand_Profile!$F$21</f>
      </c>
      <c r="L7" s="50">
        <f>Brand_Profile!$F$22</f>
      </c>
      <c r="M7" s="50">
        <f>Brand_Profile!$F$23</f>
      </c>
      <c r="N7" s="50">
        <f>Brand_Profile!$F$25</f>
      </c>
      <c r="O7" s="50">
        <f>Brand_Profile!$F$27</f>
      </c>
      <c r="P7" s="50">
        <f>Brand_Profile!$F$26</f>
      </c>
      <c r="Q7" s="50">
        <f>Brand_Profile!$F$30</f>
      </c>
      <c r="R7" s="50">
        <f>Brand_Profile!$F$32</f>
      </c>
      <c r="S7" s="50">
        <f>Brand_Profile!$F$35</f>
      </c>
      <c r="T7" s="50">
        <f>Brand_Profile!$F$33</f>
      </c>
      <c r="U7" s="50">
        <f>Brand_Profile!$F$39</f>
      </c>
      <c r="V7" s="81">
        <f>Brand_Profile!$F$38</f>
      </c>
      <c r="W7" s="81">
        <f>Brand_Profile!$F$43</f>
      </c>
      <c r="X7" s="81">
        <f>Brand_Profile!$F$44</f>
      </c>
      <c r="Y7" s="29">
        <f>COUNTIF(Matching_Engine!$AV$66:$AV$95,"PASS")</f>
      </c>
      <c r="Z7" s="29">
        <f>COUNTIF(Matching_Engine!$AV$66:$AV$95,"EXCLUDED")</f>
      </c>
      <c r="AA7" s="32">
        <f>IF(COUNT(Matching_Engine!$AY$66:$AY$95)=0,0,ROUND(AVERAGE(Matching_Engine!$AY$66:$AY$95),1))</f>
      </c>
      <c r="AB7" s="82">
        <f>IF(COUNT(Matching_Engine!$AY$66:$AY$95)=0,0,MAX(Matching_Engine!$AY$66:$AY$95))</f>
      </c>
      <c r="AC7" s="30">
        <f>IF(COUNT(Matching_Engine!$AY$66:$AY$95)=0,"—",INDEX(Matching_Engine!$D$66:$D$95,MATCH(MAX(Matching_Engine!$AY$66:$AY$95),Matching_Engine!$AY$66:$AY$95,0),1))</f>
      </c>
      <c r="AD7" s="29">
        <f>COUNTIF(Matching_Engine!$AQ$66:$AQ$95,"Excellent Match")+COUNTIF(Matching_Engine!$AQ$66:$AQ$95,"Strong Match")</f>
      </c>
    </row>
  </sheetData>
  <mergeCells count="2">
    <mergeCell ref="A1:AD1"/>
    <mergeCell ref="A2:AD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
  <sheetViews>
    <sheetView workbookViewId="0">
      <pane xSplit="2" ySplit="4" topLeftCell="C5" activePane="bottomRight" state="frozen"/>
      <selection pane="bottomRight"/>
    </sheetView>
  </sheetViews>
  <sheetFormatPr defaultRowHeight="15" outlineLevelRow="0" outlineLevelCol="0" x14ac:dyDescent="55"/>
  <cols>
    <col min="1" max="1" width="11" customWidth="1"/>
    <col min="2" max="4" width="34" customWidth="1"/>
    <col min="5" max="5" width="11" customWidth="1"/>
    <col min="6" max="7" width="17" customWidth="1"/>
    <col min="8" max="8" width="16" customWidth="1"/>
    <col min="9" max="10" width="17" customWidth="1"/>
    <col min="11" max="11" width="16" customWidth="1"/>
    <col min="12" max="13" width="17" customWidth="1"/>
    <col min="14" max="15" width="16" customWidth="1"/>
    <col min="16" max="16" width="18" customWidth="1"/>
    <col min="17" max="17" width="24" customWidth="1"/>
  </cols>
  <sheetData>
    <row r="1" ht="24" customHeight="1" spans="1:17" x14ac:dyDescent="0.25">
      <c r="A1" s="1" t="s">
        <v>1839</v>
      </c>
      <c r="B1" s="1"/>
      <c r="C1" s="1"/>
      <c r="D1" s="1"/>
      <c r="E1" s="1"/>
      <c r="F1" s="1"/>
      <c r="G1" s="1"/>
      <c r="H1" s="1"/>
      <c r="I1" s="1"/>
      <c r="J1" s="1"/>
      <c r="K1" s="1"/>
      <c r="L1" s="1"/>
      <c r="M1" s="1"/>
      <c r="N1" s="1"/>
      <c r="O1" s="1"/>
      <c r="P1" s="1"/>
      <c r="Q1" s="1"/>
    </row>
    <row r="2" ht="30" customHeight="1" spans="1:17" x14ac:dyDescent="0.25">
      <c r="A2" s="2" t="s">
        <v>1840</v>
      </c>
      <c r="B2" s="2"/>
      <c r="C2" s="2"/>
      <c r="D2" s="2"/>
      <c r="E2" s="2"/>
      <c r="F2" s="2"/>
      <c r="G2" s="2"/>
      <c r="H2" s="2"/>
      <c r="I2" s="2"/>
      <c r="J2" s="2"/>
      <c r="K2" s="2"/>
      <c r="L2" s="2"/>
      <c r="M2" s="2"/>
      <c r="N2" s="2"/>
      <c r="O2" s="2"/>
      <c r="P2" s="2"/>
      <c r="Q2" s="2"/>
    </row>
    <row r="4" ht="26" customHeight="1" spans="1:17" x14ac:dyDescent="0.25">
      <c r="A4" s="12" t="s">
        <v>342</v>
      </c>
      <c r="B4" s="12" t="s">
        <v>659</v>
      </c>
      <c r="C4" s="12" t="s">
        <v>345</v>
      </c>
      <c r="D4" s="12" t="s">
        <v>346</v>
      </c>
      <c r="E4" s="12" t="s">
        <v>348</v>
      </c>
      <c r="F4" s="12" t="s">
        <v>1841</v>
      </c>
      <c r="G4" s="12" t="s">
        <v>1842</v>
      </c>
      <c r="H4" s="12" t="s">
        <v>1843</v>
      </c>
      <c r="I4" s="12" t="s">
        <v>1844</v>
      </c>
      <c r="J4" s="12" t="s">
        <v>1845</v>
      </c>
      <c r="K4" s="12" t="s">
        <v>1846</v>
      </c>
      <c r="L4" s="12" t="s">
        <v>1847</v>
      </c>
      <c r="M4" s="12" t="s">
        <v>1848</v>
      </c>
      <c r="N4" s="12" t="s">
        <v>1849</v>
      </c>
      <c r="O4" s="12" t="s">
        <v>1850</v>
      </c>
      <c r="P4" s="12" t="s">
        <v>1851</v>
      </c>
      <c r="Q4" s="12" t="s">
        <v>1852</v>
      </c>
    </row>
    <row r="5" spans="1:17" x14ac:dyDescent="0.25">
      <c r="A5" s="44">
        <f>KOL_Database!$A$5</f>
      </c>
      <c r="B5" s="43">
        <f>KOL_Database!$B$5</f>
      </c>
      <c r="C5" s="44">
        <f>KOL_Database!$D$5</f>
      </c>
      <c r="D5" s="44">
        <f>KOL_Database!$E$5</f>
      </c>
      <c r="E5" s="44">
        <f>KOL_Database!$G$5</f>
      </c>
      <c r="F5" s="83">
        <f>INDEX(Matching_Engine!$AP$6:$AP$95,MATCH("BRAND-A|"&amp;KOL_Database!$A$5,Matching_Engine!$AZ$6:$AZ$95,0),1)</f>
      </c>
      <c r="G5" s="44">
        <f>INDEX(Matching_Engine!$AQ$6:$AQ$95,MATCH("BRAND-A|"&amp;KOL_Database!$A$5,Matching_Engine!$AZ$6:$AZ$95,0),1)</f>
      </c>
      <c r="H5" s="44">
        <f>COUNTIF($F$5:$F$34,"&gt;"&amp;$F5)+1</f>
      </c>
      <c r="I5" s="83">
        <f>INDEX(Matching_Engine!$AP$6:$AP$95,MATCH("BRAND-B|"&amp;KOL_Database!$A$5,Matching_Engine!$AZ$6:$AZ$95,0),1)</f>
      </c>
      <c r="J5" s="44">
        <f>INDEX(Matching_Engine!$AQ$6:$AQ$95,MATCH("BRAND-B|"&amp;KOL_Database!$A$5,Matching_Engine!$AZ$6:$AZ$95,0),1)</f>
      </c>
      <c r="K5" s="44">
        <f>COUNTIF($I$5:$I$34,"&gt;"&amp;$I5)+1</f>
      </c>
      <c r="L5" s="83">
        <f>INDEX(Matching_Engine!$AP$6:$AP$95,MATCH("BRAND-C|"&amp;KOL_Database!$A$5,Matching_Engine!$AZ$6:$AZ$95,0),1)</f>
      </c>
      <c r="M5" s="44">
        <f>INDEX(Matching_Engine!$AQ$6:$AQ$95,MATCH("BRAND-C|"&amp;KOL_Database!$A$5,Matching_Engine!$AZ$6:$AZ$95,0),1)</f>
      </c>
      <c r="N5" s="44">
        <f>COUNTIF($L$5:$L$34,"&gt;"&amp;$L5)+1</f>
      </c>
      <c r="O5" s="83">
        <f>MAX($F5,$I5,$L5)-MIN($F5,$I5,$L5)</f>
      </c>
      <c r="P5" s="44">
        <f>IF($F5&gt;=$I5,IF($F5&gt;=$L5,Sample_Brands!$B$5,Sample_Brands!$B$7),IF($I5&gt;=$L5,Sample_Brands!$B$6,Sample_Brands!$B$7))</f>
      </c>
      <c r="Q5" s="44">
        <f>IF($O5=0,"YES — identical","no")</f>
      </c>
    </row>
    <row r="6" spans="1:17" x14ac:dyDescent="0.25">
      <c r="A6" s="44">
        <f>KOL_Database!$A$6</f>
      </c>
      <c r="B6" s="43">
        <f>KOL_Database!$B$6</f>
      </c>
      <c r="C6" s="44">
        <f>KOL_Database!$D$6</f>
      </c>
      <c r="D6" s="44">
        <f>KOL_Database!$E$6</f>
      </c>
      <c r="E6" s="44">
        <f>KOL_Database!$G$6</f>
      </c>
      <c r="F6" s="83">
        <f>INDEX(Matching_Engine!$AP$6:$AP$95,MATCH("BRAND-A|"&amp;KOL_Database!$A$6,Matching_Engine!$AZ$6:$AZ$95,0),1)</f>
      </c>
      <c r="G6" s="44">
        <f>INDEX(Matching_Engine!$AQ$6:$AQ$95,MATCH("BRAND-A|"&amp;KOL_Database!$A$6,Matching_Engine!$AZ$6:$AZ$95,0),1)</f>
      </c>
      <c r="H6" s="44">
        <f>COUNTIF($F$5:$F$34,"&gt;"&amp;$F6)+1</f>
      </c>
      <c r="I6" s="83">
        <f>INDEX(Matching_Engine!$AP$6:$AP$95,MATCH("BRAND-B|"&amp;KOL_Database!$A$6,Matching_Engine!$AZ$6:$AZ$95,0),1)</f>
      </c>
      <c r="J6" s="44">
        <f>INDEX(Matching_Engine!$AQ$6:$AQ$95,MATCH("BRAND-B|"&amp;KOL_Database!$A$6,Matching_Engine!$AZ$6:$AZ$95,0),1)</f>
      </c>
      <c r="K6" s="44">
        <f>COUNTIF($I$5:$I$34,"&gt;"&amp;$I6)+1</f>
      </c>
      <c r="L6" s="83">
        <f>INDEX(Matching_Engine!$AP$6:$AP$95,MATCH("BRAND-C|"&amp;KOL_Database!$A$6,Matching_Engine!$AZ$6:$AZ$95,0),1)</f>
      </c>
      <c r="M6" s="44">
        <f>INDEX(Matching_Engine!$AQ$6:$AQ$95,MATCH("BRAND-C|"&amp;KOL_Database!$A$6,Matching_Engine!$AZ$6:$AZ$95,0),1)</f>
      </c>
      <c r="N6" s="44">
        <f>COUNTIF($L$5:$L$34,"&gt;"&amp;$L6)+1</f>
      </c>
      <c r="O6" s="83">
        <f>MAX($F6,$I6,$L6)-MIN($F6,$I6,$L6)</f>
      </c>
      <c r="P6" s="44">
        <f>IF($F6&gt;=$I6,IF($F6&gt;=$L6,Sample_Brands!$B$5,Sample_Brands!$B$7),IF($I6&gt;=$L6,Sample_Brands!$B$6,Sample_Brands!$B$7))</f>
      </c>
      <c r="Q6" s="44">
        <f>IF($O6=0,"YES — identical","no")</f>
      </c>
    </row>
    <row r="7" spans="1:17" x14ac:dyDescent="0.25">
      <c r="A7" s="44">
        <f>KOL_Database!$A$7</f>
      </c>
      <c r="B7" s="43">
        <f>KOL_Database!$B$7</f>
      </c>
      <c r="C7" s="44">
        <f>KOL_Database!$D$7</f>
      </c>
      <c r="D7" s="44">
        <f>KOL_Database!$E$7</f>
      </c>
      <c r="E7" s="44">
        <f>KOL_Database!$G$7</f>
      </c>
      <c r="F7" s="83">
        <f>INDEX(Matching_Engine!$AP$6:$AP$95,MATCH("BRAND-A|"&amp;KOL_Database!$A$7,Matching_Engine!$AZ$6:$AZ$95,0),1)</f>
      </c>
      <c r="G7" s="44">
        <f>INDEX(Matching_Engine!$AQ$6:$AQ$95,MATCH("BRAND-A|"&amp;KOL_Database!$A$7,Matching_Engine!$AZ$6:$AZ$95,0),1)</f>
      </c>
      <c r="H7" s="44">
        <f>COUNTIF($F$5:$F$34,"&gt;"&amp;$F7)+1</f>
      </c>
      <c r="I7" s="83">
        <f>INDEX(Matching_Engine!$AP$6:$AP$95,MATCH("BRAND-B|"&amp;KOL_Database!$A$7,Matching_Engine!$AZ$6:$AZ$95,0),1)</f>
      </c>
      <c r="J7" s="44">
        <f>INDEX(Matching_Engine!$AQ$6:$AQ$95,MATCH("BRAND-B|"&amp;KOL_Database!$A$7,Matching_Engine!$AZ$6:$AZ$95,0),1)</f>
      </c>
      <c r="K7" s="44">
        <f>COUNTIF($I$5:$I$34,"&gt;"&amp;$I7)+1</f>
      </c>
      <c r="L7" s="83">
        <f>INDEX(Matching_Engine!$AP$6:$AP$95,MATCH("BRAND-C|"&amp;KOL_Database!$A$7,Matching_Engine!$AZ$6:$AZ$95,0),1)</f>
      </c>
      <c r="M7" s="44">
        <f>INDEX(Matching_Engine!$AQ$6:$AQ$95,MATCH("BRAND-C|"&amp;KOL_Database!$A$7,Matching_Engine!$AZ$6:$AZ$95,0),1)</f>
      </c>
      <c r="N7" s="44">
        <f>COUNTIF($L$5:$L$34,"&gt;"&amp;$L7)+1</f>
      </c>
      <c r="O7" s="83">
        <f>MAX($F7,$I7,$L7)-MIN($F7,$I7,$L7)</f>
      </c>
      <c r="P7" s="44">
        <f>IF($F7&gt;=$I7,IF($F7&gt;=$L7,Sample_Brands!$B$5,Sample_Brands!$B$7),IF($I7&gt;=$L7,Sample_Brands!$B$6,Sample_Brands!$B$7))</f>
      </c>
      <c r="Q7" s="44">
        <f>IF($O7=0,"YES — identical","no")</f>
      </c>
    </row>
    <row r="8" spans="1:17" x14ac:dyDescent="0.25">
      <c r="A8" s="44">
        <f>KOL_Database!$A$8</f>
      </c>
      <c r="B8" s="43">
        <f>KOL_Database!$B$8</f>
      </c>
      <c r="C8" s="44">
        <f>KOL_Database!$D$8</f>
      </c>
      <c r="D8" s="44">
        <f>KOL_Database!$E$8</f>
      </c>
      <c r="E8" s="44">
        <f>KOL_Database!$G$8</f>
      </c>
      <c r="F8" s="83">
        <f>INDEX(Matching_Engine!$AP$6:$AP$95,MATCH("BRAND-A|"&amp;KOL_Database!$A$8,Matching_Engine!$AZ$6:$AZ$95,0),1)</f>
      </c>
      <c r="G8" s="44">
        <f>INDEX(Matching_Engine!$AQ$6:$AQ$95,MATCH("BRAND-A|"&amp;KOL_Database!$A$8,Matching_Engine!$AZ$6:$AZ$95,0),1)</f>
      </c>
      <c r="H8" s="44">
        <f>COUNTIF($F$5:$F$34,"&gt;"&amp;$F8)+1</f>
      </c>
      <c r="I8" s="83">
        <f>INDEX(Matching_Engine!$AP$6:$AP$95,MATCH("BRAND-B|"&amp;KOL_Database!$A$8,Matching_Engine!$AZ$6:$AZ$95,0),1)</f>
      </c>
      <c r="J8" s="44">
        <f>INDEX(Matching_Engine!$AQ$6:$AQ$95,MATCH("BRAND-B|"&amp;KOL_Database!$A$8,Matching_Engine!$AZ$6:$AZ$95,0),1)</f>
      </c>
      <c r="K8" s="44">
        <f>COUNTIF($I$5:$I$34,"&gt;"&amp;$I8)+1</f>
      </c>
      <c r="L8" s="83">
        <f>INDEX(Matching_Engine!$AP$6:$AP$95,MATCH("BRAND-C|"&amp;KOL_Database!$A$8,Matching_Engine!$AZ$6:$AZ$95,0),1)</f>
      </c>
      <c r="M8" s="44">
        <f>INDEX(Matching_Engine!$AQ$6:$AQ$95,MATCH("BRAND-C|"&amp;KOL_Database!$A$8,Matching_Engine!$AZ$6:$AZ$95,0),1)</f>
      </c>
      <c r="N8" s="44">
        <f>COUNTIF($L$5:$L$34,"&gt;"&amp;$L8)+1</f>
      </c>
      <c r="O8" s="83">
        <f>MAX($F8,$I8,$L8)-MIN($F8,$I8,$L8)</f>
      </c>
      <c r="P8" s="44">
        <f>IF($F8&gt;=$I8,IF($F8&gt;=$L8,Sample_Brands!$B$5,Sample_Brands!$B$7),IF($I8&gt;=$L8,Sample_Brands!$B$6,Sample_Brands!$B$7))</f>
      </c>
      <c r="Q8" s="44">
        <f>IF($O8=0,"YES — identical","no")</f>
      </c>
    </row>
    <row r="9" spans="1:17" x14ac:dyDescent="0.25">
      <c r="A9" s="44">
        <f>KOL_Database!$A$9</f>
      </c>
      <c r="B9" s="43">
        <f>KOL_Database!$B$9</f>
      </c>
      <c r="C9" s="44">
        <f>KOL_Database!$D$9</f>
      </c>
      <c r="D9" s="44">
        <f>KOL_Database!$E$9</f>
      </c>
      <c r="E9" s="44">
        <f>KOL_Database!$G$9</f>
      </c>
      <c r="F9" s="83">
        <f>INDEX(Matching_Engine!$AP$6:$AP$95,MATCH("BRAND-A|"&amp;KOL_Database!$A$9,Matching_Engine!$AZ$6:$AZ$95,0),1)</f>
      </c>
      <c r="G9" s="44">
        <f>INDEX(Matching_Engine!$AQ$6:$AQ$95,MATCH("BRAND-A|"&amp;KOL_Database!$A$9,Matching_Engine!$AZ$6:$AZ$95,0),1)</f>
      </c>
      <c r="H9" s="44">
        <f>COUNTIF($F$5:$F$34,"&gt;"&amp;$F9)+1</f>
      </c>
      <c r="I9" s="83">
        <f>INDEX(Matching_Engine!$AP$6:$AP$95,MATCH("BRAND-B|"&amp;KOL_Database!$A$9,Matching_Engine!$AZ$6:$AZ$95,0),1)</f>
      </c>
      <c r="J9" s="44">
        <f>INDEX(Matching_Engine!$AQ$6:$AQ$95,MATCH("BRAND-B|"&amp;KOL_Database!$A$9,Matching_Engine!$AZ$6:$AZ$95,0),1)</f>
      </c>
      <c r="K9" s="44">
        <f>COUNTIF($I$5:$I$34,"&gt;"&amp;$I9)+1</f>
      </c>
      <c r="L9" s="83">
        <f>INDEX(Matching_Engine!$AP$6:$AP$95,MATCH("BRAND-C|"&amp;KOL_Database!$A$9,Matching_Engine!$AZ$6:$AZ$95,0),1)</f>
      </c>
      <c r="M9" s="44">
        <f>INDEX(Matching_Engine!$AQ$6:$AQ$95,MATCH("BRAND-C|"&amp;KOL_Database!$A$9,Matching_Engine!$AZ$6:$AZ$95,0),1)</f>
      </c>
      <c r="N9" s="44">
        <f>COUNTIF($L$5:$L$34,"&gt;"&amp;$L9)+1</f>
      </c>
      <c r="O9" s="83">
        <f>MAX($F9,$I9,$L9)-MIN($F9,$I9,$L9)</f>
      </c>
      <c r="P9" s="44">
        <f>IF($F9&gt;=$I9,IF($F9&gt;=$L9,Sample_Brands!$B$5,Sample_Brands!$B$7),IF($I9&gt;=$L9,Sample_Brands!$B$6,Sample_Brands!$B$7))</f>
      </c>
      <c r="Q9" s="44">
        <f>IF($O9=0,"YES — identical","no")</f>
      </c>
    </row>
    <row r="10" spans="1:17" x14ac:dyDescent="0.25">
      <c r="A10" s="44">
        <f>KOL_Database!$A$10</f>
      </c>
      <c r="B10" s="43">
        <f>KOL_Database!$B$10</f>
      </c>
      <c r="C10" s="44">
        <f>KOL_Database!$D$10</f>
      </c>
      <c r="D10" s="44">
        <f>KOL_Database!$E$10</f>
      </c>
      <c r="E10" s="44">
        <f>KOL_Database!$G$10</f>
      </c>
      <c r="F10" s="83">
        <f>INDEX(Matching_Engine!$AP$6:$AP$95,MATCH("BRAND-A|"&amp;KOL_Database!$A$10,Matching_Engine!$AZ$6:$AZ$95,0),1)</f>
      </c>
      <c r="G10" s="44">
        <f>INDEX(Matching_Engine!$AQ$6:$AQ$95,MATCH("BRAND-A|"&amp;KOL_Database!$A$10,Matching_Engine!$AZ$6:$AZ$95,0),1)</f>
      </c>
      <c r="H10" s="44">
        <f>COUNTIF($F$5:$F$34,"&gt;"&amp;$F10)+1</f>
      </c>
      <c r="I10" s="83">
        <f>INDEX(Matching_Engine!$AP$6:$AP$95,MATCH("BRAND-B|"&amp;KOL_Database!$A$10,Matching_Engine!$AZ$6:$AZ$95,0),1)</f>
      </c>
      <c r="J10" s="44">
        <f>INDEX(Matching_Engine!$AQ$6:$AQ$95,MATCH("BRAND-B|"&amp;KOL_Database!$A$10,Matching_Engine!$AZ$6:$AZ$95,0),1)</f>
      </c>
      <c r="K10" s="44">
        <f>COUNTIF($I$5:$I$34,"&gt;"&amp;$I10)+1</f>
      </c>
      <c r="L10" s="83">
        <f>INDEX(Matching_Engine!$AP$6:$AP$95,MATCH("BRAND-C|"&amp;KOL_Database!$A$10,Matching_Engine!$AZ$6:$AZ$95,0),1)</f>
      </c>
      <c r="M10" s="44">
        <f>INDEX(Matching_Engine!$AQ$6:$AQ$95,MATCH("BRAND-C|"&amp;KOL_Database!$A$10,Matching_Engine!$AZ$6:$AZ$95,0),1)</f>
      </c>
      <c r="N10" s="44">
        <f>COUNTIF($L$5:$L$34,"&gt;"&amp;$L10)+1</f>
      </c>
      <c r="O10" s="83">
        <f>MAX($F10,$I10,$L10)-MIN($F10,$I10,$L10)</f>
      </c>
      <c r="P10" s="44">
        <f>IF($F10&gt;=$I10,IF($F10&gt;=$L10,Sample_Brands!$B$5,Sample_Brands!$B$7),IF($I10&gt;=$L10,Sample_Brands!$B$6,Sample_Brands!$B$7))</f>
      </c>
      <c r="Q10" s="44">
        <f>IF($O10=0,"YES — identical","no")</f>
      </c>
    </row>
    <row r="11" spans="1:17" x14ac:dyDescent="0.25">
      <c r="A11" s="44">
        <f>KOL_Database!$A$11</f>
      </c>
      <c r="B11" s="43">
        <f>KOL_Database!$B$11</f>
      </c>
      <c r="C11" s="44">
        <f>KOL_Database!$D$11</f>
      </c>
      <c r="D11" s="44">
        <f>KOL_Database!$E$11</f>
      </c>
      <c r="E11" s="44">
        <f>KOL_Database!$G$11</f>
      </c>
      <c r="F11" s="83">
        <f>INDEX(Matching_Engine!$AP$6:$AP$95,MATCH("BRAND-A|"&amp;KOL_Database!$A$11,Matching_Engine!$AZ$6:$AZ$95,0),1)</f>
      </c>
      <c r="G11" s="44">
        <f>INDEX(Matching_Engine!$AQ$6:$AQ$95,MATCH("BRAND-A|"&amp;KOL_Database!$A$11,Matching_Engine!$AZ$6:$AZ$95,0),1)</f>
      </c>
      <c r="H11" s="44">
        <f>COUNTIF($F$5:$F$34,"&gt;"&amp;$F11)+1</f>
      </c>
      <c r="I11" s="83">
        <f>INDEX(Matching_Engine!$AP$6:$AP$95,MATCH("BRAND-B|"&amp;KOL_Database!$A$11,Matching_Engine!$AZ$6:$AZ$95,0),1)</f>
      </c>
      <c r="J11" s="44">
        <f>INDEX(Matching_Engine!$AQ$6:$AQ$95,MATCH("BRAND-B|"&amp;KOL_Database!$A$11,Matching_Engine!$AZ$6:$AZ$95,0),1)</f>
      </c>
      <c r="K11" s="44">
        <f>COUNTIF($I$5:$I$34,"&gt;"&amp;$I11)+1</f>
      </c>
      <c r="L11" s="83">
        <f>INDEX(Matching_Engine!$AP$6:$AP$95,MATCH("BRAND-C|"&amp;KOL_Database!$A$11,Matching_Engine!$AZ$6:$AZ$95,0),1)</f>
      </c>
      <c r="M11" s="44">
        <f>INDEX(Matching_Engine!$AQ$6:$AQ$95,MATCH("BRAND-C|"&amp;KOL_Database!$A$11,Matching_Engine!$AZ$6:$AZ$95,0),1)</f>
      </c>
      <c r="N11" s="44">
        <f>COUNTIF($L$5:$L$34,"&gt;"&amp;$L11)+1</f>
      </c>
      <c r="O11" s="83">
        <f>MAX($F11,$I11,$L11)-MIN($F11,$I11,$L11)</f>
      </c>
      <c r="P11" s="44">
        <f>IF($F11&gt;=$I11,IF($F11&gt;=$L11,Sample_Brands!$B$5,Sample_Brands!$B$7),IF($I11&gt;=$L11,Sample_Brands!$B$6,Sample_Brands!$B$7))</f>
      </c>
      <c r="Q11" s="44">
        <f>IF($O11=0,"YES — identical","no")</f>
      </c>
    </row>
    <row r="12" spans="1:17" x14ac:dyDescent="0.25">
      <c r="A12" s="44">
        <f>KOL_Database!$A$12</f>
      </c>
      <c r="B12" s="43">
        <f>KOL_Database!$B$12</f>
      </c>
      <c r="C12" s="44">
        <f>KOL_Database!$D$12</f>
      </c>
      <c r="D12" s="44">
        <f>KOL_Database!$E$12</f>
      </c>
      <c r="E12" s="44">
        <f>KOL_Database!$G$12</f>
      </c>
      <c r="F12" s="83">
        <f>INDEX(Matching_Engine!$AP$6:$AP$95,MATCH("BRAND-A|"&amp;KOL_Database!$A$12,Matching_Engine!$AZ$6:$AZ$95,0),1)</f>
      </c>
      <c r="G12" s="44">
        <f>INDEX(Matching_Engine!$AQ$6:$AQ$95,MATCH("BRAND-A|"&amp;KOL_Database!$A$12,Matching_Engine!$AZ$6:$AZ$95,0),1)</f>
      </c>
      <c r="H12" s="44">
        <f>COUNTIF($F$5:$F$34,"&gt;"&amp;$F12)+1</f>
      </c>
      <c r="I12" s="83">
        <f>INDEX(Matching_Engine!$AP$6:$AP$95,MATCH("BRAND-B|"&amp;KOL_Database!$A$12,Matching_Engine!$AZ$6:$AZ$95,0),1)</f>
      </c>
      <c r="J12" s="44">
        <f>INDEX(Matching_Engine!$AQ$6:$AQ$95,MATCH("BRAND-B|"&amp;KOL_Database!$A$12,Matching_Engine!$AZ$6:$AZ$95,0),1)</f>
      </c>
      <c r="K12" s="44">
        <f>COUNTIF($I$5:$I$34,"&gt;"&amp;$I12)+1</f>
      </c>
      <c r="L12" s="83">
        <f>INDEX(Matching_Engine!$AP$6:$AP$95,MATCH("BRAND-C|"&amp;KOL_Database!$A$12,Matching_Engine!$AZ$6:$AZ$95,0),1)</f>
      </c>
      <c r="M12" s="44">
        <f>INDEX(Matching_Engine!$AQ$6:$AQ$95,MATCH("BRAND-C|"&amp;KOL_Database!$A$12,Matching_Engine!$AZ$6:$AZ$95,0),1)</f>
      </c>
      <c r="N12" s="44">
        <f>COUNTIF($L$5:$L$34,"&gt;"&amp;$L12)+1</f>
      </c>
      <c r="O12" s="83">
        <f>MAX($F12,$I12,$L12)-MIN($F12,$I12,$L12)</f>
      </c>
      <c r="P12" s="44">
        <f>IF($F12&gt;=$I12,IF($F12&gt;=$L12,Sample_Brands!$B$5,Sample_Brands!$B$7),IF($I12&gt;=$L12,Sample_Brands!$B$6,Sample_Brands!$B$7))</f>
      </c>
      <c r="Q12" s="44">
        <f>IF($O12=0,"YES — identical","no")</f>
      </c>
    </row>
    <row r="13" spans="1:17" x14ac:dyDescent="0.25">
      <c r="A13" s="44">
        <f>KOL_Database!$A$13</f>
      </c>
      <c r="B13" s="43">
        <f>KOL_Database!$B$13</f>
      </c>
      <c r="C13" s="44">
        <f>KOL_Database!$D$13</f>
      </c>
      <c r="D13" s="44">
        <f>KOL_Database!$E$13</f>
      </c>
      <c r="E13" s="44">
        <f>KOL_Database!$G$13</f>
      </c>
      <c r="F13" s="83">
        <f>INDEX(Matching_Engine!$AP$6:$AP$95,MATCH("BRAND-A|"&amp;KOL_Database!$A$13,Matching_Engine!$AZ$6:$AZ$95,0),1)</f>
      </c>
      <c r="G13" s="44">
        <f>INDEX(Matching_Engine!$AQ$6:$AQ$95,MATCH("BRAND-A|"&amp;KOL_Database!$A$13,Matching_Engine!$AZ$6:$AZ$95,0),1)</f>
      </c>
      <c r="H13" s="44">
        <f>COUNTIF($F$5:$F$34,"&gt;"&amp;$F13)+1</f>
      </c>
      <c r="I13" s="83">
        <f>INDEX(Matching_Engine!$AP$6:$AP$95,MATCH("BRAND-B|"&amp;KOL_Database!$A$13,Matching_Engine!$AZ$6:$AZ$95,0),1)</f>
      </c>
      <c r="J13" s="44">
        <f>INDEX(Matching_Engine!$AQ$6:$AQ$95,MATCH("BRAND-B|"&amp;KOL_Database!$A$13,Matching_Engine!$AZ$6:$AZ$95,0),1)</f>
      </c>
      <c r="K13" s="44">
        <f>COUNTIF($I$5:$I$34,"&gt;"&amp;$I13)+1</f>
      </c>
      <c r="L13" s="83">
        <f>INDEX(Matching_Engine!$AP$6:$AP$95,MATCH("BRAND-C|"&amp;KOL_Database!$A$13,Matching_Engine!$AZ$6:$AZ$95,0),1)</f>
      </c>
      <c r="M13" s="44">
        <f>INDEX(Matching_Engine!$AQ$6:$AQ$95,MATCH("BRAND-C|"&amp;KOL_Database!$A$13,Matching_Engine!$AZ$6:$AZ$95,0),1)</f>
      </c>
      <c r="N13" s="44">
        <f>COUNTIF($L$5:$L$34,"&gt;"&amp;$L13)+1</f>
      </c>
      <c r="O13" s="83">
        <f>MAX($F13,$I13,$L13)-MIN($F13,$I13,$L13)</f>
      </c>
      <c r="P13" s="44">
        <f>IF($F13&gt;=$I13,IF($F13&gt;=$L13,Sample_Brands!$B$5,Sample_Brands!$B$7),IF($I13&gt;=$L13,Sample_Brands!$B$6,Sample_Brands!$B$7))</f>
      </c>
      <c r="Q13" s="44">
        <f>IF($O13=0,"YES — identical","no")</f>
      </c>
    </row>
    <row r="14" spans="1:17" x14ac:dyDescent="0.25">
      <c r="A14" s="44">
        <f>KOL_Database!$A$14</f>
      </c>
      <c r="B14" s="43">
        <f>KOL_Database!$B$14</f>
      </c>
      <c r="C14" s="44">
        <f>KOL_Database!$D$14</f>
      </c>
      <c r="D14" s="44">
        <f>KOL_Database!$E$14</f>
      </c>
      <c r="E14" s="44">
        <f>KOL_Database!$G$14</f>
      </c>
      <c r="F14" s="83">
        <f>INDEX(Matching_Engine!$AP$6:$AP$95,MATCH("BRAND-A|"&amp;KOL_Database!$A$14,Matching_Engine!$AZ$6:$AZ$95,0),1)</f>
      </c>
      <c r="G14" s="44">
        <f>INDEX(Matching_Engine!$AQ$6:$AQ$95,MATCH("BRAND-A|"&amp;KOL_Database!$A$14,Matching_Engine!$AZ$6:$AZ$95,0),1)</f>
      </c>
      <c r="H14" s="44">
        <f>COUNTIF($F$5:$F$34,"&gt;"&amp;$F14)+1</f>
      </c>
      <c r="I14" s="83">
        <f>INDEX(Matching_Engine!$AP$6:$AP$95,MATCH("BRAND-B|"&amp;KOL_Database!$A$14,Matching_Engine!$AZ$6:$AZ$95,0),1)</f>
      </c>
      <c r="J14" s="44">
        <f>INDEX(Matching_Engine!$AQ$6:$AQ$95,MATCH("BRAND-B|"&amp;KOL_Database!$A$14,Matching_Engine!$AZ$6:$AZ$95,0),1)</f>
      </c>
      <c r="K14" s="44">
        <f>COUNTIF($I$5:$I$34,"&gt;"&amp;$I14)+1</f>
      </c>
      <c r="L14" s="83">
        <f>INDEX(Matching_Engine!$AP$6:$AP$95,MATCH("BRAND-C|"&amp;KOL_Database!$A$14,Matching_Engine!$AZ$6:$AZ$95,0),1)</f>
      </c>
      <c r="M14" s="44">
        <f>INDEX(Matching_Engine!$AQ$6:$AQ$95,MATCH("BRAND-C|"&amp;KOL_Database!$A$14,Matching_Engine!$AZ$6:$AZ$95,0),1)</f>
      </c>
      <c r="N14" s="44">
        <f>COUNTIF($L$5:$L$34,"&gt;"&amp;$L14)+1</f>
      </c>
      <c r="O14" s="83">
        <f>MAX($F14,$I14,$L14)-MIN($F14,$I14,$L14)</f>
      </c>
      <c r="P14" s="44">
        <f>IF($F14&gt;=$I14,IF($F14&gt;=$L14,Sample_Brands!$B$5,Sample_Brands!$B$7),IF($I14&gt;=$L14,Sample_Brands!$B$6,Sample_Brands!$B$7))</f>
      </c>
      <c r="Q14" s="44">
        <f>IF($O14=0,"YES — identical","no")</f>
      </c>
    </row>
    <row r="15" spans="1:17" x14ac:dyDescent="0.25">
      <c r="A15" s="44">
        <f>KOL_Database!$A$15</f>
      </c>
      <c r="B15" s="43">
        <f>KOL_Database!$B$15</f>
      </c>
      <c r="C15" s="44">
        <f>KOL_Database!$D$15</f>
      </c>
      <c r="D15" s="44">
        <f>KOL_Database!$E$15</f>
      </c>
      <c r="E15" s="44">
        <f>KOL_Database!$G$15</f>
      </c>
      <c r="F15" s="83">
        <f>INDEX(Matching_Engine!$AP$6:$AP$95,MATCH("BRAND-A|"&amp;KOL_Database!$A$15,Matching_Engine!$AZ$6:$AZ$95,0),1)</f>
      </c>
      <c r="G15" s="44">
        <f>INDEX(Matching_Engine!$AQ$6:$AQ$95,MATCH("BRAND-A|"&amp;KOL_Database!$A$15,Matching_Engine!$AZ$6:$AZ$95,0),1)</f>
      </c>
      <c r="H15" s="44">
        <f>COUNTIF($F$5:$F$34,"&gt;"&amp;$F15)+1</f>
      </c>
      <c r="I15" s="83">
        <f>INDEX(Matching_Engine!$AP$6:$AP$95,MATCH("BRAND-B|"&amp;KOL_Database!$A$15,Matching_Engine!$AZ$6:$AZ$95,0),1)</f>
      </c>
      <c r="J15" s="44">
        <f>INDEX(Matching_Engine!$AQ$6:$AQ$95,MATCH("BRAND-B|"&amp;KOL_Database!$A$15,Matching_Engine!$AZ$6:$AZ$95,0),1)</f>
      </c>
      <c r="K15" s="44">
        <f>COUNTIF($I$5:$I$34,"&gt;"&amp;$I15)+1</f>
      </c>
      <c r="L15" s="83">
        <f>INDEX(Matching_Engine!$AP$6:$AP$95,MATCH("BRAND-C|"&amp;KOL_Database!$A$15,Matching_Engine!$AZ$6:$AZ$95,0),1)</f>
      </c>
      <c r="M15" s="44">
        <f>INDEX(Matching_Engine!$AQ$6:$AQ$95,MATCH("BRAND-C|"&amp;KOL_Database!$A$15,Matching_Engine!$AZ$6:$AZ$95,0),1)</f>
      </c>
      <c r="N15" s="44">
        <f>COUNTIF($L$5:$L$34,"&gt;"&amp;$L15)+1</f>
      </c>
      <c r="O15" s="83">
        <f>MAX($F15,$I15,$L15)-MIN($F15,$I15,$L15)</f>
      </c>
      <c r="P15" s="44">
        <f>IF($F15&gt;=$I15,IF($F15&gt;=$L15,Sample_Brands!$B$5,Sample_Brands!$B$7),IF($I15&gt;=$L15,Sample_Brands!$B$6,Sample_Brands!$B$7))</f>
      </c>
      <c r="Q15" s="44">
        <f>IF($O15=0,"YES — identical","no")</f>
      </c>
    </row>
    <row r="16" spans="1:17" x14ac:dyDescent="0.25">
      <c r="A16" s="44">
        <f>KOL_Database!$A$16</f>
      </c>
      <c r="B16" s="43">
        <f>KOL_Database!$B$16</f>
      </c>
      <c r="C16" s="44">
        <f>KOL_Database!$D$16</f>
      </c>
      <c r="D16" s="44">
        <f>KOL_Database!$E$16</f>
      </c>
      <c r="E16" s="44">
        <f>KOL_Database!$G$16</f>
      </c>
      <c r="F16" s="83">
        <f>INDEX(Matching_Engine!$AP$6:$AP$95,MATCH("BRAND-A|"&amp;KOL_Database!$A$16,Matching_Engine!$AZ$6:$AZ$95,0),1)</f>
      </c>
      <c r="G16" s="44">
        <f>INDEX(Matching_Engine!$AQ$6:$AQ$95,MATCH("BRAND-A|"&amp;KOL_Database!$A$16,Matching_Engine!$AZ$6:$AZ$95,0),1)</f>
      </c>
      <c r="H16" s="44">
        <f>COUNTIF($F$5:$F$34,"&gt;"&amp;$F16)+1</f>
      </c>
      <c r="I16" s="83">
        <f>INDEX(Matching_Engine!$AP$6:$AP$95,MATCH("BRAND-B|"&amp;KOL_Database!$A$16,Matching_Engine!$AZ$6:$AZ$95,0),1)</f>
      </c>
      <c r="J16" s="44">
        <f>INDEX(Matching_Engine!$AQ$6:$AQ$95,MATCH("BRAND-B|"&amp;KOL_Database!$A$16,Matching_Engine!$AZ$6:$AZ$95,0),1)</f>
      </c>
      <c r="K16" s="44">
        <f>COUNTIF($I$5:$I$34,"&gt;"&amp;$I16)+1</f>
      </c>
      <c r="L16" s="83">
        <f>INDEX(Matching_Engine!$AP$6:$AP$95,MATCH("BRAND-C|"&amp;KOL_Database!$A$16,Matching_Engine!$AZ$6:$AZ$95,0),1)</f>
      </c>
      <c r="M16" s="44">
        <f>INDEX(Matching_Engine!$AQ$6:$AQ$95,MATCH("BRAND-C|"&amp;KOL_Database!$A$16,Matching_Engine!$AZ$6:$AZ$95,0),1)</f>
      </c>
      <c r="N16" s="44">
        <f>COUNTIF($L$5:$L$34,"&gt;"&amp;$L16)+1</f>
      </c>
      <c r="O16" s="83">
        <f>MAX($F16,$I16,$L16)-MIN($F16,$I16,$L16)</f>
      </c>
      <c r="P16" s="44">
        <f>IF($F16&gt;=$I16,IF($F16&gt;=$L16,Sample_Brands!$B$5,Sample_Brands!$B$7),IF($I16&gt;=$L16,Sample_Brands!$B$6,Sample_Brands!$B$7))</f>
      </c>
      <c r="Q16" s="44">
        <f>IF($O16=0,"YES — identical","no")</f>
      </c>
    </row>
    <row r="17" spans="1:17" x14ac:dyDescent="0.25">
      <c r="A17" s="44">
        <f>KOL_Database!$A$17</f>
      </c>
      <c r="B17" s="43">
        <f>KOL_Database!$B$17</f>
      </c>
      <c r="C17" s="44">
        <f>KOL_Database!$D$17</f>
      </c>
      <c r="D17" s="44">
        <f>KOL_Database!$E$17</f>
      </c>
      <c r="E17" s="44">
        <f>KOL_Database!$G$17</f>
      </c>
      <c r="F17" s="83">
        <f>INDEX(Matching_Engine!$AP$6:$AP$95,MATCH("BRAND-A|"&amp;KOL_Database!$A$17,Matching_Engine!$AZ$6:$AZ$95,0),1)</f>
      </c>
      <c r="G17" s="44">
        <f>INDEX(Matching_Engine!$AQ$6:$AQ$95,MATCH("BRAND-A|"&amp;KOL_Database!$A$17,Matching_Engine!$AZ$6:$AZ$95,0),1)</f>
      </c>
      <c r="H17" s="44">
        <f>COUNTIF($F$5:$F$34,"&gt;"&amp;$F17)+1</f>
      </c>
      <c r="I17" s="83">
        <f>INDEX(Matching_Engine!$AP$6:$AP$95,MATCH("BRAND-B|"&amp;KOL_Database!$A$17,Matching_Engine!$AZ$6:$AZ$95,0),1)</f>
      </c>
      <c r="J17" s="44">
        <f>INDEX(Matching_Engine!$AQ$6:$AQ$95,MATCH("BRAND-B|"&amp;KOL_Database!$A$17,Matching_Engine!$AZ$6:$AZ$95,0),1)</f>
      </c>
      <c r="K17" s="44">
        <f>COUNTIF($I$5:$I$34,"&gt;"&amp;$I17)+1</f>
      </c>
      <c r="L17" s="83">
        <f>INDEX(Matching_Engine!$AP$6:$AP$95,MATCH("BRAND-C|"&amp;KOL_Database!$A$17,Matching_Engine!$AZ$6:$AZ$95,0),1)</f>
      </c>
      <c r="M17" s="44">
        <f>INDEX(Matching_Engine!$AQ$6:$AQ$95,MATCH("BRAND-C|"&amp;KOL_Database!$A$17,Matching_Engine!$AZ$6:$AZ$95,0),1)</f>
      </c>
      <c r="N17" s="44">
        <f>COUNTIF($L$5:$L$34,"&gt;"&amp;$L17)+1</f>
      </c>
      <c r="O17" s="83">
        <f>MAX($F17,$I17,$L17)-MIN($F17,$I17,$L17)</f>
      </c>
      <c r="P17" s="44">
        <f>IF($F17&gt;=$I17,IF($F17&gt;=$L17,Sample_Brands!$B$5,Sample_Brands!$B$7),IF($I17&gt;=$L17,Sample_Brands!$B$6,Sample_Brands!$B$7))</f>
      </c>
      <c r="Q17" s="44">
        <f>IF($O17=0,"YES — identical","no")</f>
      </c>
    </row>
    <row r="18" spans="1:17" x14ac:dyDescent="0.25">
      <c r="A18" s="44">
        <f>KOL_Database!$A$18</f>
      </c>
      <c r="B18" s="43">
        <f>KOL_Database!$B$18</f>
      </c>
      <c r="C18" s="44">
        <f>KOL_Database!$D$18</f>
      </c>
      <c r="D18" s="44">
        <f>KOL_Database!$E$18</f>
      </c>
      <c r="E18" s="44">
        <f>KOL_Database!$G$18</f>
      </c>
      <c r="F18" s="83">
        <f>INDEX(Matching_Engine!$AP$6:$AP$95,MATCH("BRAND-A|"&amp;KOL_Database!$A$18,Matching_Engine!$AZ$6:$AZ$95,0),1)</f>
      </c>
      <c r="G18" s="44">
        <f>INDEX(Matching_Engine!$AQ$6:$AQ$95,MATCH("BRAND-A|"&amp;KOL_Database!$A$18,Matching_Engine!$AZ$6:$AZ$95,0),1)</f>
      </c>
      <c r="H18" s="44">
        <f>COUNTIF($F$5:$F$34,"&gt;"&amp;$F18)+1</f>
      </c>
      <c r="I18" s="83">
        <f>INDEX(Matching_Engine!$AP$6:$AP$95,MATCH("BRAND-B|"&amp;KOL_Database!$A$18,Matching_Engine!$AZ$6:$AZ$95,0),1)</f>
      </c>
      <c r="J18" s="44">
        <f>INDEX(Matching_Engine!$AQ$6:$AQ$95,MATCH("BRAND-B|"&amp;KOL_Database!$A$18,Matching_Engine!$AZ$6:$AZ$95,0),1)</f>
      </c>
      <c r="K18" s="44">
        <f>COUNTIF($I$5:$I$34,"&gt;"&amp;$I18)+1</f>
      </c>
      <c r="L18" s="83">
        <f>INDEX(Matching_Engine!$AP$6:$AP$95,MATCH("BRAND-C|"&amp;KOL_Database!$A$18,Matching_Engine!$AZ$6:$AZ$95,0),1)</f>
      </c>
      <c r="M18" s="44">
        <f>INDEX(Matching_Engine!$AQ$6:$AQ$95,MATCH("BRAND-C|"&amp;KOL_Database!$A$18,Matching_Engine!$AZ$6:$AZ$95,0),1)</f>
      </c>
      <c r="N18" s="44">
        <f>COUNTIF($L$5:$L$34,"&gt;"&amp;$L18)+1</f>
      </c>
      <c r="O18" s="83">
        <f>MAX($F18,$I18,$L18)-MIN($F18,$I18,$L18)</f>
      </c>
      <c r="P18" s="44">
        <f>IF($F18&gt;=$I18,IF($F18&gt;=$L18,Sample_Brands!$B$5,Sample_Brands!$B$7),IF($I18&gt;=$L18,Sample_Brands!$B$6,Sample_Brands!$B$7))</f>
      </c>
      <c r="Q18" s="44">
        <f>IF($O18=0,"YES — identical","no")</f>
      </c>
    </row>
    <row r="19" spans="1:17" x14ac:dyDescent="0.25">
      <c r="A19" s="44">
        <f>KOL_Database!$A$19</f>
      </c>
      <c r="B19" s="43">
        <f>KOL_Database!$B$19</f>
      </c>
      <c r="C19" s="44">
        <f>KOL_Database!$D$19</f>
      </c>
      <c r="D19" s="44">
        <f>KOL_Database!$E$19</f>
      </c>
      <c r="E19" s="44">
        <f>KOL_Database!$G$19</f>
      </c>
      <c r="F19" s="83">
        <f>INDEX(Matching_Engine!$AP$6:$AP$95,MATCH("BRAND-A|"&amp;KOL_Database!$A$19,Matching_Engine!$AZ$6:$AZ$95,0),1)</f>
      </c>
      <c r="G19" s="44">
        <f>INDEX(Matching_Engine!$AQ$6:$AQ$95,MATCH("BRAND-A|"&amp;KOL_Database!$A$19,Matching_Engine!$AZ$6:$AZ$95,0),1)</f>
      </c>
      <c r="H19" s="44">
        <f>COUNTIF($F$5:$F$34,"&gt;"&amp;$F19)+1</f>
      </c>
      <c r="I19" s="83">
        <f>INDEX(Matching_Engine!$AP$6:$AP$95,MATCH("BRAND-B|"&amp;KOL_Database!$A$19,Matching_Engine!$AZ$6:$AZ$95,0),1)</f>
      </c>
      <c r="J19" s="44">
        <f>INDEX(Matching_Engine!$AQ$6:$AQ$95,MATCH("BRAND-B|"&amp;KOL_Database!$A$19,Matching_Engine!$AZ$6:$AZ$95,0),1)</f>
      </c>
      <c r="K19" s="44">
        <f>COUNTIF($I$5:$I$34,"&gt;"&amp;$I19)+1</f>
      </c>
      <c r="L19" s="83">
        <f>INDEX(Matching_Engine!$AP$6:$AP$95,MATCH("BRAND-C|"&amp;KOL_Database!$A$19,Matching_Engine!$AZ$6:$AZ$95,0),1)</f>
      </c>
      <c r="M19" s="44">
        <f>INDEX(Matching_Engine!$AQ$6:$AQ$95,MATCH("BRAND-C|"&amp;KOL_Database!$A$19,Matching_Engine!$AZ$6:$AZ$95,0),1)</f>
      </c>
      <c r="N19" s="44">
        <f>COUNTIF($L$5:$L$34,"&gt;"&amp;$L19)+1</f>
      </c>
      <c r="O19" s="83">
        <f>MAX($F19,$I19,$L19)-MIN($F19,$I19,$L19)</f>
      </c>
      <c r="P19" s="44">
        <f>IF($F19&gt;=$I19,IF($F19&gt;=$L19,Sample_Brands!$B$5,Sample_Brands!$B$7),IF($I19&gt;=$L19,Sample_Brands!$B$6,Sample_Brands!$B$7))</f>
      </c>
      <c r="Q19" s="44">
        <f>IF($O19=0,"YES — identical","no")</f>
      </c>
    </row>
    <row r="20" spans="1:17" x14ac:dyDescent="0.25">
      <c r="A20" s="44">
        <f>KOL_Database!$A$20</f>
      </c>
      <c r="B20" s="43">
        <f>KOL_Database!$B$20</f>
      </c>
      <c r="C20" s="44">
        <f>KOL_Database!$D$20</f>
      </c>
      <c r="D20" s="44">
        <f>KOL_Database!$E$20</f>
      </c>
      <c r="E20" s="44">
        <f>KOL_Database!$G$20</f>
      </c>
      <c r="F20" s="83">
        <f>INDEX(Matching_Engine!$AP$6:$AP$95,MATCH("BRAND-A|"&amp;KOL_Database!$A$20,Matching_Engine!$AZ$6:$AZ$95,0),1)</f>
      </c>
      <c r="G20" s="44">
        <f>INDEX(Matching_Engine!$AQ$6:$AQ$95,MATCH("BRAND-A|"&amp;KOL_Database!$A$20,Matching_Engine!$AZ$6:$AZ$95,0),1)</f>
      </c>
      <c r="H20" s="44">
        <f>COUNTIF($F$5:$F$34,"&gt;"&amp;$F20)+1</f>
      </c>
      <c r="I20" s="83">
        <f>INDEX(Matching_Engine!$AP$6:$AP$95,MATCH("BRAND-B|"&amp;KOL_Database!$A$20,Matching_Engine!$AZ$6:$AZ$95,0),1)</f>
      </c>
      <c r="J20" s="44">
        <f>INDEX(Matching_Engine!$AQ$6:$AQ$95,MATCH("BRAND-B|"&amp;KOL_Database!$A$20,Matching_Engine!$AZ$6:$AZ$95,0),1)</f>
      </c>
      <c r="K20" s="44">
        <f>COUNTIF($I$5:$I$34,"&gt;"&amp;$I20)+1</f>
      </c>
      <c r="L20" s="83">
        <f>INDEX(Matching_Engine!$AP$6:$AP$95,MATCH("BRAND-C|"&amp;KOL_Database!$A$20,Matching_Engine!$AZ$6:$AZ$95,0),1)</f>
      </c>
      <c r="M20" s="44">
        <f>INDEX(Matching_Engine!$AQ$6:$AQ$95,MATCH("BRAND-C|"&amp;KOL_Database!$A$20,Matching_Engine!$AZ$6:$AZ$95,0),1)</f>
      </c>
      <c r="N20" s="44">
        <f>COUNTIF($L$5:$L$34,"&gt;"&amp;$L20)+1</f>
      </c>
      <c r="O20" s="83">
        <f>MAX($F20,$I20,$L20)-MIN($F20,$I20,$L20)</f>
      </c>
      <c r="P20" s="44">
        <f>IF($F20&gt;=$I20,IF($F20&gt;=$L20,Sample_Brands!$B$5,Sample_Brands!$B$7),IF($I20&gt;=$L20,Sample_Brands!$B$6,Sample_Brands!$B$7))</f>
      </c>
      <c r="Q20" s="44">
        <f>IF($O20=0,"YES — identical","no")</f>
      </c>
    </row>
    <row r="21" spans="1:17" x14ac:dyDescent="0.25">
      <c r="A21" s="44">
        <f>KOL_Database!$A$21</f>
      </c>
      <c r="B21" s="43">
        <f>KOL_Database!$B$21</f>
      </c>
      <c r="C21" s="44">
        <f>KOL_Database!$D$21</f>
      </c>
      <c r="D21" s="44">
        <f>KOL_Database!$E$21</f>
      </c>
      <c r="E21" s="44">
        <f>KOL_Database!$G$21</f>
      </c>
      <c r="F21" s="83">
        <f>INDEX(Matching_Engine!$AP$6:$AP$95,MATCH("BRAND-A|"&amp;KOL_Database!$A$21,Matching_Engine!$AZ$6:$AZ$95,0),1)</f>
      </c>
      <c r="G21" s="44">
        <f>INDEX(Matching_Engine!$AQ$6:$AQ$95,MATCH("BRAND-A|"&amp;KOL_Database!$A$21,Matching_Engine!$AZ$6:$AZ$95,0),1)</f>
      </c>
      <c r="H21" s="44">
        <f>COUNTIF($F$5:$F$34,"&gt;"&amp;$F21)+1</f>
      </c>
      <c r="I21" s="83">
        <f>INDEX(Matching_Engine!$AP$6:$AP$95,MATCH("BRAND-B|"&amp;KOL_Database!$A$21,Matching_Engine!$AZ$6:$AZ$95,0),1)</f>
      </c>
      <c r="J21" s="44">
        <f>INDEX(Matching_Engine!$AQ$6:$AQ$95,MATCH("BRAND-B|"&amp;KOL_Database!$A$21,Matching_Engine!$AZ$6:$AZ$95,0),1)</f>
      </c>
      <c r="K21" s="44">
        <f>COUNTIF($I$5:$I$34,"&gt;"&amp;$I21)+1</f>
      </c>
      <c r="L21" s="83">
        <f>INDEX(Matching_Engine!$AP$6:$AP$95,MATCH("BRAND-C|"&amp;KOL_Database!$A$21,Matching_Engine!$AZ$6:$AZ$95,0),1)</f>
      </c>
      <c r="M21" s="44">
        <f>INDEX(Matching_Engine!$AQ$6:$AQ$95,MATCH("BRAND-C|"&amp;KOL_Database!$A$21,Matching_Engine!$AZ$6:$AZ$95,0),1)</f>
      </c>
      <c r="N21" s="44">
        <f>COUNTIF($L$5:$L$34,"&gt;"&amp;$L21)+1</f>
      </c>
      <c r="O21" s="83">
        <f>MAX($F21,$I21,$L21)-MIN($F21,$I21,$L21)</f>
      </c>
      <c r="P21" s="44">
        <f>IF($F21&gt;=$I21,IF($F21&gt;=$L21,Sample_Brands!$B$5,Sample_Brands!$B$7),IF($I21&gt;=$L21,Sample_Brands!$B$6,Sample_Brands!$B$7))</f>
      </c>
      <c r="Q21" s="44">
        <f>IF($O21=0,"YES — identical","no")</f>
      </c>
    </row>
    <row r="22" spans="1:17" x14ac:dyDescent="0.25">
      <c r="A22" s="44">
        <f>KOL_Database!$A$22</f>
      </c>
      <c r="B22" s="43">
        <f>KOL_Database!$B$22</f>
      </c>
      <c r="C22" s="44">
        <f>KOL_Database!$D$22</f>
      </c>
      <c r="D22" s="44">
        <f>KOL_Database!$E$22</f>
      </c>
      <c r="E22" s="44">
        <f>KOL_Database!$G$22</f>
      </c>
      <c r="F22" s="83">
        <f>INDEX(Matching_Engine!$AP$6:$AP$95,MATCH("BRAND-A|"&amp;KOL_Database!$A$22,Matching_Engine!$AZ$6:$AZ$95,0),1)</f>
      </c>
      <c r="G22" s="44">
        <f>INDEX(Matching_Engine!$AQ$6:$AQ$95,MATCH("BRAND-A|"&amp;KOL_Database!$A$22,Matching_Engine!$AZ$6:$AZ$95,0),1)</f>
      </c>
      <c r="H22" s="44">
        <f>COUNTIF($F$5:$F$34,"&gt;"&amp;$F22)+1</f>
      </c>
      <c r="I22" s="83">
        <f>INDEX(Matching_Engine!$AP$6:$AP$95,MATCH("BRAND-B|"&amp;KOL_Database!$A$22,Matching_Engine!$AZ$6:$AZ$95,0),1)</f>
      </c>
      <c r="J22" s="44">
        <f>INDEX(Matching_Engine!$AQ$6:$AQ$95,MATCH("BRAND-B|"&amp;KOL_Database!$A$22,Matching_Engine!$AZ$6:$AZ$95,0),1)</f>
      </c>
      <c r="K22" s="44">
        <f>COUNTIF($I$5:$I$34,"&gt;"&amp;$I22)+1</f>
      </c>
      <c r="L22" s="83">
        <f>INDEX(Matching_Engine!$AP$6:$AP$95,MATCH("BRAND-C|"&amp;KOL_Database!$A$22,Matching_Engine!$AZ$6:$AZ$95,0),1)</f>
      </c>
      <c r="M22" s="44">
        <f>INDEX(Matching_Engine!$AQ$6:$AQ$95,MATCH("BRAND-C|"&amp;KOL_Database!$A$22,Matching_Engine!$AZ$6:$AZ$95,0),1)</f>
      </c>
      <c r="N22" s="44">
        <f>COUNTIF($L$5:$L$34,"&gt;"&amp;$L22)+1</f>
      </c>
      <c r="O22" s="83">
        <f>MAX($F22,$I22,$L22)-MIN($F22,$I22,$L22)</f>
      </c>
      <c r="P22" s="44">
        <f>IF($F22&gt;=$I22,IF($F22&gt;=$L22,Sample_Brands!$B$5,Sample_Brands!$B$7),IF($I22&gt;=$L22,Sample_Brands!$B$6,Sample_Brands!$B$7))</f>
      </c>
      <c r="Q22" s="44">
        <f>IF($O22=0,"YES — identical","no")</f>
      </c>
    </row>
    <row r="23" spans="1:17" x14ac:dyDescent="0.25">
      <c r="A23" s="44">
        <f>KOL_Database!$A$23</f>
      </c>
      <c r="B23" s="43">
        <f>KOL_Database!$B$23</f>
      </c>
      <c r="C23" s="44">
        <f>KOL_Database!$D$23</f>
      </c>
      <c r="D23" s="44">
        <f>KOL_Database!$E$23</f>
      </c>
      <c r="E23" s="44">
        <f>KOL_Database!$G$23</f>
      </c>
      <c r="F23" s="83">
        <f>INDEX(Matching_Engine!$AP$6:$AP$95,MATCH("BRAND-A|"&amp;KOL_Database!$A$23,Matching_Engine!$AZ$6:$AZ$95,0),1)</f>
      </c>
      <c r="G23" s="44">
        <f>INDEX(Matching_Engine!$AQ$6:$AQ$95,MATCH("BRAND-A|"&amp;KOL_Database!$A$23,Matching_Engine!$AZ$6:$AZ$95,0),1)</f>
      </c>
      <c r="H23" s="44">
        <f>COUNTIF($F$5:$F$34,"&gt;"&amp;$F23)+1</f>
      </c>
      <c r="I23" s="83">
        <f>INDEX(Matching_Engine!$AP$6:$AP$95,MATCH("BRAND-B|"&amp;KOL_Database!$A$23,Matching_Engine!$AZ$6:$AZ$95,0),1)</f>
      </c>
      <c r="J23" s="44">
        <f>INDEX(Matching_Engine!$AQ$6:$AQ$95,MATCH("BRAND-B|"&amp;KOL_Database!$A$23,Matching_Engine!$AZ$6:$AZ$95,0),1)</f>
      </c>
      <c r="K23" s="44">
        <f>COUNTIF($I$5:$I$34,"&gt;"&amp;$I23)+1</f>
      </c>
      <c r="L23" s="83">
        <f>INDEX(Matching_Engine!$AP$6:$AP$95,MATCH("BRAND-C|"&amp;KOL_Database!$A$23,Matching_Engine!$AZ$6:$AZ$95,0),1)</f>
      </c>
      <c r="M23" s="44">
        <f>INDEX(Matching_Engine!$AQ$6:$AQ$95,MATCH("BRAND-C|"&amp;KOL_Database!$A$23,Matching_Engine!$AZ$6:$AZ$95,0),1)</f>
      </c>
      <c r="N23" s="44">
        <f>COUNTIF($L$5:$L$34,"&gt;"&amp;$L23)+1</f>
      </c>
      <c r="O23" s="83">
        <f>MAX($F23,$I23,$L23)-MIN($F23,$I23,$L23)</f>
      </c>
      <c r="P23" s="44">
        <f>IF($F23&gt;=$I23,IF($F23&gt;=$L23,Sample_Brands!$B$5,Sample_Brands!$B$7),IF($I23&gt;=$L23,Sample_Brands!$B$6,Sample_Brands!$B$7))</f>
      </c>
      <c r="Q23" s="44">
        <f>IF($O23=0,"YES — identical","no")</f>
      </c>
    </row>
    <row r="24" spans="1:17" x14ac:dyDescent="0.25">
      <c r="A24" s="44">
        <f>KOL_Database!$A$24</f>
      </c>
      <c r="B24" s="43">
        <f>KOL_Database!$B$24</f>
      </c>
      <c r="C24" s="44">
        <f>KOL_Database!$D$24</f>
      </c>
      <c r="D24" s="44">
        <f>KOL_Database!$E$24</f>
      </c>
      <c r="E24" s="44">
        <f>KOL_Database!$G$24</f>
      </c>
      <c r="F24" s="83">
        <f>INDEX(Matching_Engine!$AP$6:$AP$95,MATCH("BRAND-A|"&amp;KOL_Database!$A$24,Matching_Engine!$AZ$6:$AZ$95,0),1)</f>
      </c>
      <c r="G24" s="44">
        <f>INDEX(Matching_Engine!$AQ$6:$AQ$95,MATCH("BRAND-A|"&amp;KOL_Database!$A$24,Matching_Engine!$AZ$6:$AZ$95,0),1)</f>
      </c>
      <c r="H24" s="44">
        <f>COUNTIF($F$5:$F$34,"&gt;"&amp;$F24)+1</f>
      </c>
      <c r="I24" s="83">
        <f>INDEX(Matching_Engine!$AP$6:$AP$95,MATCH("BRAND-B|"&amp;KOL_Database!$A$24,Matching_Engine!$AZ$6:$AZ$95,0),1)</f>
      </c>
      <c r="J24" s="44">
        <f>INDEX(Matching_Engine!$AQ$6:$AQ$95,MATCH("BRAND-B|"&amp;KOL_Database!$A$24,Matching_Engine!$AZ$6:$AZ$95,0),1)</f>
      </c>
      <c r="K24" s="44">
        <f>COUNTIF($I$5:$I$34,"&gt;"&amp;$I24)+1</f>
      </c>
      <c r="L24" s="83">
        <f>INDEX(Matching_Engine!$AP$6:$AP$95,MATCH("BRAND-C|"&amp;KOL_Database!$A$24,Matching_Engine!$AZ$6:$AZ$95,0),1)</f>
      </c>
      <c r="M24" s="44">
        <f>INDEX(Matching_Engine!$AQ$6:$AQ$95,MATCH("BRAND-C|"&amp;KOL_Database!$A$24,Matching_Engine!$AZ$6:$AZ$95,0),1)</f>
      </c>
      <c r="N24" s="44">
        <f>COUNTIF($L$5:$L$34,"&gt;"&amp;$L24)+1</f>
      </c>
      <c r="O24" s="83">
        <f>MAX($F24,$I24,$L24)-MIN($F24,$I24,$L24)</f>
      </c>
      <c r="P24" s="44">
        <f>IF($F24&gt;=$I24,IF($F24&gt;=$L24,Sample_Brands!$B$5,Sample_Brands!$B$7),IF($I24&gt;=$L24,Sample_Brands!$B$6,Sample_Brands!$B$7))</f>
      </c>
      <c r="Q24" s="44">
        <f>IF($O24=0,"YES — identical","no")</f>
      </c>
    </row>
    <row r="25" spans="1:17" x14ac:dyDescent="0.25">
      <c r="A25" s="44">
        <f>KOL_Database!$A$25</f>
      </c>
      <c r="B25" s="43">
        <f>KOL_Database!$B$25</f>
      </c>
      <c r="C25" s="44">
        <f>KOL_Database!$D$25</f>
      </c>
      <c r="D25" s="44">
        <f>KOL_Database!$E$25</f>
      </c>
      <c r="E25" s="44">
        <f>KOL_Database!$G$25</f>
      </c>
      <c r="F25" s="83">
        <f>INDEX(Matching_Engine!$AP$6:$AP$95,MATCH("BRAND-A|"&amp;KOL_Database!$A$25,Matching_Engine!$AZ$6:$AZ$95,0),1)</f>
      </c>
      <c r="G25" s="44">
        <f>INDEX(Matching_Engine!$AQ$6:$AQ$95,MATCH("BRAND-A|"&amp;KOL_Database!$A$25,Matching_Engine!$AZ$6:$AZ$95,0),1)</f>
      </c>
      <c r="H25" s="44">
        <f>COUNTIF($F$5:$F$34,"&gt;"&amp;$F25)+1</f>
      </c>
      <c r="I25" s="83">
        <f>INDEX(Matching_Engine!$AP$6:$AP$95,MATCH("BRAND-B|"&amp;KOL_Database!$A$25,Matching_Engine!$AZ$6:$AZ$95,0),1)</f>
      </c>
      <c r="J25" s="44">
        <f>INDEX(Matching_Engine!$AQ$6:$AQ$95,MATCH("BRAND-B|"&amp;KOL_Database!$A$25,Matching_Engine!$AZ$6:$AZ$95,0),1)</f>
      </c>
      <c r="K25" s="44">
        <f>COUNTIF($I$5:$I$34,"&gt;"&amp;$I25)+1</f>
      </c>
      <c r="L25" s="83">
        <f>INDEX(Matching_Engine!$AP$6:$AP$95,MATCH("BRAND-C|"&amp;KOL_Database!$A$25,Matching_Engine!$AZ$6:$AZ$95,0),1)</f>
      </c>
      <c r="M25" s="44">
        <f>INDEX(Matching_Engine!$AQ$6:$AQ$95,MATCH("BRAND-C|"&amp;KOL_Database!$A$25,Matching_Engine!$AZ$6:$AZ$95,0),1)</f>
      </c>
      <c r="N25" s="44">
        <f>COUNTIF($L$5:$L$34,"&gt;"&amp;$L25)+1</f>
      </c>
      <c r="O25" s="83">
        <f>MAX($F25,$I25,$L25)-MIN($F25,$I25,$L25)</f>
      </c>
      <c r="P25" s="44">
        <f>IF($F25&gt;=$I25,IF($F25&gt;=$L25,Sample_Brands!$B$5,Sample_Brands!$B$7),IF($I25&gt;=$L25,Sample_Brands!$B$6,Sample_Brands!$B$7))</f>
      </c>
      <c r="Q25" s="44">
        <f>IF($O25=0,"YES — identical","no")</f>
      </c>
    </row>
    <row r="26" spans="1:17" x14ac:dyDescent="0.25">
      <c r="A26" s="44">
        <f>KOL_Database!$A$26</f>
      </c>
      <c r="B26" s="43">
        <f>KOL_Database!$B$26</f>
      </c>
      <c r="C26" s="44">
        <f>KOL_Database!$D$26</f>
      </c>
      <c r="D26" s="44">
        <f>KOL_Database!$E$26</f>
      </c>
      <c r="E26" s="44">
        <f>KOL_Database!$G$26</f>
      </c>
      <c r="F26" s="83">
        <f>INDEX(Matching_Engine!$AP$6:$AP$95,MATCH("BRAND-A|"&amp;KOL_Database!$A$26,Matching_Engine!$AZ$6:$AZ$95,0),1)</f>
      </c>
      <c r="G26" s="44">
        <f>INDEX(Matching_Engine!$AQ$6:$AQ$95,MATCH("BRAND-A|"&amp;KOL_Database!$A$26,Matching_Engine!$AZ$6:$AZ$95,0),1)</f>
      </c>
      <c r="H26" s="44">
        <f>COUNTIF($F$5:$F$34,"&gt;"&amp;$F26)+1</f>
      </c>
      <c r="I26" s="83">
        <f>INDEX(Matching_Engine!$AP$6:$AP$95,MATCH("BRAND-B|"&amp;KOL_Database!$A$26,Matching_Engine!$AZ$6:$AZ$95,0),1)</f>
      </c>
      <c r="J26" s="44">
        <f>INDEX(Matching_Engine!$AQ$6:$AQ$95,MATCH("BRAND-B|"&amp;KOL_Database!$A$26,Matching_Engine!$AZ$6:$AZ$95,0),1)</f>
      </c>
      <c r="K26" s="44">
        <f>COUNTIF($I$5:$I$34,"&gt;"&amp;$I26)+1</f>
      </c>
      <c r="L26" s="83">
        <f>INDEX(Matching_Engine!$AP$6:$AP$95,MATCH("BRAND-C|"&amp;KOL_Database!$A$26,Matching_Engine!$AZ$6:$AZ$95,0),1)</f>
      </c>
      <c r="M26" s="44">
        <f>INDEX(Matching_Engine!$AQ$6:$AQ$95,MATCH("BRAND-C|"&amp;KOL_Database!$A$26,Matching_Engine!$AZ$6:$AZ$95,0),1)</f>
      </c>
      <c r="N26" s="44">
        <f>COUNTIF($L$5:$L$34,"&gt;"&amp;$L26)+1</f>
      </c>
      <c r="O26" s="83">
        <f>MAX($F26,$I26,$L26)-MIN($F26,$I26,$L26)</f>
      </c>
      <c r="P26" s="44">
        <f>IF($F26&gt;=$I26,IF($F26&gt;=$L26,Sample_Brands!$B$5,Sample_Brands!$B$7),IF($I26&gt;=$L26,Sample_Brands!$B$6,Sample_Brands!$B$7))</f>
      </c>
      <c r="Q26" s="44">
        <f>IF($O26=0,"YES — identical","no")</f>
      </c>
    </row>
    <row r="27" spans="1:17" x14ac:dyDescent="0.25">
      <c r="A27" s="44">
        <f>KOL_Database!$A$27</f>
      </c>
      <c r="B27" s="43">
        <f>KOL_Database!$B$27</f>
      </c>
      <c r="C27" s="44">
        <f>KOL_Database!$D$27</f>
      </c>
      <c r="D27" s="44">
        <f>KOL_Database!$E$27</f>
      </c>
      <c r="E27" s="44">
        <f>KOL_Database!$G$27</f>
      </c>
      <c r="F27" s="83">
        <f>INDEX(Matching_Engine!$AP$6:$AP$95,MATCH("BRAND-A|"&amp;KOL_Database!$A$27,Matching_Engine!$AZ$6:$AZ$95,0),1)</f>
      </c>
      <c r="G27" s="44">
        <f>INDEX(Matching_Engine!$AQ$6:$AQ$95,MATCH("BRAND-A|"&amp;KOL_Database!$A$27,Matching_Engine!$AZ$6:$AZ$95,0),1)</f>
      </c>
      <c r="H27" s="44">
        <f>COUNTIF($F$5:$F$34,"&gt;"&amp;$F27)+1</f>
      </c>
      <c r="I27" s="83">
        <f>INDEX(Matching_Engine!$AP$6:$AP$95,MATCH("BRAND-B|"&amp;KOL_Database!$A$27,Matching_Engine!$AZ$6:$AZ$95,0),1)</f>
      </c>
      <c r="J27" s="44">
        <f>INDEX(Matching_Engine!$AQ$6:$AQ$95,MATCH("BRAND-B|"&amp;KOL_Database!$A$27,Matching_Engine!$AZ$6:$AZ$95,0),1)</f>
      </c>
      <c r="K27" s="44">
        <f>COUNTIF($I$5:$I$34,"&gt;"&amp;$I27)+1</f>
      </c>
      <c r="L27" s="83">
        <f>INDEX(Matching_Engine!$AP$6:$AP$95,MATCH("BRAND-C|"&amp;KOL_Database!$A$27,Matching_Engine!$AZ$6:$AZ$95,0),1)</f>
      </c>
      <c r="M27" s="44">
        <f>INDEX(Matching_Engine!$AQ$6:$AQ$95,MATCH("BRAND-C|"&amp;KOL_Database!$A$27,Matching_Engine!$AZ$6:$AZ$95,0),1)</f>
      </c>
      <c r="N27" s="44">
        <f>COUNTIF($L$5:$L$34,"&gt;"&amp;$L27)+1</f>
      </c>
      <c r="O27" s="83">
        <f>MAX($F27,$I27,$L27)-MIN($F27,$I27,$L27)</f>
      </c>
      <c r="P27" s="44">
        <f>IF($F27&gt;=$I27,IF($F27&gt;=$L27,Sample_Brands!$B$5,Sample_Brands!$B$7),IF($I27&gt;=$L27,Sample_Brands!$B$6,Sample_Brands!$B$7))</f>
      </c>
      <c r="Q27" s="44">
        <f>IF($O27=0,"YES — identical","no")</f>
      </c>
    </row>
    <row r="28" spans="1:17" x14ac:dyDescent="0.25">
      <c r="A28" s="44">
        <f>KOL_Database!$A$28</f>
      </c>
      <c r="B28" s="43">
        <f>KOL_Database!$B$28</f>
      </c>
      <c r="C28" s="44">
        <f>KOL_Database!$D$28</f>
      </c>
      <c r="D28" s="44">
        <f>KOL_Database!$E$28</f>
      </c>
      <c r="E28" s="44">
        <f>KOL_Database!$G$28</f>
      </c>
      <c r="F28" s="83">
        <f>INDEX(Matching_Engine!$AP$6:$AP$95,MATCH("BRAND-A|"&amp;KOL_Database!$A$28,Matching_Engine!$AZ$6:$AZ$95,0),1)</f>
      </c>
      <c r="G28" s="44">
        <f>INDEX(Matching_Engine!$AQ$6:$AQ$95,MATCH("BRAND-A|"&amp;KOL_Database!$A$28,Matching_Engine!$AZ$6:$AZ$95,0),1)</f>
      </c>
      <c r="H28" s="44">
        <f>COUNTIF($F$5:$F$34,"&gt;"&amp;$F28)+1</f>
      </c>
      <c r="I28" s="83">
        <f>INDEX(Matching_Engine!$AP$6:$AP$95,MATCH("BRAND-B|"&amp;KOL_Database!$A$28,Matching_Engine!$AZ$6:$AZ$95,0),1)</f>
      </c>
      <c r="J28" s="44">
        <f>INDEX(Matching_Engine!$AQ$6:$AQ$95,MATCH("BRAND-B|"&amp;KOL_Database!$A$28,Matching_Engine!$AZ$6:$AZ$95,0),1)</f>
      </c>
      <c r="K28" s="44">
        <f>COUNTIF($I$5:$I$34,"&gt;"&amp;$I28)+1</f>
      </c>
      <c r="L28" s="83">
        <f>INDEX(Matching_Engine!$AP$6:$AP$95,MATCH("BRAND-C|"&amp;KOL_Database!$A$28,Matching_Engine!$AZ$6:$AZ$95,0),1)</f>
      </c>
      <c r="M28" s="44">
        <f>INDEX(Matching_Engine!$AQ$6:$AQ$95,MATCH("BRAND-C|"&amp;KOL_Database!$A$28,Matching_Engine!$AZ$6:$AZ$95,0),1)</f>
      </c>
      <c r="N28" s="44">
        <f>COUNTIF($L$5:$L$34,"&gt;"&amp;$L28)+1</f>
      </c>
      <c r="O28" s="83">
        <f>MAX($F28,$I28,$L28)-MIN($F28,$I28,$L28)</f>
      </c>
      <c r="P28" s="44">
        <f>IF($F28&gt;=$I28,IF($F28&gt;=$L28,Sample_Brands!$B$5,Sample_Brands!$B$7),IF($I28&gt;=$L28,Sample_Brands!$B$6,Sample_Brands!$B$7))</f>
      </c>
      <c r="Q28" s="44">
        <f>IF($O28=0,"YES — identical","no")</f>
      </c>
    </row>
    <row r="29" spans="1:17" x14ac:dyDescent="0.25">
      <c r="A29" s="44">
        <f>KOL_Database!$A$29</f>
      </c>
      <c r="B29" s="43">
        <f>KOL_Database!$B$29</f>
      </c>
      <c r="C29" s="44">
        <f>KOL_Database!$D$29</f>
      </c>
      <c r="D29" s="44">
        <f>KOL_Database!$E$29</f>
      </c>
      <c r="E29" s="44">
        <f>KOL_Database!$G$29</f>
      </c>
      <c r="F29" s="83">
        <f>INDEX(Matching_Engine!$AP$6:$AP$95,MATCH("BRAND-A|"&amp;KOL_Database!$A$29,Matching_Engine!$AZ$6:$AZ$95,0),1)</f>
      </c>
      <c r="G29" s="44">
        <f>INDEX(Matching_Engine!$AQ$6:$AQ$95,MATCH("BRAND-A|"&amp;KOL_Database!$A$29,Matching_Engine!$AZ$6:$AZ$95,0),1)</f>
      </c>
      <c r="H29" s="44">
        <f>COUNTIF($F$5:$F$34,"&gt;"&amp;$F29)+1</f>
      </c>
      <c r="I29" s="83">
        <f>INDEX(Matching_Engine!$AP$6:$AP$95,MATCH("BRAND-B|"&amp;KOL_Database!$A$29,Matching_Engine!$AZ$6:$AZ$95,0),1)</f>
      </c>
      <c r="J29" s="44">
        <f>INDEX(Matching_Engine!$AQ$6:$AQ$95,MATCH("BRAND-B|"&amp;KOL_Database!$A$29,Matching_Engine!$AZ$6:$AZ$95,0),1)</f>
      </c>
      <c r="K29" s="44">
        <f>COUNTIF($I$5:$I$34,"&gt;"&amp;$I29)+1</f>
      </c>
      <c r="L29" s="83">
        <f>INDEX(Matching_Engine!$AP$6:$AP$95,MATCH("BRAND-C|"&amp;KOL_Database!$A$29,Matching_Engine!$AZ$6:$AZ$95,0),1)</f>
      </c>
      <c r="M29" s="44">
        <f>INDEX(Matching_Engine!$AQ$6:$AQ$95,MATCH("BRAND-C|"&amp;KOL_Database!$A$29,Matching_Engine!$AZ$6:$AZ$95,0),1)</f>
      </c>
      <c r="N29" s="44">
        <f>COUNTIF($L$5:$L$34,"&gt;"&amp;$L29)+1</f>
      </c>
      <c r="O29" s="83">
        <f>MAX($F29,$I29,$L29)-MIN($F29,$I29,$L29)</f>
      </c>
      <c r="P29" s="44">
        <f>IF($F29&gt;=$I29,IF($F29&gt;=$L29,Sample_Brands!$B$5,Sample_Brands!$B$7),IF($I29&gt;=$L29,Sample_Brands!$B$6,Sample_Brands!$B$7))</f>
      </c>
      <c r="Q29" s="44">
        <f>IF($O29=0,"YES — identical","no")</f>
      </c>
    </row>
    <row r="30" spans="1:17" x14ac:dyDescent="0.25">
      <c r="A30" s="44">
        <f>KOL_Database!$A$30</f>
      </c>
      <c r="B30" s="43">
        <f>KOL_Database!$B$30</f>
      </c>
      <c r="C30" s="44">
        <f>KOL_Database!$D$30</f>
      </c>
      <c r="D30" s="44">
        <f>KOL_Database!$E$30</f>
      </c>
      <c r="E30" s="44">
        <f>KOL_Database!$G$30</f>
      </c>
      <c r="F30" s="83">
        <f>INDEX(Matching_Engine!$AP$6:$AP$95,MATCH("BRAND-A|"&amp;KOL_Database!$A$30,Matching_Engine!$AZ$6:$AZ$95,0),1)</f>
      </c>
      <c r="G30" s="44">
        <f>INDEX(Matching_Engine!$AQ$6:$AQ$95,MATCH("BRAND-A|"&amp;KOL_Database!$A$30,Matching_Engine!$AZ$6:$AZ$95,0),1)</f>
      </c>
      <c r="H30" s="44">
        <f>COUNTIF($F$5:$F$34,"&gt;"&amp;$F30)+1</f>
      </c>
      <c r="I30" s="83">
        <f>INDEX(Matching_Engine!$AP$6:$AP$95,MATCH("BRAND-B|"&amp;KOL_Database!$A$30,Matching_Engine!$AZ$6:$AZ$95,0),1)</f>
      </c>
      <c r="J30" s="44">
        <f>INDEX(Matching_Engine!$AQ$6:$AQ$95,MATCH("BRAND-B|"&amp;KOL_Database!$A$30,Matching_Engine!$AZ$6:$AZ$95,0),1)</f>
      </c>
      <c r="K30" s="44">
        <f>COUNTIF($I$5:$I$34,"&gt;"&amp;$I30)+1</f>
      </c>
      <c r="L30" s="83">
        <f>INDEX(Matching_Engine!$AP$6:$AP$95,MATCH("BRAND-C|"&amp;KOL_Database!$A$30,Matching_Engine!$AZ$6:$AZ$95,0),1)</f>
      </c>
      <c r="M30" s="44">
        <f>INDEX(Matching_Engine!$AQ$6:$AQ$95,MATCH("BRAND-C|"&amp;KOL_Database!$A$30,Matching_Engine!$AZ$6:$AZ$95,0),1)</f>
      </c>
      <c r="N30" s="44">
        <f>COUNTIF($L$5:$L$34,"&gt;"&amp;$L30)+1</f>
      </c>
      <c r="O30" s="83">
        <f>MAX($F30,$I30,$L30)-MIN($F30,$I30,$L30)</f>
      </c>
      <c r="P30" s="44">
        <f>IF($F30&gt;=$I30,IF($F30&gt;=$L30,Sample_Brands!$B$5,Sample_Brands!$B$7),IF($I30&gt;=$L30,Sample_Brands!$B$6,Sample_Brands!$B$7))</f>
      </c>
      <c r="Q30" s="44">
        <f>IF($O30=0,"YES — identical","no")</f>
      </c>
    </row>
    <row r="31" spans="1:17" x14ac:dyDescent="0.25">
      <c r="A31" s="44">
        <f>KOL_Database!$A$31</f>
      </c>
      <c r="B31" s="43">
        <f>KOL_Database!$B$31</f>
      </c>
      <c r="C31" s="44">
        <f>KOL_Database!$D$31</f>
      </c>
      <c r="D31" s="44">
        <f>KOL_Database!$E$31</f>
      </c>
      <c r="E31" s="44">
        <f>KOL_Database!$G$31</f>
      </c>
      <c r="F31" s="83">
        <f>INDEX(Matching_Engine!$AP$6:$AP$95,MATCH("BRAND-A|"&amp;KOL_Database!$A$31,Matching_Engine!$AZ$6:$AZ$95,0),1)</f>
      </c>
      <c r="G31" s="44">
        <f>INDEX(Matching_Engine!$AQ$6:$AQ$95,MATCH("BRAND-A|"&amp;KOL_Database!$A$31,Matching_Engine!$AZ$6:$AZ$95,0),1)</f>
      </c>
      <c r="H31" s="44">
        <f>COUNTIF($F$5:$F$34,"&gt;"&amp;$F31)+1</f>
      </c>
      <c r="I31" s="83">
        <f>INDEX(Matching_Engine!$AP$6:$AP$95,MATCH("BRAND-B|"&amp;KOL_Database!$A$31,Matching_Engine!$AZ$6:$AZ$95,0),1)</f>
      </c>
      <c r="J31" s="44">
        <f>INDEX(Matching_Engine!$AQ$6:$AQ$95,MATCH("BRAND-B|"&amp;KOL_Database!$A$31,Matching_Engine!$AZ$6:$AZ$95,0),1)</f>
      </c>
      <c r="K31" s="44">
        <f>COUNTIF($I$5:$I$34,"&gt;"&amp;$I31)+1</f>
      </c>
      <c r="L31" s="83">
        <f>INDEX(Matching_Engine!$AP$6:$AP$95,MATCH("BRAND-C|"&amp;KOL_Database!$A$31,Matching_Engine!$AZ$6:$AZ$95,0),1)</f>
      </c>
      <c r="M31" s="44">
        <f>INDEX(Matching_Engine!$AQ$6:$AQ$95,MATCH("BRAND-C|"&amp;KOL_Database!$A$31,Matching_Engine!$AZ$6:$AZ$95,0),1)</f>
      </c>
      <c r="N31" s="44">
        <f>COUNTIF($L$5:$L$34,"&gt;"&amp;$L31)+1</f>
      </c>
      <c r="O31" s="83">
        <f>MAX($F31,$I31,$L31)-MIN($F31,$I31,$L31)</f>
      </c>
      <c r="P31" s="44">
        <f>IF($F31&gt;=$I31,IF($F31&gt;=$L31,Sample_Brands!$B$5,Sample_Brands!$B$7),IF($I31&gt;=$L31,Sample_Brands!$B$6,Sample_Brands!$B$7))</f>
      </c>
      <c r="Q31" s="44">
        <f>IF($O31=0,"YES — identical","no")</f>
      </c>
    </row>
    <row r="32" spans="1:17" x14ac:dyDescent="0.25">
      <c r="A32" s="44">
        <f>KOL_Database!$A$32</f>
      </c>
      <c r="B32" s="43">
        <f>KOL_Database!$B$32</f>
      </c>
      <c r="C32" s="44">
        <f>KOL_Database!$D$32</f>
      </c>
      <c r="D32" s="44">
        <f>KOL_Database!$E$32</f>
      </c>
      <c r="E32" s="44">
        <f>KOL_Database!$G$32</f>
      </c>
      <c r="F32" s="83">
        <f>INDEX(Matching_Engine!$AP$6:$AP$95,MATCH("BRAND-A|"&amp;KOL_Database!$A$32,Matching_Engine!$AZ$6:$AZ$95,0),1)</f>
      </c>
      <c r="G32" s="44">
        <f>INDEX(Matching_Engine!$AQ$6:$AQ$95,MATCH("BRAND-A|"&amp;KOL_Database!$A$32,Matching_Engine!$AZ$6:$AZ$95,0),1)</f>
      </c>
      <c r="H32" s="44">
        <f>COUNTIF($F$5:$F$34,"&gt;"&amp;$F32)+1</f>
      </c>
      <c r="I32" s="83">
        <f>INDEX(Matching_Engine!$AP$6:$AP$95,MATCH("BRAND-B|"&amp;KOL_Database!$A$32,Matching_Engine!$AZ$6:$AZ$95,0),1)</f>
      </c>
      <c r="J32" s="44">
        <f>INDEX(Matching_Engine!$AQ$6:$AQ$95,MATCH("BRAND-B|"&amp;KOL_Database!$A$32,Matching_Engine!$AZ$6:$AZ$95,0),1)</f>
      </c>
      <c r="K32" s="44">
        <f>COUNTIF($I$5:$I$34,"&gt;"&amp;$I32)+1</f>
      </c>
      <c r="L32" s="83">
        <f>INDEX(Matching_Engine!$AP$6:$AP$95,MATCH("BRAND-C|"&amp;KOL_Database!$A$32,Matching_Engine!$AZ$6:$AZ$95,0),1)</f>
      </c>
      <c r="M32" s="44">
        <f>INDEX(Matching_Engine!$AQ$6:$AQ$95,MATCH("BRAND-C|"&amp;KOL_Database!$A$32,Matching_Engine!$AZ$6:$AZ$95,0),1)</f>
      </c>
      <c r="N32" s="44">
        <f>COUNTIF($L$5:$L$34,"&gt;"&amp;$L32)+1</f>
      </c>
      <c r="O32" s="83">
        <f>MAX($F32,$I32,$L32)-MIN($F32,$I32,$L32)</f>
      </c>
      <c r="P32" s="44">
        <f>IF($F32&gt;=$I32,IF($F32&gt;=$L32,Sample_Brands!$B$5,Sample_Brands!$B$7),IF($I32&gt;=$L32,Sample_Brands!$B$6,Sample_Brands!$B$7))</f>
      </c>
      <c r="Q32" s="44">
        <f>IF($O32=0,"YES — identical","no")</f>
      </c>
    </row>
    <row r="33" spans="1:17" x14ac:dyDescent="0.25">
      <c r="A33" s="44">
        <f>KOL_Database!$A$33</f>
      </c>
      <c r="B33" s="43">
        <f>KOL_Database!$B$33</f>
      </c>
      <c r="C33" s="44">
        <f>KOL_Database!$D$33</f>
      </c>
      <c r="D33" s="44">
        <f>KOL_Database!$E$33</f>
      </c>
      <c r="E33" s="44">
        <f>KOL_Database!$G$33</f>
      </c>
      <c r="F33" s="83">
        <f>INDEX(Matching_Engine!$AP$6:$AP$95,MATCH("BRAND-A|"&amp;KOL_Database!$A$33,Matching_Engine!$AZ$6:$AZ$95,0),1)</f>
      </c>
      <c r="G33" s="44">
        <f>INDEX(Matching_Engine!$AQ$6:$AQ$95,MATCH("BRAND-A|"&amp;KOL_Database!$A$33,Matching_Engine!$AZ$6:$AZ$95,0),1)</f>
      </c>
      <c r="H33" s="44">
        <f>COUNTIF($F$5:$F$34,"&gt;"&amp;$F33)+1</f>
      </c>
      <c r="I33" s="83">
        <f>INDEX(Matching_Engine!$AP$6:$AP$95,MATCH("BRAND-B|"&amp;KOL_Database!$A$33,Matching_Engine!$AZ$6:$AZ$95,0),1)</f>
      </c>
      <c r="J33" s="44">
        <f>INDEX(Matching_Engine!$AQ$6:$AQ$95,MATCH("BRAND-B|"&amp;KOL_Database!$A$33,Matching_Engine!$AZ$6:$AZ$95,0),1)</f>
      </c>
      <c r="K33" s="44">
        <f>COUNTIF($I$5:$I$34,"&gt;"&amp;$I33)+1</f>
      </c>
      <c r="L33" s="83">
        <f>INDEX(Matching_Engine!$AP$6:$AP$95,MATCH("BRAND-C|"&amp;KOL_Database!$A$33,Matching_Engine!$AZ$6:$AZ$95,0),1)</f>
      </c>
      <c r="M33" s="44">
        <f>INDEX(Matching_Engine!$AQ$6:$AQ$95,MATCH("BRAND-C|"&amp;KOL_Database!$A$33,Matching_Engine!$AZ$6:$AZ$95,0),1)</f>
      </c>
      <c r="N33" s="44">
        <f>COUNTIF($L$5:$L$34,"&gt;"&amp;$L33)+1</f>
      </c>
      <c r="O33" s="83">
        <f>MAX($F33,$I33,$L33)-MIN($F33,$I33,$L33)</f>
      </c>
      <c r="P33" s="44">
        <f>IF($F33&gt;=$I33,IF($F33&gt;=$L33,Sample_Brands!$B$5,Sample_Brands!$B$7),IF($I33&gt;=$L33,Sample_Brands!$B$6,Sample_Brands!$B$7))</f>
      </c>
      <c r="Q33" s="44">
        <f>IF($O33=0,"YES — identical","no")</f>
      </c>
    </row>
    <row r="34" spans="1:17" x14ac:dyDescent="0.25">
      <c r="A34" s="44">
        <f>KOL_Database!$A$34</f>
      </c>
      <c r="B34" s="43">
        <f>KOL_Database!$B$34</f>
      </c>
      <c r="C34" s="44">
        <f>KOL_Database!$D$34</f>
      </c>
      <c r="D34" s="44">
        <f>KOL_Database!$E$34</f>
      </c>
      <c r="E34" s="44">
        <f>KOL_Database!$G$34</f>
      </c>
      <c r="F34" s="83">
        <f>INDEX(Matching_Engine!$AP$6:$AP$95,MATCH("BRAND-A|"&amp;KOL_Database!$A$34,Matching_Engine!$AZ$6:$AZ$95,0),1)</f>
      </c>
      <c r="G34" s="44">
        <f>INDEX(Matching_Engine!$AQ$6:$AQ$95,MATCH("BRAND-A|"&amp;KOL_Database!$A$34,Matching_Engine!$AZ$6:$AZ$95,0),1)</f>
      </c>
      <c r="H34" s="44">
        <f>COUNTIF($F$5:$F$34,"&gt;"&amp;$F34)+1</f>
      </c>
      <c r="I34" s="83">
        <f>INDEX(Matching_Engine!$AP$6:$AP$95,MATCH("BRAND-B|"&amp;KOL_Database!$A$34,Matching_Engine!$AZ$6:$AZ$95,0),1)</f>
      </c>
      <c r="J34" s="44">
        <f>INDEX(Matching_Engine!$AQ$6:$AQ$95,MATCH("BRAND-B|"&amp;KOL_Database!$A$34,Matching_Engine!$AZ$6:$AZ$95,0),1)</f>
      </c>
      <c r="K34" s="44">
        <f>COUNTIF($I$5:$I$34,"&gt;"&amp;$I34)+1</f>
      </c>
      <c r="L34" s="83">
        <f>INDEX(Matching_Engine!$AP$6:$AP$95,MATCH("BRAND-C|"&amp;KOL_Database!$A$34,Matching_Engine!$AZ$6:$AZ$95,0),1)</f>
      </c>
      <c r="M34" s="44">
        <f>INDEX(Matching_Engine!$AQ$6:$AQ$95,MATCH("BRAND-C|"&amp;KOL_Database!$A$34,Matching_Engine!$AZ$6:$AZ$95,0),1)</f>
      </c>
      <c r="N34" s="44">
        <f>COUNTIF($L$5:$L$34,"&gt;"&amp;$L34)+1</f>
      </c>
      <c r="O34" s="83">
        <f>MAX($F34,$I34,$L34)-MIN($F34,$I34,$L34)</f>
      </c>
      <c r="P34" s="44">
        <f>IF($F34&gt;=$I34,IF($F34&gt;=$L34,Sample_Brands!$B$5,Sample_Brands!$B$7),IF($I34&gt;=$L34,Sample_Brands!$B$6,Sample_Brands!$B$7))</f>
      </c>
      <c r="Q34" s="44">
        <f>IF($O34=0,"YES — identical","no")</f>
      </c>
    </row>
    <row r="36" ht="18" customHeight="1" spans="1:17" x14ac:dyDescent="0.25">
      <c r="A36" s="26" t="s">
        <v>1853</v>
      </c>
      <c r="B36" s="26"/>
      <c r="C36" s="26"/>
      <c r="D36" s="26"/>
      <c r="E36" s="26"/>
      <c r="F36" s="26"/>
      <c r="G36" s="26"/>
      <c r="H36" s="26"/>
      <c r="I36" s="26"/>
      <c r="J36" s="26"/>
      <c r="K36" s="26"/>
      <c r="L36" s="26"/>
      <c r="M36" s="26"/>
      <c r="N36" s="26"/>
      <c r="O36" s="26"/>
      <c r="P36" s="26"/>
      <c r="Q36" s="26"/>
    </row>
    <row r="37" spans="1:17" x14ac:dyDescent="0.25">
      <c r="A37" s="15" t="s">
        <v>1854</v>
      </c>
      <c r="B37" s="15"/>
      <c r="C37" s="15"/>
      <c r="D37" s="15"/>
      <c r="E37" s="29">
        <f>COUNTA($A$5:$A$34)</f>
      </c>
      <c r="F37" s="62" t="s">
        <v>3</v>
      </c>
      <c r="G37" s="62"/>
      <c r="H37" s="62"/>
      <c r="I37" s="62"/>
      <c r="J37" s="62"/>
      <c r="K37" s="62"/>
      <c r="L37" s="62"/>
      <c r="M37" s="62"/>
      <c r="N37" s="62"/>
      <c r="O37" s="62"/>
      <c r="P37" s="62"/>
      <c r="Q37" s="62"/>
    </row>
    <row r="38" spans="1:17" x14ac:dyDescent="0.25">
      <c r="A38" s="15" t="s">
        <v>1855</v>
      </c>
      <c r="B38" s="15"/>
      <c r="C38" s="15"/>
      <c r="D38" s="15"/>
      <c r="E38" s="29">
        <f>COUNTIF($O$5:$O$34,0)</f>
      </c>
      <c r="F38" s="62" t="s">
        <v>1856</v>
      </c>
      <c r="G38" s="62"/>
      <c r="H38" s="62"/>
      <c r="I38" s="62"/>
      <c r="J38" s="62"/>
      <c r="K38" s="62"/>
      <c r="L38" s="62"/>
      <c r="M38" s="62"/>
      <c r="N38" s="62"/>
      <c r="O38" s="62"/>
      <c r="P38" s="62"/>
      <c r="Q38" s="62"/>
    </row>
    <row r="39" spans="1:17" x14ac:dyDescent="0.25">
      <c r="A39" s="15" t="s">
        <v>1857</v>
      </c>
      <c r="B39" s="15"/>
      <c r="C39" s="15"/>
      <c r="D39" s="15"/>
      <c r="E39" s="29">
        <f>ROUND(AVERAGE($O$5:$O$34),1)</f>
      </c>
      <c r="F39" s="62" t="s">
        <v>1858</v>
      </c>
      <c r="G39" s="62"/>
      <c r="H39" s="62"/>
      <c r="I39" s="62"/>
      <c r="J39" s="62"/>
      <c r="K39" s="62"/>
      <c r="L39" s="62"/>
      <c r="M39" s="62"/>
      <c r="N39" s="62"/>
      <c r="O39" s="62"/>
      <c r="P39" s="62"/>
      <c r="Q39" s="62"/>
    </row>
    <row r="40" spans="1:17" x14ac:dyDescent="0.25">
      <c r="A40" s="15" t="s">
        <v>1859</v>
      </c>
      <c r="B40" s="15"/>
      <c r="C40" s="15"/>
      <c r="D40" s="15"/>
      <c r="E40" s="29">
        <f>MAX($O$5:$O$34)</f>
      </c>
      <c r="F40" s="62" t="s">
        <v>3</v>
      </c>
      <c r="G40" s="62"/>
      <c r="H40" s="62"/>
      <c r="I40" s="62"/>
      <c r="J40" s="62"/>
      <c r="K40" s="62"/>
      <c r="L40" s="62"/>
      <c r="M40" s="62"/>
      <c r="N40" s="62"/>
      <c r="O40" s="62"/>
      <c r="P40" s="62"/>
      <c r="Q40" s="62"/>
    </row>
    <row r="41" spans="1:17" x14ac:dyDescent="0.25">
      <c r="A41" s="15" t="s">
        <v>1860</v>
      </c>
      <c r="B41" s="15"/>
      <c r="C41" s="15"/>
      <c r="D41" s="15"/>
      <c r="E41" s="29">
        <f>MIN($O$5:$O$34)</f>
      </c>
      <c r="F41" s="62" t="s">
        <v>3</v>
      </c>
      <c r="G41" s="62"/>
      <c r="H41" s="62"/>
      <c r="I41" s="62"/>
      <c r="J41" s="62"/>
      <c r="K41" s="62"/>
      <c r="L41" s="62"/>
      <c r="M41" s="62"/>
      <c r="N41" s="62"/>
      <c r="O41" s="62"/>
      <c r="P41" s="62"/>
      <c r="Q41" s="62"/>
    </row>
    <row r="42" spans="1:17" x14ac:dyDescent="0.25">
      <c r="A42" s="15" t="s">
        <v>1861</v>
      </c>
      <c r="B42" s="15"/>
      <c r="C42" s="15"/>
      <c r="D42" s="15"/>
      <c r="E42" s="29">
        <f>IF(COUNTIF($O$5:$O$34,0)=0,"PASS — every creator scores differently for at least two of the three brands","CHECK — "&amp;COUNTIF($O$5:$O$34,0)&amp;" creator(s) score identically for all three brands")</f>
      </c>
      <c r="F42" s="62" t="s">
        <v>3</v>
      </c>
      <c r="G42" s="62"/>
      <c r="H42" s="62"/>
      <c r="I42" s="62"/>
      <c r="J42" s="62"/>
      <c r="K42" s="62"/>
      <c r="L42" s="62"/>
      <c r="M42" s="62"/>
      <c r="N42" s="62"/>
      <c r="O42" s="62"/>
      <c r="P42" s="62"/>
      <c r="Q42" s="62"/>
    </row>
    <row r="44" ht="18" customHeight="1" spans="1:17" x14ac:dyDescent="0.25">
      <c r="A44" s="26" t="s">
        <v>1862</v>
      </c>
      <c r="B44" s="26"/>
      <c r="C44" s="26"/>
      <c r="D44" s="26"/>
      <c r="E44" s="26"/>
      <c r="F44" s="26"/>
      <c r="G44" s="26"/>
      <c r="H44" s="26"/>
      <c r="I44" s="26"/>
      <c r="J44" s="26"/>
      <c r="K44" s="26"/>
      <c r="L44" s="26"/>
      <c r="M44" s="26"/>
      <c r="N44" s="26"/>
      <c r="O44" s="26"/>
      <c r="P44" s="26"/>
      <c r="Q44" s="26"/>
    </row>
    <row r="45" ht="22" customHeight="1" spans="1:4" x14ac:dyDescent="0.25">
      <c r="A45" s="12" t="s">
        <v>1863</v>
      </c>
      <c r="B45" s="12" t="s">
        <v>1864</v>
      </c>
      <c r="C45" s="12" t="s">
        <v>1865</v>
      </c>
      <c r="D45" s="12" t="s">
        <v>1866</v>
      </c>
    </row>
    <row r="46" spans="1:4" x14ac:dyDescent="0.25">
      <c r="A46" s="61">
        <v>1</v>
      </c>
      <c r="B46" s="44">
        <f>IFERROR(INDEX($B$5:$B$34,MATCH(LARGE($F$5:$F$34,1),$F$5:$F$34,0),1)&amp;" — "&amp;LARGE($F$5:$F$34,1)&amp;"/100","—")</f>
      </c>
      <c r="C46" s="44">
        <f>IFERROR(INDEX($B$5:$B$34,MATCH(LARGE($I$5:$I$34,1),$I$5:$I$34,0),1)&amp;" — "&amp;LARGE($I$5:$I$34,1)&amp;"/100","—")</f>
      </c>
      <c r="D46" s="44">
        <f>IFERROR(INDEX($B$5:$B$34,MATCH(LARGE($L$5:$L$34,1),$L$5:$L$34,0),1)&amp;" — "&amp;LARGE($L$5:$L$34,1)&amp;"/100","—")</f>
      </c>
    </row>
    <row r="47" spans="1:4" x14ac:dyDescent="0.25">
      <c r="A47" s="61">
        <v>2</v>
      </c>
      <c r="B47" s="44">
        <f>IFERROR(INDEX($B$5:$B$34,MATCH(LARGE($F$5:$F$34,2),$F$5:$F$34,0),1)&amp;" — "&amp;LARGE($F$5:$F$34,2)&amp;"/100","—")</f>
      </c>
      <c r="C47" s="44">
        <f>IFERROR(INDEX($B$5:$B$34,MATCH(LARGE($I$5:$I$34,2),$I$5:$I$34,0),1)&amp;" — "&amp;LARGE($I$5:$I$34,2)&amp;"/100","—")</f>
      </c>
      <c r="D47" s="44">
        <f>IFERROR(INDEX($B$5:$B$34,MATCH(LARGE($L$5:$L$34,2),$L$5:$L$34,0),1)&amp;" — "&amp;LARGE($L$5:$L$34,2)&amp;"/100","—")</f>
      </c>
    </row>
    <row r="48" spans="1:4" x14ac:dyDescent="0.25">
      <c r="A48" s="61">
        <v>3</v>
      </c>
      <c r="B48" s="44">
        <f>IFERROR(INDEX($B$5:$B$34,MATCH(LARGE($F$5:$F$34,3),$F$5:$F$34,0),1)&amp;" — "&amp;LARGE($F$5:$F$34,3)&amp;"/100","—")</f>
      </c>
      <c r="C48" s="44">
        <f>IFERROR(INDEX($B$5:$B$34,MATCH(LARGE($I$5:$I$34,3),$I$5:$I$34,0),1)&amp;" — "&amp;LARGE($I$5:$I$34,3)&amp;"/100","—")</f>
      </c>
      <c r="D48" s="44">
        <f>IFERROR(INDEX($B$5:$B$34,MATCH(LARGE($L$5:$L$34,3),$L$5:$L$34,0),1)&amp;" — "&amp;LARGE($L$5:$L$34,3)&amp;"/100","—")</f>
      </c>
    </row>
    <row r="49" spans="1:4" x14ac:dyDescent="0.25">
      <c r="A49" s="61">
        <v>4</v>
      </c>
      <c r="B49" s="44">
        <f>IFERROR(INDEX($B$5:$B$34,MATCH(LARGE($F$5:$F$34,4),$F$5:$F$34,0),1)&amp;" — "&amp;LARGE($F$5:$F$34,4)&amp;"/100","—")</f>
      </c>
      <c r="C49" s="44">
        <f>IFERROR(INDEX($B$5:$B$34,MATCH(LARGE($I$5:$I$34,4),$I$5:$I$34,0),1)&amp;" — "&amp;LARGE($I$5:$I$34,4)&amp;"/100","—")</f>
      </c>
      <c r="D49" s="44">
        <f>IFERROR(INDEX($B$5:$B$34,MATCH(LARGE($L$5:$L$34,4),$L$5:$L$34,0),1)&amp;" — "&amp;LARGE($L$5:$L$34,4)&amp;"/100","—")</f>
      </c>
    </row>
    <row r="50" spans="1:4" x14ac:dyDescent="0.25">
      <c r="A50" s="61">
        <v>5</v>
      </c>
      <c r="B50" s="44">
        <f>IFERROR(INDEX($B$5:$B$34,MATCH(LARGE($F$5:$F$34,5),$F$5:$F$34,0),1)&amp;" — "&amp;LARGE($F$5:$F$34,5)&amp;"/100","—")</f>
      </c>
      <c r="C50" s="44">
        <f>IFERROR(INDEX($B$5:$B$34,MATCH(LARGE($I$5:$I$34,5),$I$5:$I$34,0),1)&amp;" — "&amp;LARGE($I$5:$I$34,5)&amp;"/100","—")</f>
      </c>
      <c r="D50" s="44">
        <f>IFERROR(INDEX($B$5:$B$34,MATCH(LARGE($L$5:$L$34,5),$L$5:$L$34,0),1)&amp;" — "&amp;LARGE($L$5:$L$34,5)&amp;"/100","—")</f>
      </c>
    </row>
  </sheetData>
  <autoFilter ref="A4:Q34"/>
  <mergeCells count="16">
    <mergeCell ref="A1:Q1"/>
    <mergeCell ref="A2:Q2"/>
    <mergeCell ref="A36:Q36"/>
    <mergeCell ref="A37:D37"/>
    <mergeCell ref="F37:Q37"/>
    <mergeCell ref="A38:D38"/>
    <mergeCell ref="F38:Q38"/>
    <mergeCell ref="A39:D39"/>
    <mergeCell ref="F39:Q39"/>
    <mergeCell ref="A40:D40"/>
    <mergeCell ref="F40:Q40"/>
    <mergeCell ref="A41:D41"/>
    <mergeCell ref="F41:Q41"/>
    <mergeCell ref="A42:D42"/>
    <mergeCell ref="F42:Q42"/>
    <mergeCell ref="A44:Q44"/>
  </mergeCells>
  <conditionalFormatting sqref="F5:F34">
    <cfRule type="colorScale" priority="1">
      <colorScale>
        <cfvo type="num" val="40"/>
        <cfvo type="num" val="70"/>
        <cfvo type="num" val="95"/>
        <color rgb="FFF8696B"/>
        <color rgb="FFFFEB84"/>
        <color rgb="FF63BE7B"/>
      </colorScale>
    </cfRule>
  </conditionalFormatting>
  <conditionalFormatting sqref="I5:I34">
    <cfRule type="colorScale" priority="1">
      <colorScale>
        <cfvo type="num" val="40"/>
        <cfvo type="num" val="70"/>
        <cfvo type="num" val="95"/>
        <color rgb="FFF8696B"/>
        <color rgb="FFFFEB84"/>
        <color rgb="FF63BE7B"/>
      </colorScale>
    </cfRule>
  </conditionalFormatting>
  <conditionalFormatting sqref="L5:L34">
    <cfRule type="colorScale" priority="1">
      <colorScale>
        <cfvo type="num" val="40"/>
        <cfvo type="num" val="70"/>
        <cfvo type="num" val="95"/>
        <color rgb="FFF8696B"/>
        <color rgb="FFFFEB84"/>
        <color rgb="FF63BE7B"/>
      </colorScale>
    </cfRule>
  </conditionalFormatting>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1"/>
  <sheetViews>
    <sheetView workbookViewId="0">
      <pane ySplit="3" topLeftCell="A4" activePane="bottomLeft" state="frozen"/>
      <selection pane="bottomLeft"/>
    </sheetView>
  </sheetViews>
  <sheetFormatPr defaultRowHeight="15" outlineLevelRow="0" outlineLevelCol="0" x14ac:dyDescent="55"/>
  <cols>
    <col min="1" max="1" width="20" customWidth="1"/>
    <col min="2" max="3" width="18" customWidth="1"/>
    <col min="4" max="5" width="28" customWidth="1"/>
    <col min="6" max="6" width="46" customWidth="1"/>
    <col min="7" max="9" width="13" customWidth="1"/>
  </cols>
  <sheetData>
    <row r="1" ht="24" customHeight="1" spans="1:9" x14ac:dyDescent="0.25">
      <c r="A1" s="1" t="s">
        <v>1070</v>
      </c>
      <c r="B1" s="1"/>
      <c r="C1" s="1"/>
      <c r="D1" s="1"/>
      <c r="E1" s="1"/>
      <c r="F1" s="1"/>
      <c r="G1" s="1"/>
      <c r="H1" s="1"/>
      <c r="I1" s="1"/>
    </row>
    <row r="2" ht="30" customHeight="1" spans="1:9" x14ac:dyDescent="0.25">
      <c r="A2" s="2" t="s">
        <v>1071</v>
      </c>
      <c r="B2" s="2"/>
      <c r="C2" s="2"/>
      <c r="D2" s="2"/>
      <c r="E2" s="2"/>
      <c r="F2" s="2"/>
      <c r="G2" s="2"/>
      <c r="H2" s="2"/>
      <c r="I2" s="2"/>
    </row>
    <row r="4" ht="18" customHeight="1" spans="1:9" x14ac:dyDescent="0.25">
      <c r="A4" s="26" t="s">
        <v>1072</v>
      </c>
      <c r="B4" s="26"/>
      <c r="C4" s="26"/>
      <c r="D4" s="26"/>
      <c r="E4" s="26"/>
      <c r="F4" s="26"/>
      <c r="G4" s="26"/>
      <c r="H4" s="26"/>
      <c r="I4" s="26"/>
    </row>
    <row r="5" ht="24" customHeight="1" spans="1:9" x14ac:dyDescent="0.25">
      <c r="A5" s="12" t="s">
        <v>1073</v>
      </c>
      <c r="B5" s="12" t="s">
        <v>1074</v>
      </c>
      <c r="C5" s="12" t="s">
        <v>1075</v>
      </c>
      <c r="D5" s="12"/>
      <c r="E5" s="12"/>
      <c r="F5" s="12" t="s">
        <v>1076</v>
      </c>
      <c r="G5" s="12"/>
      <c r="H5" s="12"/>
      <c r="I5" s="12"/>
    </row>
    <row r="6" spans="1:9" x14ac:dyDescent="0.25">
      <c r="A6" s="63" t="s">
        <v>336</v>
      </c>
      <c r="B6" s="64" t="s">
        <v>1077</v>
      </c>
      <c r="C6" s="64" t="s">
        <v>1078</v>
      </c>
      <c r="D6" s="64"/>
      <c r="E6" s="64"/>
      <c r="F6" s="65" t="s">
        <v>1079</v>
      </c>
      <c r="G6" s="65"/>
      <c r="H6" s="65"/>
      <c r="I6" s="65"/>
    </row>
    <row r="7" spans="1:9" x14ac:dyDescent="0.25">
      <c r="A7" s="63" t="s">
        <v>335</v>
      </c>
      <c r="B7" s="64" t="s">
        <v>1080</v>
      </c>
      <c r="C7" s="64" t="s">
        <v>1081</v>
      </c>
      <c r="D7" s="64"/>
      <c r="E7" s="64"/>
      <c r="F7" s="65" t="s">
        <v>1082</v>
      </c>
      <c r="G7" s="65"/>
      <c r="H7" s="65"/>
      <c r="I7" s="65"/>
    </row>
    <row r="8" spans="1:9" x14ac:dyDescent="0.25">
      <c r="A8" s="63" t="s">
        <v>1083</v>
      </c>
      <c r="B8" s="64" t="s">
        <v>1084</v>
      </c>
      <c r="C8" s="64" t="s">
        <v>1085</v>
      </c>
      <c r="D8" s="64"/>
      <c r="E8" s="64"/>
      <c r="F8" s="65" t="s">
        <v>1086</v>
      </c>
      <c r="G8" s="65"/>
      <c r="H8" s="65"/>
      <c r="I8" s="65"/>
    </row>
    <row r="10" ht="18" customHeight="1" spans="1:9" x14ac:dyDescent="0.25">
      <c r="A10" s="26" t="s">
        <v>1087</v>
      </c>
      <c r="B10" s="26"/>
      <c r="C10" s="26"/>
      <c r="D10" s="26"/>
      <c r="E10" s="26"/>
      <c r="F10" s="26"/>
      <c r="G10" s="26"/>
      <c r="H10" s="26"/>
      <c r="I10" s="26"/>
    </row>
    <row r="11" ht="24" customHeight="1" spans="1:9" x14ac:dyDescent="0.25">
      <c r="A11" s="12" t="s">
        <v>1088</v>
      </c>
      <c r="B11" s="12" t="s">
        <v>1089</v>
      </c>
      <c r="C11" s="12" t="s">
        <v>1090</v>
      </c>
      <c r="D11" s="12"/>
      <c r="E11" s="12" t="s">
        <v>1091</v>
      </c>
      <c r="F11" s="12" t="s">
        <v>1092</v>
      </c>
      <c r="G11" s="12"/>
      <c r="H11" s="12"/>
      <c r="I11" s="12"/>
    </row>
    <row r="12" spans="1:9" x14ac:dyDescent="0.25">
      <c r="A12" s="63" t="s">
        <v>1093</v>
      </c>
      <c r="B12" s="66">
        <f>COUNTIF($B$21:$B$163,"L1 Category")</f>
      </c>
      <c r="C12" s="65" t="s">
        <v>1094</v>
      </c>
      <c r="D12" s="65"/>
      <c r="E12" s="64" t="s">
        <v>1095</v>
      </c>
      <c r="F12" s="64" t="s">
        <v>1096</v>
      </c>
      <c r="G12" s="64"/>
      <c r="H12" s="64"/>
      <c r="I12" s="64"/>
    </row>
    <row r="13" spans="1:9" x14ac:dyDescent="0.25">
      <c r="A13" s="63" t="s">
        <v>1097</v>
      </c>
      <c r="B13" s="66">
        <f>COUNTIF($B$21:$B$163,"L2 Sub Category")</f>
      </c>
      <c r="C13" s="65" t="s">
        <v>1098</v>
      </c>
      <c r="D13" s="65"/>
      <c r="E13" s="64" t="s">
        <v>769</v>
      </c>
      <c r="F13" s="64" t="s">
        <v>1099</v>
      </c>
      <c r="G13" s="64"/>
      <c r="H13" s="64"/>
      <c r="I13" s="64"/>
    </row>
    <row r="14" spans="1:9" x14ac:dyDescent="0.25">
      <c r="A14" s="63" t="s">
        <v>1100</v>
      </c>
      <c r="B14" s="66">
        <f>COUNTIF($B$21:$B$163,"L3 Content Topic")</f>
      </c>
      <c r="C14" s="65" t="s">
        <v>1101</v>
      </c>
      <c r="D14" s="65"/>
      <c r="E14" s="64" t="s">
        <v>1102</v>
      </c>
      <c r="F14" s="64" t="s">
        <v>1103</v>
      </c>
      <c r="G14" s="64"/>
      <c r="H14" s="64"/>
      <c r="I14" s="64"/>
    </row>
    <row r="15" spans="1:9" x14ac:dyDescent="0.25">
      <c r="A15" s="63" t="s">
        <v>1104</v>
      </c>
      <c r="B15" s="66">
        <f>COUNTIF($B$167:$B$202,"B1 Industry")</f>
      </c>
      <c r="C15" s="65" t="s">
        <v>1105</v>
      </c>
      <c r="D15" s="65"/>
      <c r="E15" s="64" t="s">
        <v>1106</v>
      </c>
      <c r="F15" s="64" t="s">
        <v>1107</v>
      </c>
      <c r="G15" s="64"/>
      <c r="H15" s="64"/>
      <c r="I15" s="64"/>
    </row>
    <row r="16" spans="1:9" x14ac:dyDescent="0.25">
      <c r="A16" s="63" t="s">
        <v>1108</v>
      </c>
      <c r="B16" s="66">
        <f>COUNTIF($B$167:$B$202,"B2 Niche")</f>
      </c>
      <c r="C16" s="65" t="s">
        <v>1109</v>
      </c>
      <c r="D16" s="65"/>
      <c r="E16" s="64" t="s">
        <v>1106</v>
      </c>
      <c r="F16" s="64" t="s">
        <v>1110</v>
      </c>
      <c r="G16" s="64"/>
      <c r="H16" s="64"/>
      <c r="I16" s="64"/>
    </row>
    <row r="17" spans="1:9" x14ac:dyDescent="0.25">
      <c r="A17" s="63" t="s">
        <v>1111</v>
      </c>
      <c r="B17" s="67" t="s">
        <v>737</v>
      </c>
      <c r="C17" s="65" t="s">
        <v>1112</v>
      </c>
      <c r="D17" s="65"/>
      <c r="E17" s="64" t="s">
        <v>1113</v>
      </c>
      <c r="F17" s="64" t="s">
        <v>1114</v>
      </c>
      <c r="G17" s="64"/>
      <c r="H17" s="64"/>
      <c r="I17" s="64"/>
    </row>
    <row r="19" ht="18" customHeight="1" spans="1:9" x14ac:dyDescent="0.25">
      <c r="A19" s="26" t="s">
        <v>1115</v>
      </c>
      <c r="B19" s="26"/>
      <c r="C19" s="26"/>
      <c r="D19" s="26"/>
      <c r="E19" s="26"/>
      <c r="F19" s="26"/>
      <c r="G19" s="26"/>
      <c r="H19" s="26"/>
      <c r="I19" s="26"/>
    </row>
    <row r="20" ht="24" customHeight="1" spans="1:9" x14ac:dyDescent="0.25">
      <c r="A20" s="12" t="s">
        <v>1116</v>
      </c>
      <c r="B20" s="12" t="s">
        <v>1088</v>
      </c>
      <c r="C20" s="12" t="s">
        <v>1117</v>
      </c>
      <c r="D20" s="12" t="s">
        <v>1118</v>
      </c>
      <c r="E20" s="12" t="s">
        <v>1119</v>
      </c>
      <c r="F20" s="12" t="s">
        <v>1120</v>
      </c>
      <c r="G20" s="12"/>
      <c r="H20" s="12"/>
      <c r="I20" s="12"/>
    </row>
    <row r="21" spans="1:9" x14ac:dyDescent="0.25">
      <c r="A21" s="68" t="s">
        <v>1121</v>
      </c>
      <c r="B21" s="69" t="s">
        <v>1093</v>
      </c>
      <c r="C21" s="70" t="s">
        <v>3</v>
      </c>
      <c r="D21" s="68" t="s">
        <v>202</v>
      </c>
      <c r="E21" s="69" t="s">
        <v>1122</v>
      </c>
      <c r="F21" s="70" t="s">
        <v>1123</v>
      </c>
      <c r="G21" s="70"/>
      <c r="H21" s="70"/>
      <c r="I21" s="70"/>
    </row>
    <row r="22" spans="1:9" x14ac:dyDescent="0.25">
      <c r="A22" s="65" t="s">
        <v>1124</v>
      </c>
      <c r="B22" s="64" t="s">
        <v>1097</v>
      </c>
      <c r="C22" s="65" t="s">
        <v>1121</v>
      </c>
      <c r="D22" s="64" t="s">
        <v>104</v>
      </c>
      <c r="E22" s="64" t="s">
        <v>1125</v>
      </c>
      <c r="F22" s="65" t="s">
        <v>1126</v>
      </c>
      <c r="G22" s="65"/>
      <c r="H22" s="65"/>
      <c r="I22" s="65"/>
    </row>
    <row r="23" spans="1:9" x14ac:dyDescent="0.25">
      <c r="A23" s="65" t="s">
        <v>1127</v>
      </c>
      <c r="B23" s="64" t="s">
        <v>1100</v>
      </c>
      <c r="C23" s="65" t="s">
        <v>1124</v>
      </c>
      <c r="D23" s="64" t="s">
        <v>1128</v>
      </c>
      <c r="E23" s="64" t="s">
        <v>1129</v>
      </c>
      <c r="F23" s="65" t="s">
        <v>1130</v>
      </c>
      <c r="G23" s="65"/>
      <c r="H23" s="65"/>
      <c r="I23" s="65"/>
    </row>
    <row r="24" spans="1:9" x14ac:dyDescent="0.25">
      <c r="A24" s="65" t="s">
        <v>1131</v>
      </c>
      <c r="B24" s="64" t="s">
        <v>1100</v>
      </c>
      <c r="C24" s="65" t="s">
        <v>1124</v>
      </c>
      <c r="D24" s="64" t="s">
        <v>1132</v>
      </c>
      <c r="E24" s="64" t="s">
        <v>1133</v>
      </c>
      <c r="F24" s="65" t="s">
        <v>1134</v>
      </c>
      <c r="G24" s="65"/>
      <c r="H24" s="65"/>
      <c r="I24" s="65"/>
    </row>
    <row r="25" spans="1:9" x14ac:dyDescent="0.25">
      <c r="A25" s="65" t="s">
        <v>1135</v>
      </c>
      <c r="B25" s="64" t="s">
        <v>1100</v>
      </c>
      <c r="C25" s="65" t="s">
        <v>1124</v>
      </c>
      <c r="D25" s="64" t="s">
        <v>1136</v>
      </c>
      <c r="E25" s="64" t="s">
        <v>1137</v>
      </c>
      <c r="F25" s="65" t="s">
        <v>1138</v>
      </c>
      <c r="G25" s="65"/>
      <c r="H25" s="65"/>
      <c r="I25" s="65"/>
    </row>
    <row r="26" spans="1:9" x14ac:dyDescent="0.25">
      <c r="A26" s="65" t="s">
        <v>1139</v>
      </c>
      <c r="B26" s="64" t="s">
        <v>1097</v>
      </c>
      <c r="C26" s="65" t="s">
        <v>1121</v>
      </c>
      <c r="D26" s="64" t="s">
        <v>428</v>
      </c>
      <c r="E26" s="64" t="s">
        <v>1140</v>
      </c>
      <c r="F26" s="65" t="s">
        <v>1141</v>
      </c>
      <c r="G26" s="65"/>
      <c r="H26" s="65"/>
      <c r="I26" s="65"/>
    </row>
    <row r="27" spans="1:9" x14ac:dyDescent="0.25">
      <c r="A27" s="65" t="s">
        <v>1142</v>
      </c>
      <c r="B27" s="64" t="s">
        <v>1100</v>
      </c>
      <c r="C27" s="65" t="s">
        <v>1139</v>
      </c>
      <c r="D27" s="64" t="s">
        <v>1143</v>
      </c>
      <c r="E27" s="64" t="s">
        <v>1144</v>
      </c>
      <c r="F27" s="65" t="s">
        <v>1145</v>
      </c>
      <c r="G27" s="65"/>
      <c r="H27" s="65"/>
      <c r="I27" s="65"/>
    </row>
    <row r="28" spans="1:9" x14ac:dyDescent="0.25">
      <c r="A28" s="65" t="s">
        <v>1146</v>
      </c>
      <c r="B28" s="64" t="s">
        <v>1100</v>
      </c>
      <c r="C28" s="65" t="s">
        <v>1139</v>
      </c>
      <c r="D28" s="64" t="s">
        <v>1147</v>
      </c>
      <c r="E28" s="64" t="s">
        <v>1148</v>
      </c>
      <c r="F28" s="65" t="s">
        <v>1149</v>
      </c>
      <c r="G28" s="65"/>
      <c r="H28" s="65"/>
      <c r="I28" s="65"/>
    </row>
    <row r="29" spans="1:9" x14ac:dyDescent="0.25">
      <c r="A29" s="65" t="s">
        <v>1150</v>
      </c>
      <c r="B29" s="64" t="s">
        <v>1100</v>
      </c>
      <c r="C29" s="65" t="s">
        <v>1139</v>
      </c>
      <c r="D29" s="64" t="s">
        <v>1151</v>
      </c>
      <c r="E29" s="64" t="s">
        <v>1152</v>
      </c>
      <c r="F29" s="65" t="s">
        <v>1153</v>
      </c>
      <c r="G29" s="65"/>
      <c r="H29" s="65"/>
      <c r="I29" s="65"/>
    </row>
    <row r="30" spans="1:9" x14ac:dyDescent="0.25">
      <c r="A30" s="65" t="s">
        <v>1154</v>
      </c>
      <c r="B30" s="64" t="s">
        <v>1097</v>
      </c>
      <c r="C30" s="65" t="s">
        <v>1121</v>
      </c>
      <c r="D30" s="64" t="s">
        <v>1155</v>
      </c>
      <c r="E30" s="64" t="s">
        <v>1156</v>
      </c>
      <c r="F30" s="65" t="s">
        <v>1157</v>
      </c>
      <c r="G30" s="65"/>
      <c r="H30" s="65"/>
      <c r="I30" s="65"/>
    </row>
    <row r="31" spans="1:9" x14ac:dyDescent="0.25">
      <c r="A31" s="65" t="s">
        <v>1158</v>
      </c>
      <c r="B31" s="64" t="s">
        <v>1100</v>
      </c>
      <c r="C31" s="65" t="s">
        <v>1154</v>
      </c>
      <c r="D31" s="64" t="s">
        <v>1159</v>
      </c>
      <c r="E31" s="64" t="s">
        <v>1156</v>
      </c>
      <c r="F31" s="65" t="s">
        <v>1160</v>
      </c>
      <c r="G31" s="65"/>
      <c r="H31" s="65"/>
      <c r="I31" s="65"/>
    </row>
    <row r="32" spans="1:9" x14ac:dyDescent="0.25">
      <c r="A32" s="65" t="s">
        <v>1161</v>
      </c>
      <c r="B32" s="64" t="s">
        <v>1100</v>
      </c>
      <c r="C32" s="65" t="s">
        <v>1154</v>
      </c>
      <c r="D32" s="64" t="s">
        <v>1162</v>
      </c>
      <c r="E32" s="64" t="s">
        <v>1163</v>
      </c>
      <c r="F32" s="65" t="s">
        <v>1164</v>
      </c>
      <c r="G32" s="65"/>
      <c r="H32" s="65"/>
      <c r="I32" s="65"/>
    </row>
    <row r="33" spans="1:9" x14ac:dyDescent="0.25">
      <c r="A33" s="68" t="s">
        <v>1165</v>
      </c>
      <c r="B33" s="69" t="s">
        <v>1093</v>
      </c>
      <c r="C33" s="70" t="s">
        <v>3</v>
      </c>
      <c r="D33" s="68" t="s">
        <v>505</v>
      </c>
      <c r="E33" s="69" t="s">
        <v>1166</v>
      </c>
      <c r="F33" s="70" t="s">
        <v>1167</v>
      </c>
      <c r="G33" s="70"/>
      <c r="H33" s="70"/>
      <c r="I33" s="70"/>
    </row>
    <row r="34" spans="1:9" x14ac:dyDescent="0.25">
      <c r="A34" s="65" t="s">
        <v>1168</v>
      </c>
      <c r="B34" s="64" t="s">
        <v>1097</v>
      </c>
      <c r="C34" s="65" t="s">
        <v>1165</v>
      </c>
      <c r="D34" s="64" t="s">
        <v>506</v>
      </c>
      <c r="E34" s="64" t="s">
        <v>506</v>
      </c>
      <c r="F34" s="65" t="s">
        <v>1169</v>
      </c>
      <c r="G34" s="65"/>
      <c r="H34" s="65"/>
      <c r="I34" s="65"/>
    </row>
    <row r="35" spans="1:9" x14ac:dyDescent="0.25">
      <c r="A35" s="65" t="s">
        <v>1170</v>
      </c>
      <c r="B35" s="64" t="s">
        <v>1100</v>
      </c>
      <c r="C35" s="65" t="s">
        <v>1168</v>
      </c>
      <c r="D35" s="64" t="s">
        <v>1171</v>
      </c>
      <c r="E35" s="64" t="s">
        <v>1172</v>
      </c>
      <c r="F35" s="65" t="s">
        <v>1173</v>
      </c>
      <c r="G35" s="65"/>
      <c r="H35" s="65"/>
      <c r="I35" s="65"/>
    </row>
    <row r="36" spans="1:9" x14ac:dyDescent="0.25">
      <c r="A36" s="65" t="s">
        <v>1174</v>
      </c>
      <c r="B36" s="64" t="s">
        <v>1100</v>
      </c>
      <c r="C36" s="65" t="s">
        <v>1168</v>
      </c>
      <c r="D36" s="64" t="s">
        <v>1175</v>
      </c>
      <c r="E36" s="64" t="s">
        <v>1175</v>
      </c>
      <c r="F36" s="65" t="s">
        <v>1176</v>
      </c>
      <c r="G36" s="65"/>
      <c r="H36" s="65"/>
      <c r="I36" s="65"/>
    </row>
    <row r="37" spans="1:9" x14ac:dyDescent="0.25">
      <c r="A37" s="65" t="s">
        <v>1177</v>
      </c>
      <c r="B37" s="64" t="s">
        <v>1097</v>
      </c>
      <c r="C37" s="65" t="s">
        <v>1165</v>
      </c>
      <c r="D37" s="64" t="s">
        <v>514</v>
      </c>
      <c r="E37" s="64" t="s">
        <v>1178</v>
      </c>
      <c r="F37" s="65" t="s">
        <v>1179</v>
      </c>
      <c r="G37" s="65"/>
      <c r="H37" s="65"/>
      <c r="I37" s="65"/>
    </row>
    <row r="38" spans="1:9" x14ac:dyDescent="0.25">
      <c r="A38" s="65" t="s">
        <v>1180</v>
      </c>
      <c r="B38" s="64" t="s">
        <v>1100</v>
      </c>
      <c r="C38" s="65" t="s">
        <v>1177</v>
      </c>
      <c r="D38" s="64" t="s">
        <v>1181</v>
      </c>
      <c r="E38" s="64" t="s">
        <v>1182</v>
      </c>
      <c r="F38" s="65" t="s">
        <v>1183</v>
      </c>
      <c r="G38" s="65"/>
      <c r="H38" s="65"/>
      <c r="I38" s="65"/>
    </row>
    <row r="39" spans="1:9" x14ac:dyDescent="0.25">
      <c r="A39" s="65" t="s">
        <v>1184</v>
      </c>
      <c r="B39" s="64" t="s">
        <v>1100</v>
      </c>
      <c r="C39" s="65" t="s">
        <v>1177</v>
      </c>
      <c r="D39" s="64" t="s">
        <v>1185</v>
      </c>
      <c r="E39" s="64" t="s">
        <v>1186</v>
      </c>
      <c r="F39" s="65" t="s">
        <v>1187</v>
      </c>
      <c r="G39" s="65"/>
      <c r="H39" s="65"/>
      <c r="I39" s="65"/>
    </row>
    <row r="40" spans="1:9" x14ac:dyDescent="0.25">
      <c r="A40" s="65" t="s">
        <v>1188</v>
      </c>
      <c r="B40" s="64" t="s">
        <v>1097</v>
      </c>
      <c r="C40" s="65" t="s">
        <v>1165</v>
      </c>
      <c r="D40" s="64" t="s">
        <v>1189</v>
      </c>
      <c r="E40" s="64" t="s">
        <v>1190</v>
      </c>
      <c r="F40" s="65" t="s">
        <v>1191</v>
      </c>
      <c r="G40" s="65"/>
      <c r="H40" s="65"/>
      <c r="I40" s="65"/>
    </row>
    <row r="41" spans="1:9" x14ac:dyDescent="0.25">
      <c r="A41" s="65" t="s">
        <v>1192</v>
      </c>
      <c r="B41" s="64" t="s">
        <v>1100</v>
      </c>
      <c r="C41" s="65" t="s">
        <v>1188</v>
      </c>
      <c r="D41" s="64" t="s">
        <v>1193</v>
      </c>
      <c r="E41" s="64" t="s">
        <v>1194</v>
      </c>
      <c r="F41" s="65" t="s">
        <v>1195</v>
      </c>
      <c r="G41" s="65"/>
      <c r="H41" s="65"/>
      <c r="I41" s="65"/>
    </row>
    <row r="42" spans="1:9" x14ac:dyDescent="0.25">
      <c r="A42" s="65" t="s">
        <v>1196</v>
      </c>
      <c r="B42" s="64" t="s">
        <v>1100</v>
      </c>
      <c r="C42" s="65" t="s">
        <v>1188</v>
      </c>
      <c r="D42" s="64" t="s">
        <v>1197</v>
      </c>
      <c r="E42" s="64" t="s">
        <v>1198</v>
      </c>
      <c r="F42" s="65" t="s">
        <v>1199</v>
      </c>
      <c r="G42" s="65"/>
      <c r="H42" s="65"/>
      <c r="I42" s="65"/>
    </row>
    <row r="43" spans="1:9" x14ac:dyDescent="0.25">
      <c r="A43" s="68" t="s">
        <v>1200</v>
      </c>
      <c r="B43" s="69" t="s">
        <v>1093</v>
      </c>
      <c r="C43" s="70" t="s">
        <v>3</v>
      </c>
      <c r="D43" s="68" t="s">
        <v>203</v>
      </c>
      <c r="E43" s="69" t="s">
        <v>1201</v>
      </c>
      <c r="F43" s="70" t="s">
        <v>1202</v>
      </c>
      <c r="G43" s="70"/>
      <c r="H43" s="70"/>
      <c r="I43" s="70"/>
    </row>
    <row r="44" spans="1:9" x14ac:dyDescent="0.25">
      <c r="A44" s="65" t="s">
        <v>1203</v>
      </c>
      <c r="B44" s="64" t="s">
        <v>1097</v>
      </c>
      <c r="C44" s="65" t="s">
        <v>1200</v>
      </c>
      <c r="D44" s="64" t="s">
        <v>207</v>
      </c>
      <c r="E44" s="64" t="s">
        <v>1204</v>
      </c>
      <c r="F44" s="65" t="s">
        <v>1205</v>
      </c>
      <c r="G44" s="65"/>
      <c r="H44" s="65"/>
      <c r="I44" s="65"/>
    </row>
    <row r="45" spans="1:9" x14ac:dyDescent="0.25">
      <c r="A45" s="65" t="s">
        <v>1206</v>
      </c>
      <c r="B45" s="64" t="s">
        <v>1100</v>
      </c>
      <c r="C45" s="65" t="s">
        <v>1203</v>
      </c>
      <c r="D45" s="64" t="s">
        <v>1207</v>
      </c>
      <c r="E45" s="64" t="s">
        <v>1208</v>
      </c>
      <c r="F45" s="65" t="s">
        <v>1209</v>
      </c>
      <c r="G45" s="65"/>
      <c r="H45" s="65"/>
      <c r="I45" s="65"/>
    </row>
    <row r="46" spans="1:9" x14ac:dyDescent="0.25">
      <c r="A46" s="65" t="s">
        <v>1210</v>
      </c>
      <c r="B46" s="64" t="s">
        <v>1100</v>
      </c>
      <c r="C46" s="65" t="s">
        <v>1203</v>
      </c>
      <c r="D46" s="64" t="s">
        <v>1211</v>
      </c>
      <c r="E46" s="64" t="s">
        <v>1212</v>
      </c>
      <c r="F46" s="65" t="s">
        <v>1213</v>
      </c>
      <c r="G46" s="65"/>
      <c r="H46" s="65"/>
      <c r="I46" s="65"/>
    </row>
    <row r="47" spans="1:9" x14ac:dyDescent="0.25">
      <c r="A47" s="65" t="s">
        <v>1214</v>
      </c>
      <c r="B47" s="64" t="s">
        <v>1100</v>
      </c>
      <c r="C47" s="65" t="s">
        <v>1203</v>
      </c>
      <c r="D47" s="64" t="s">
        <v>1215</v>
      </c>
      <c r="E47" s="64" t="s">
        <v>1215</v>
      </c>
      <c r="F47" s="65" t="s">
        <v>1216</v>
      </c>
      <c r="G47" s="65"/>
      <c r="H47" s="65"/>
      <c r="I47" s="65"/>
    </row>
    <row r="48" spans="1:9" x14ac:dyDescent="0.25">
      <c r="A48" s="65" t="s">
        <v>1217</v>
      </c>
      <c r="B48" s="64" t="s">
        <v>1097</v>
      </c>
      <c r="C48" s="65" t="s">
        <v>1200</v>
      </c>
      <c r="D48" s="64" t="s">
        <v>446</v>
      </c>
      <c r="E48" s="64" t="s">
        <v>1218</v>
      </c>
      <c r="F48" s="65" t="s">
        <v>1219</v>
      </c>
      <c r="G48" s="65"/>
      <c r="H48" s="65"/>
      <c r="I48" s="65"/>
    </row>
    <row r="49" spans="1:9" x14ac:dyDescent="0.25">
      <c r="A49" s="65" t="s">
        <v>1220</v>
      </c>
      <c r="B49" s="64" t="s">
        <v>1100</v>
      </c>
      <c r="C49" s="65" t="s">
        <v>1217</v>
      </c>
      <c r="D49" s="64" t="s">
        <v>1221</v>
      </c>
      <c r="E49" s="64" t="s">
        <v>1222</v>
      </c>
      <c r="F49" s="65" t="s">
        <v>1223</v>
      </c>
      <c r="G49" s="65"/>
      <c r="H49" s="65"/>
      <c r="I49" s="65"/>
    </row>
    <row r="50" spans="1:9" x14ac:dyDescent="0.25">
      <c r="A50" s="65" t="s">
        <v>1224</v>
      </c>
      <c r="B50" s="64" t="s">
        <v>1100</v>
      </c>
      <c r="C50" s="65" t="s">
        <v>1217</v>
      </c>
      <c r="D50" s="64" t="s">
        <v>1225</v>
      </c>
      <c r="E50" s="64" t="s">
        <v>1226</v>
      </c>
      <c r="F50" s="65" t="s">
        <v>1227</v>
      </c>
      <c r="G50" s="65"/>
      <c r="H50" s="65"/>
      <c r="I50" s="65"/>
    </row>
    <row r="51" spans="1:9" x14ac:dyDescent="0.25">
      <c r="A51" s="65" t="s">
        <v>1228</v>
      </c>
      <c r="B51" s="64" t="s">
        <v>1097</v>
      </c>
      <c r="C51" s="65" t="s">
        <v>1200</v>
      </c>
      <c r="D51" s="64" t="s">
        <v>105</v>
      </c>
      <c r="E51" s="64" t="s">
        <v>1229</v>
      </c>
      <c r="F51" s="65" t="s">
        <v>1230</v>
      </c>
      <c r="G51" s="65"/>
      <c r="H51" s="65"/>
      <c r="I51" s="65"/>
    </row>
    <row r="52" spans="1:9" x14ac:dyDescent="0.25">
      <c r="A52" s="65" t="s">
        <v>1231</v>
      </c>
      <c r="B52" s="64" t="s">
        <v>1100</v>
      </c>
      <c r="C52" s="65" t="s">
        <v>1228</v>
      </c>
      <c r="D52" s="64" t="s">
        <v>1232</v>
      </c>
      <c r="E52" s="64" t="s">
        <v>1233</v>
      </c>
      <c r="F52" s="65" t="s">
        <v>1234</v>
      </c>
      <c r="G52" s="65"/>
      <c r="H52" s="65"/>
      <c r="I52" s="65"/>
    </row>
    <row r="53" spans="1:9" x14ac:dyDescent="0.25">
      <c r="A53" s="65" t="s">
        <v>1235</v>
      </c>
      <c r="B53" s="64" t="s">
        <v>1100</v>
      </c>
      <c r="C53" s="65" t="s">
        <v>1228</v>
      </c>
      <c r="D53" s="64" t="s">
        <v>1236</v>
      </c>
      <c r="E53" s="64" t="s">
        <v>1236</v>
      </c>
      <c r="F53" s="65" t="s">
        <v>1237</v>
      </c>
      <c r="G53" s="65"/>
      <c r="H53" s="65"/>
      <c r="I53" s="65"/>
    </row>
    <row r="54" spans="1:9" x14ac:dyDescent="0.25">
      <c r="A54" s="68" t="s">
        <v>1238</v>
      </c>
      <c r="B54" s="69" t="s">
        <v>1093</v>
      </c>
      <c r="C54" s="70" t="s">
        <v>3</v>
      </c>
      <c r="D54" s="68" t="s">
        <v>487</v>
      </c>
      <c r="E54" s="69" t="s">
        <v>1239</v>
      </c>
      <c r="F54" s="70" t="s">
        <v>1240</v>
      </c>
      <c r="G54" s="70"/>
      <c r="H54" s="70"/>
      <c r="I54" s="70"/>
    </row>
    <row r="55" spans="1:9" x14ac:dyDescent="0.25">
      <c r="A55" s="65" t="s">
        <v>1241</v>
      </c>
      <c r="B55" s="64" t="s">
        <v>1097</v>
      </c>
      <c r="C55" s="65" t="s">
        <v>1238</v>
      </c>
      <c r="D55" s="64" t="s">
        <v>496</v>
      </c>
      <c r="E55" s="64" t="s">
        <v>1242</v>
      </c>
      <c r="F55" s="65" t="s">
        <v>1243</v>
      </c>
      <c r="G55" s="65"/>
      <c r="H55" s="65"/>
      <c r="I55" s="65"/>
    </row>
    <row r="56" spans="1:9" x14ac:dyDescent="0.25">
      <c r="A56" s="65" t="s">
        <v>1244</v>
      </c>
      <c r="B56" s="64" t="s">
        <v>1100</v>
      </c>
      <c r="C56" s="65" t="s">
        <v>1241</v>
      </c>
      <c r="D56" s="64" t="s">
        <v>1245</v>
      </c>
      <c r="E56" s="64" t="s">
        <v>1246</v>
      </c>
      <c r="F56" s="65" t="s">
        <v>1247</v>
      </c>
      <c r="G56" s="65"/>
      <c r="H56" s="65"/>
      <c r="I56" s="65"/>
    </row>
    <row r="57" spans="1:9" x14ac:dyDescent="0.25">
      <c r="A57" s="65" t="s">
        <v>1248</v>
      </c>
      <c r="B57" s="64" t="s">
        <v>1100</v>
      </c>
      <c r="C57" s="65" t="s">
        <v>1241</v>
      </c>
      <c r="D57" s="64" t="s">
        <v>1249</v>
      </c>
      <c r="E57" s="64" t="s">
        <v>1249</v>
      </c>
      <c r="F57" s="65" t="s">
        <v>1250</v>
      </c>
      <c r="G57" s="65"/>
      <c r="H57" s="65"/>
      <c r="I57" s="65"/>
    </row>
    <row r="58" spans="1:9" x14ac:dyDescent="0.25">
      <c r="A58" s="65" t="s">
        <v>1251</v>
      </c>
      <c r="B58" s="64" t="s">
        <v>1097</v>
      </c>
      <c r="C58" s="65" t="s">
        <v>1238</v>
      </c>
      <c r="D58" s="64" t="s">
        <v>488</v>
      </c>
      <c r="E58" s="64" t="s">
        <v>1252</v>
      </c>
      <c r="F58" s="65" t="s">
        <v>1253</v>
      </c>
      <c r="G58" s="65"/>
      <c r="H58" s="65"/>
      <c r="I58" s="65"/>
    </row>
    <row r="59" spans="1:9" x14ac:dyDescent="0.25">
      <c r="A59" s="65" t="s">
        <v>1254</v>
      </c>
      <c r="B59" s="64" t="s">
        <v>1100</v>
      </c>
      <c r="C59" s="65" t="s">
        <v>1251</v>
      </c>
      <c r="D59" s="64" t="s">
        <v>1255</v>
      </c>
      <c r="E59" s="64" t="s">
        <v>1256</v>
      </c>
      <c r="F59" s="65" t="s">
        <v>1257</v>
      </c>
      <c r="G59" s="65"/>
      <c r="H59" s="65"/>
      <c r="I59" s="65"/>
    </row>
    <row r="60" spans="1:9" x14ac:dyDescent="0.25">
      <c r="A60" s="65" t="s">
        <v>1258</v>
      </c>
      <c r="B60" s="64" t="s">
        <v>1100</v>
      </c>
      <c r="C60" s="65" t="s">
        <v>1251</v>
      </c>
      <c r="D60" s="64" t="s">
        <v>1259</v>
      </c>
      <c r="E60" s="64" t="s">
        <v>1260</v>
      </c>
      <c r="F60" s="65" t="s">
        <v>1261</v>
      </c>
      <c r="G60" s="65"/>
      <c r="H60" s="65"/>
      <c r="I60" s="65"/>
    </row>
    <row r="61" spans="1:9" x14ac:dyDescent="0.25">
      <c r="A61" s="65" t="s">
        <v>1262</v>
      </c>
      <c r="B61" s="64" t="s">
        <v>1097</v>
      </c>
      <c r="C61" s="65" t="s">
        <v>1238</v>
      </c>
      <c r="D61" s="64" t="s">
        <v>1263</v>
      </c>
      <c r="E61" s="64" t="s">
        <v>1264</v>
      </c>
      <c r="F61" s="65" t="s">
        <v>1265</v>
      </c>
      <c r="G61" s="65"/>
      <c r="H61" s="65"/>
      <c r="I61" s="65"/>
    </row>
    <row r="62" spans="1:9" x14ac:dyDescent="0.25">
      <c r="A62" s="65" t="s">
        <v>1266</v>
      </c>
      <c r="B62" s="64" t="s">
        <v>1100</v>
      </c>
      <c r="C62" s="65" t="s">
        <v>1262</v>
      </c>
      <c r="D62" s="64" t="s">
        <v>1267</v>
      </c>
      <c r="E62" s="64" t="s">
        <v>1268</v>
      </c>
      <c r="F62" s="65" t="s">
        <v>1269</v>
      </c>
      <c r="G62" s="65"/>
      <c r="H62" s="65"/>
      <c r="I62" s="65"/>
    </row>
    <row r="63" spans="1:9" x14ac:dyDescent="0.25">
      <c r="A63" s="65" t="s">
        <v>1270</v>
      </c>
      <c r="B63" s="64" t="s">
        <v>1100</v>
      </c>
      <c r="C63" s="65" t="s">
        <v>1262</v>
      </c>
      <c r="D63" s="64" t="s">
        <v>1271</v>
      </c>
      <c r="E63" s="64" t="s">
        <v>1272</v>
      </c>
      <c r="F63" s="65" t="s">
        <v>1273</v>
      </c>
      <c r="G63" s="65"/>
      <c r="H63" s="65"/>
      <c r="I63" s="65"/>
    </row>
    <row r="64" spans="1:9" x14ac:dyDescent="0.25">
      <c r="A64" s="68" t="s">
        <v>1274</v>
      </c>
      <c r="B64" s="69" t="s">
        <v>1093</v>
      </c>
      <c r="C64" s="70" t="s">
        <v>3</v>
      </c>
      <c r="D64" s="68" t="s">
        <v>201</v>
      </c>
      <c r="E64" s="69" t="s">
        <v>1275</v>
      </c>
      <c r="F64" s="70" t="s">
        <v>1276</v>
      </c>
      <c r="G64" s="70"/>
      <c r="H64" s="70"/>
      <c r="I64" s="70"/>
    </row>
    <row r="65" spans="1:9" x14ac:dyDescent="0.25">
      <c r="A65" s="65" t="s">
        <v>1277</v>
      </c>
      <c r="B65" s="64" t="s">
        <v>1097</v>
      </c>
      <c r="C65" s="65" t="s">
        <v>1274</v>
      </c>
      <c r="D65" s="64" t="s">
        <v>403</v>
      </c>
      <c r="E65" s="64" t="s">
        <v>1278</v>
      </c>
      <c r="F65" s="65" t="s">
        <v>1279</v>
      </c>
      <c r="G65" s="65"/>
      <c r="H65" s="65"/>
      <c r="I65" s="65"/>
    </row>
    <row r="66" spans="1:9" x14ac:dyDescent="0.25">
      <c r="A66" s="65" t="s">
        <v>1280</v>
      </c>
      <c r="B66" s="64" t="s">
        <v>1100</v>
      </c>
      <c r="C66" s="65" t="s">
        <v>1277</v>
      </c>
      <c r="D66" s="64" t="s">
        <v>1281</v>
      </c>
      <c r="E66" s="64" t="s">
        <v>1282</v>
      </c>
      <c r="F66" s="65" t="s">
        <v>1283</v>
      </c>
      <c r="G66" s="65"/>
      <c r="H66" s="65"/>
      <c r="I66" s="65"/>
    </row>
    <row r="67" spans="1:9" x14ac:dyDescent="0.25">
      <c r="A67" s="65" t="s">
        <v>1284</v>
      </c>
      <c r="B67" s="64" t="s">
        <v>1100</v>
      </c>
      <c r="C67" s="65" t="s">
        <v>1277</v>
      </c>
      <c r="D67" s="64" t="s">
        <v>1285</v>
      </c>
      <c r="E67" s="64" t="s">
        <v>1285</v>
      </c>
      <c r="F67" s="65" t="s">
        <v>1286</v>
      </c>
      <c r="G67" s="65"/>
      <c r="H67" s="65"/>
      <c r="I67" s="65"/>
    </row>
    <row r="68" spans="1:9" x14ac:dyDescent="0.25">
      <c r="A68" s="65" t="s">
        <v>1287</v>
      </c>
      <c r="B68" s="64" t="s">
        <v>1097</v>
      </c>
      <c r="C68" s="65" t="s">
        <v>1274</v>
      </c>
      <c r="D68" s="64" t="s">
        <v>103</v>
      </c>
      <c r="E68" s="64" t="s">
        <v>103</v>
      </c>
      <c r="F68" s="65" t="s">
        <v>1288</v>
      </c>
      <c r="G68" s="65"/>
      <c r="H68" s="65"/>
      <c r="I68" s="65"/>
    </row>
    <row r="69" spans="1:9" x14ac:dyDescent="0.25">
      <c r="A69" s="65" t="s">
        <v>1289</v>
      </c>
      <c r="B69" s="64" t="s">
        <v>1100</v>
      </c>
      <c r="C69" s="65" t="s">
        <v>1287</v>
      </c>
      <c r="D69" s="64" t="s">
        <v>1290</v>
      </c>
      <c r="E69" s="64" t="s">
        <v>1291</v>
      </c>
      <c r="F69" s="65" t="s">
        <v>1292</v>
      </c>
      <c r="G69" s="65"/>
      <c r="H69" s="65"/>
      <c r="I69" s="65"/>
    </row>
    <row r="70" spans="1:9" x14ac:dyDescent="0.25">
      <c r="A70" s="65" t="s">
        <v>1293</v>
      </c>
      <c r="B70" s="64" t="s">
        <v>1100</v>
      </c>
      <c r="C70" s="65" t="s">
        <v>1287</v>
      </c>
      <c r="D70" s="64" t="s">
        <v>1294</v>
      </c>
      <c r="E70" s="64" t="s">
        <v>1295</v>
      </c>
      <c r="F70" s="65" t="s">
        <v>1296</v>
      </c>
      <c r="G70" s="65"/>
      <c r="H70" s="65"/>
      <c r="I70" s="65"/>
    </row>
    <row r="71" spans="1:9" x14ac:dyDescent="0.25">
      <c r="A71" s="65" t="s">
        <v>1297</v>
      </c>
      <c r="B71" s="64" t="s">
        <v>1097</v>
      </c>
      <c r="C71" s="65" t="s">
        <v>1274</v>
      </c>
      <c r="D71" s="64" t="s">
        <v>1298</v>
      </c>
      <c r="E71" s="64" t="s">
        <v>1299</v>
      </c>
      <c r="F71" s="65" t="s">
        <v>1300</v>
      </c>
      <c r="G71" s="65"/>
      <c r="H71" s="65"/>
      <c r="I71" s="65"/>
    </row>
    <row r="72" spans="1:9" x14ac:dyDescent="0.25">
      <c r="A72" s="65" t="s">
        <v>1301</v>
      </c>
      <c r="B72" s="64" t="s">
        <v>1100</v>
      </c>
      <c r="C72" s="65" t="s">
        <v>1297</v>
      </c>
      <c r="D72" s="64" t="s">
        <v>1302</v>
      </c>
      <c r="E72" s="64" t="s">
        <v>1303</v>
      </c>
      <c r="F72" s="65" t="s">
        <v>1304</v>
      </c>
      <c r="G72" s="65"/>
      <c r="H72" s="65"/>
      <c r="I72" s="65"/>
    </row>
    <row r="73" spans="1:9" x14ac:dyDescent="0.25">
      <c r="A73" s="65" t="s">
        <v>1305</v>
      </c>
      <c r="B73" s="64" t="s">
        <v>1100</v>
      </c>
      <c r="C73" s="65" t="s">
        <v>1297</v>
      </c>
      <c r="D73" s="64" t="s">
        <v>1306</v>
      </c>
      <c r="E73" s="64" t="s">
        <v>1307</v>
      </c>
      <c r="F73" s="65" t="s">
        <v>1308</v>
      </c>
      <c r="G73" s="65"/>
      <c r="H73" s="65"/>
      <c r="I73" s="65"/>
    </row>
    <row r="74" spans="1:9" x14ac:dyDescent="0.25">
      <c r="A74" s="68" t="s">
        <v>1309</v>
      </c>
      <c r="B74" s="69" t="s">
        <v>1093</v>
      </c>
      <c r="C74" s="70" t="s">
        <v>3</v>
      </c>
      <c r="D74" s="68" t="s">
        <v>454</v>
      </c>
      <c r="E74" s="69" t="s">
        <v>1310</v>
      </c>
      <c r="F74" s="70" t="s">
        <v>1311</v>
      </c>
      <c r="G74" s="70"/>
      <c r="H74" s="70"/>
      <c r="I74" s="70"/>
    </row>
    <row r="75" spans="1:9" x14ac:dyDescent="0.25">
      <c r="A75" s="65" t="s">
        <v>1312</v>
      </c>
      <c r="B75" s="64" t="s">
        <v>1097</v>
      </c>
      <c r="C75" s="65" t="s">
        <v>1309</v>
      </c>
      <c r="D75" s="64" t="s">
        <v>455</v>
      </c>
      <c r="E75" s="64" t="s">
        <v>1313</v>
      </c>
      <c r="F75" s="65" t="s">
        <v>1314</v>
      </c>
      <c r="G75" s="65"/>
      <c r="H75" s="65"/>
      <c r="I75" s="65"/>
    </row>
    <row r="76" spans="1:9" x14ac:dyDescent="0.25">
      <c r="A76" s="65" t="s">
        <v>1315</v>
      </c>
      <c r="B76" s="64" t="s">
        <v>1100</v>
      </c>
      <c r="C76" s="65" t="s">
        <v>1312</v>
      </c>
      <c r="D76" s="64" t="s">
        <v>1316</v>
      </c>
      <c r="E76" s="64" t="s">
        <v>1317</v>
      </c>
      <c r="F76" s="65" t="s">
        <v>1318</v>
      </c>
      <c r="G76" s="65"/>
      <c r="H76" s="65"/>
      <c r="I76" s="65"/>
    </row>
    <row r="77" spans="1:9" x14ac:dyDescent="0.25">
      <c r="A77" s="65" t="s">
        <v>1319</v>
      </c>
      <c r="B77" s="64" t="s">
        <v>1100</v>
      </c>
      <c r="C77" s="65" t="s">
        <v>1312</v>
      </c>
      <c r="D77" s="64" t="s">
        <v>1320</v>
      </c>
      <c r="E77" s="64" t="s">
        <v>1321</v>
      </c>
      <c r="F77" s="65" t="s">
        <v>1322</v>
      </c>
      <c r="G77" s="65"/>
      <c r="H77" s="65"/>
      <c r="I77" s="65"/>
    </row>
    <row r="78" spans="1:9" x14ac:dyDescent="0.25">
      <c r="A78" s="65" t="s">
        <v>1323</v>
      </c>
      <c r="B78" s="64" t="s">
        <v>1097</v>
      </c>
      <c r="C78" s="65" t="s">
        <v>1309</v>
      </c>
      <c r="D78" s="64" t="s">
        <v>463</v>
      </c>
      <c r="E78" s="64" t="s">
        <v>1324</v>
      </c>
      <c r="F78" s="65" t="s">
        <v>1325</v>
      </c>
      <c r="G78" s="65"/>
      <c r="H78" s="65"/>
      <c r="I78" s="65"/>
    </row>
    <row r="79" spans="1:9" x14ac:dyDescent="0.25">
      <c r="A79" s="65" t="s">
        <v>1326</v>
      </c>
      <c r="B79" s="64" t="s">
        <v>1100</v>
      </c>
      <c r="C79" s="65" t="s">
        <v>1323</v>
      </c>
      <c r="D79" s="64" t="s">
        <v>1327</v>
      </c>
      <c r="E79" s="64" t="s">
        <v>1328</v>
      </c>
      <c r="F79" s="65" t="s">
        <v>1329</v>
      </c>
      <c r="G79" s="65"/>
      <c r="H79" s="65"/>
      <c r="I79" s="65"/>
    </row>
    <row r="80" spans="1:9" x14ac:dyDescent="0.25">
      <c r="A80" s="65" t="s">
        <v>1330</v>
      </c>
      <c r="B80" s="64" t="s">
        <v>1100</v>
      </c>
      <c r="C80" s="65" t="s">
        <v>1323</v>
      </c>
      <c r="D80" s="64" t="s">
        <v>1331</v>
      </c>
      <c r="E80" s="64" t="s">
        <v>1332</v>
      </c>
      <c r="F80" s="65" t="s">
        <v>1333</v>
      </c>
      <c r="G80" s="65"/>
      <c r="H80" s="65"/>
      <c r="I80" s="65"/>
    </row>
    <row r="81" spans="1:9" x14ac:dyDescent="0.25">
      <c r="A81" s="65" t="s">
        <v>1334</v>
      </c>
      <c r="B81" s="64" t="s">
        <v>1097</v>
      </c>
      <c r="C81" s="65" t="s">
        <v>1309</v>
      </c>
      <c r="D81" s="64" t="s">
        <v>642</v>
      </c>
      <c r="E81" s="64" t="s">
        <v>1335</v>
      </c>
      <c r="F81" s="65" t="s">
        <v>1336</v>
      </c>
      <c r="G81" s="65"/>
      <c r="H81" s="65"/>
      <c r="I81" s="65"/>
    </row>
    <row r="82" spans="1:9" x14ac:dyDescent="0.25">
      <c r="A82" s="65" t="s">
        <v>1337</v>
      </c>
      <c r="B82" s="64" t="s">
        <v>1100</v>
      </c>
      <c r="C82" s="65" t="s">
        <v>1334</v>
      </c>
      <c r="D82" s="64" t="s">
        <v>1338</v>
      </c>
      <c r="E82" s="64" t="s">
        <v>1339</v>
      </c>
      <c r="F82" s="65" t="s">
        <v>1340</v>
      </c>
      <c r="G82" s="65"/>
      <c r="H82" s="65"/>
      <c r="I82" s="65"/>
    </row>
    <row r="83" spans="1:9" x14ac:dyDescent="0.25">
      <c r="A83" s="65" t="s">
        <v>1341</v>
      </c>
      <c r="B83" s="64" t="s">
        <v>1100</v>
      </c>
      <c r="C83" s="65" t="s">
        <v>1334</v>
      </c>
      <c r="D83" s="64" t="s">
        <v>1342</v>
      </c>
      <c r="E83" s="64" t="s">
        <v>1343</v>
      </c>
      <c r="F83" s="65" t="s">
        <v>1344</v>
      </c>
      <c r="G83" s="65"/>
      <c r="H83" s="65"/>
      <c r="I83" s="65"/>
    </row>
    <row r="84" spans="1:9" x14ac:dyDescent="0.25">
      <c r="A84" s="68" t="s">
        <v>1345</v>
      </c>
      <c r="B84" s="69" t="s">
        <v>1093</v>
      </c>
      <c r="C84" s="70" t="s">
        <v>3</v>
      </c>
      <c r="D84" s="68" t="s">
        <v>470</v>
      </c>
      <c r="E84" s="69" t="s">
        <v>1346</v>
      </c>
      <c r="F84" s="70" t="s">
        <v>1347</v>
      </c>
      <c r="G84" s="70"/>
      <c r="H84" s="70"/>
      <c r="I84" s="70"/>
    </row>
    <row r="85" spans="1:9" x14ac:dyDescent="0.25">
      <c r="A85" s="65" t="s">
        <v>1348</v>
      </c>
      <c r="B85" s="64" t="s">
        <v>1097</v>
      </c>
      <c r="C85" s="65" t="s">
        <v>1345</v>
      </c>
      <c r="D85" s="64" t="s">
        <v>471</v>
      </c>
      <c r="E85" s="64" t="s">
        <v>1349</v>
      </c>
      <c r="F85" s="65" t="s">
        <v>1350</v>
      </c>
      <c r="G85" s="65"/>
      <c r="H85" s="65"/>
      <c r="I85" s="65"/>
    </row>
    <row r="86" spans="1:9" x14ac:dyDescent="0.25">
      <c r="A86" s="65" t="s">
        <v>1351</v>
      </c>
      <c r="B86" s="64" t="s">
        <v>1100</v>
      </c>
      <c r="C86" s="65" t="s">
        <v>1348</v>
      </c>
      <c r="D86" s="64" t="s">
        <v>1352</v>
      </c>
      <c r="E86" s="64" t="s">
        <v>1353</v>
      </c>
      <c r="F86" s="65" t="s">
        <v>1354</v>
      </c>
      <c r="G86" s="65"/>
      <c r="H86" s="65"/>
      <c r="I86" s="65"/>
    </row>
    <row r="87" spans="1:9" x14ac:dyDescent="0.25">
      <c r="A87" s="65" t="s">
        <v>1355</v>
      </c>
      <c r="B87" s="64" t="s">
        <v>1100</v>
      </c>
      <c r="C87" s="65" t="s">
        <v>1348</v>
      </c>
      <c r="D87" s="64" t="s">
        <v>1356</v>
      </c>
      <c r="E87" s="64" t="s">
        <v>1357</v>
      </c>
      <c r="F87" s="65" t="s">
        <v>1358</v>
      </c>
      <c r="G87" s="65"/>
      <c r="H87" s="65"/>
      <c r="I87" s="65"/>
    </row>
    <row r="88" spans="1:9" x14ac:dyDescent="0.25">
      <c r="A88" s="65" t="s">
        <v>1359</v>
      </c>
      <c r="B88" s="64" t="s">
        <v>1097</v>
      </c>
      <c r="C88" s="65" t="s">
        <v>1345</v>
      </c>
      <c r="D88" s="64" t="s">
        <v>480</v>
      </c>
      <c r="E88" s="64" t="s">
        <v>1360</v>
      </c>
      <c r="F88" s="65" t="s">
        <v>1361</v>
      </c>
      <c r="G88" s="65"/>
      <c r="H88" s="65"/>
      <c r="I88" s="65"/>
    </row>
    <row r="89" spans="1:9" x14ac:dyDescent="0.25">
      <c r="A89" s="65" t="s">
        <v>1362</v>
      </c>
      <c r="B89" s="64" t="s">
        <v>1100</v>
      </c>
      <c r="C89" s="65" t="s">
        <v>1359</v>
      </c>
      <c r="D89" s="64" t="s">
        <v>1363</v>
      </c>
      <c r="E89" s="64" t="s">
        <v>1364</v>
      </c>
      <c r="F89" s="65" t="s">
        <v>1365</v>
      </c>
      <c r="G89" s="65"/>
      <c r="H89" s="65"/>
      <c r="I89" s="65"/>
    </row>
    <row r="90" spans="1:9" x14ac:dyDescent="0.25">
      <c r="A90" s="65" t="s">
        <v>1366</v>
      </c>
      <c r="B90" s="64" t="s">
        <v>1100</v>
      </c>
      <c r="C90" s="65" t="s">
        <v>1359</v>
      </c>
      <c r="D90" s="64" t="s">
        <v>1367</v>
      </c>
      <c r="E90" s="64" t="s">
        <v>1368</v>
      </c>
      <c r="F90" s="65" t="s">
        <v>1369</v>
      </c>
      <c r="G90" s="65"/>
      <c r="H90" s="65"/>
      <c r="I90" s="65"/>
    </row>
    <row r="91" spans="1:9" x14ac:dyDescent="0.25">
      <c r="A91" s="65" t="s">
        <v>1370</v>
      </c>
      <c r="B91" s="64" t="s">
        <v>1097</v>
      </c>
      <c r="C91" s="65" t="s">
        <v>1345</v>
      </c>
      <c r="D91" s="64" t="s">
        <v>1371</v>
      </c>
      <c r="E91" s="64" t="s">
        <v>1372</v>
      </c>
      <c r="F91" s="65" t="s">
        <v>1373</v>
      </c>
      <c r="G91" s="65"/>
      <c r="H91" s="65"/>
      <c r="I91" s="65"/>
    </row>
    <row r="92" spans="1:9" x14ac:dyDescent="0.25">
      <c r="A92" s="65" t="s">
        <v>1374</v>
      </c>
      <c r="B92" s="64" t="s">
        <v>1100</v>
      </c>
      <c r="C92" s="65" t="s">
        <v>1370</v>
      </c>
      <c r="D92" s="64" t="s">
        <v>1375</v>
      </c>
      <c r="E92" s="64" t="s">
        <v>1376</v>
      </c>
      <c r="F92" s="65" t="s">
        <v>1377</v>
      </c>
      <c r="G92" s="65"/>
      <c r="H92" s="65"/>
      <c r="I92" s="65"/>
    </row>
    <row r="93" spans="1:9" x14ac:dyDescent="0.25">
      <c r="A93" s="65" t="s">
        <v>1378</v>
      </c>
      <c r="B93" s="64" t="s">
        <v>1100</v>
      </c>
      <c r="C93" s="65" t="s">
        <v>1370</v>
      </c>
      <c r="D93" s="64" t="s">
        <v>1379</v>
      </c>
      <c r="E93" s="64" t="s">
        <v>1380</v>
      </c>
      <c r="F93" s="65" t="s">
        <v>1381</v>
      </c>
      <c r="G93" s="65"/>
      <c r="H93" s="65"/>
      <c r="I93" s="65"/>
    </row>
    <row r="94" spans="1:9" x14ac:dyDescent="0.25">
      <c r="A94" s="68" t="s">
        <v>1382</v>
      </c>
      <c r="B94" s="69" t="s">
        <v>1093</v>
      </c>
      <c r="C94" s="70" t="s">
        <v>3</v>
      </c>
      <c r="D94" s="68" t="s">
        <v>521</v>
      </c>
      <c r="E94" s="69" t="s">
        <v>1383</v>
      </c>
      <c r="F94" s="70" t="s">
        <v>1384</v>
      </c>
      <c r="G94" s="70"/>
      <c r="H94" s="70"/>
      <c r="I94" s="70"/>
    </row>
    <row r="95" spans="1:9" x14ac:dyDescent="0.25">
      <c r="A95" s="65" t="s">
        <v>1385</v>
      </c>
      <c r="B95" s="64" t="s">
        <v>1097</v>
      </c>
      <c r="C95" s="65" t="s">
        <v>1382</v>
      </c>
      <c r="D95" s="64" t="s">
        <v>522</v>
      </c>
      <c r="E95" s="64" t="s">
        <v>1386</v>
      </c>
      <c r="F95" s="65" t="s">
        <v>1387</v>
      </c>
      <c r="G95" s="65"/>
      <c r="H95" s="65"/>
      <c r="I95" s="65"/>
    </row>
    <row r="96" spans="1:9" x14ac:dyDescent="0.25">
      <c r="A96" s="65" t="s">
        <v>1388</v>
      </c>
      <c r="B96" s="64" t="s">
        <v>1100</v>
      </c>
      <c r="C96" s="65" t="s">
        <v>1385</v>
      </c>
      <c r="D96" s="64" t="s">
        <v>1389</v>
      </c>
      <c r="E96" s="64" t="s">
        <v>1390</v>
      </c>
      <c r="F96" s="65" t="s">
        <v>1391</v>
      </c>
      <c r="G96" s="65"/>
      <c r="H96" s="65"/>
      <c r="I96" s="65"/>
    </row>
    <row r="97" spans="1:9" x14ac:dyDescent="0.25">
      <c r="A97" s="65" t="s">
        <v>1392</v>
      </c>
      <c r="B97" s="64" t="s">
        <v>1100</v>
      </c>
      <c r="C97" s="65" t="s">
        <v>1385</v>
      </c>
      <c r="D97" s="64" t="s">
        <v>1393</v>
      </c>
      <c r="E97" s="64" t="s">
        <v>1394</v>
      </c>
      <c r="F97" s="65" t="s">
        <v>1395</v>
      </c>
      <c r="G97" s="65"/>
      <c r="H97" s="65"/>
      <c r="I97" s="65"/>
    </row>
    <row r="98" spans="1:9" x14ac:dyDescent="0.25">
      <c r="A98" s="65" t="s">
        <v>1396</v>
      </c>
      <c r="B98" s="64" t="s">
        <v>1097</v>
      </c>
      <c r="C98" s="65" t="s">
        <v>1382</v>
      </c>
      <c r="D98" s="64" t="s">
        <v>530</v>
      </c>
      <c r="E98" s="64" t="s">
        <v>1397</v>
      </c>
      <c r="F98" s="65" t="s">
        <v>1398</v>
      </c>
      <c r="G98" s="65"/>
      <c r="H98" s="65"/>
      <c r="I98" s="65"/>
    </row>
    <row r="99" spans="1:9" x14ac:dyDescent="0.25">
      <c r="A99" s="65" t="s">
        <v>1399</v>
      </c>
      <c r="B99" s="64" t="s">
        <v>1100</v>
      </c>
      <c r="C99" s="65" t="s">
        <v>1396</v>
      </c>
      <c r="D99" s="64" t="s">
        <v>1400</v>
      </c>
      <c r="E99" s="64" t="s">
        <v>1401</v>
      </c>
      <c r="F99" s="65" t="s">
        <v>1402</v>
      </c>
      <c r="G99" s="65"/>
      <c r="H99" s="65"/>
      <c r="I99" s="65"/>
    </row>
    <row r="100" spans="1:9" x14ac:dyDescent="0.25">
      <c r="A100" s="65" t="s">
        <v>1403</v>
      </c>
      <c r="B100" s="64" t="s">
        <v>1100</v>
      </c>
      <c r="C100" s="65" t="s">
        <v>1396</v>
      </c>
      <c r="D100" s="64" t="s">
        <v>1404</v>
      </c>
      <c r="E100" s="64" t="s">
        <v>1405</v>
      </c>
      <c r="F100" s="65" t="s">
        <v>1406</v>
      </c>
      <c r="G100" s="65"/>
      <c r="H100" s="65"/>
      <c r="I100" s="65"/>
    </row>
    <row r="101" spans="1:9" x14ac:dyDescent="0.25">
      <c r="A101" s="65" t="s">
        <v>1407</v>
      </c>
      <c r="B101" s="64" t="s">
        <v>1097</v>
      </c>
      <c r="C101" s="65" t="s">
        <v>1382</v>
      </c>
      <c r="D101" s="64" t="s">
        <v>1408</v>
      </c>
      <c r="E101" s="64" t="s">
        <v>1409</v>
      </c>
      <c r="F101" s="65" t="s">
        <v>1410</v>
      </c>
      <c r="G101" s="65"/>
      <c r="H101" s="65"/>
      <c r="I101" s="65"/>
    </row>
    <row r="102" spans="1:9" x14ac:dyDescent="0.25">
      <c r="A102" s="65" t="s">
        <v>1411</v>
      </c>
      <c r="B102" s="64" t="s">
        <v>1100</v>
      </c>
      <c r="C102" s="65" t="s">
        <v>1407</v>
      </c>
      <c r="D102" s="64" t="s">
        <v>1412</v>
      </c>
      <c r="E102" s="64" t="s">
        <v>1413</v>
      </c>
      <c r="F102" s="65" t="s">
        <v>1414</v>
      </c>
      <c r="G102" s="65"/>
      <c r="H102" s="65"/>
      <c r="I102" s="65"/>
    </row>
    <row r="103" spans="1:9" x14ac:dyDescent="0.25">
      <c r="A103" s="65" t="s">
        <v>1415</v>
      </c>
      <c r="B103" s="64" t="s">
        <v>1100</v>
      </c>
      <c r="C103" s="65" t="s">
        <v>1407</v>
      </c>
      <c r="D103" s="64" t="s">
        <v>1416</v>
      </c>
      <c r="E103" s="64" t="s">
        <v>1416</v>
      </c>
      <c r="F103" s="65" t="s">
        <v>1417</v>
      </c>
      <c r="G103" s="65"/>
      <c r="H103" s="65"/>
      <c r="I103" s="65"/>
    </row>
    <row r="104" spans="1:9" x14ac:dyDescent="0.25">
      <c r="A104" s="68" t="s">
        <v>1418</v>
      </c>
      <c r="B104" s="69" t="s">
        <v>1093</v>
      </c>
      <c r="C104" s="70" t="s">
        <v>3</v>
      </c>
      <c r="D104" s="68" t="s">
        <v>538</v>
      </c>
      <c r="E104" s="69" t="s">
        <v>1419</v>
      </c>
      <c r="F104" s="70" t="s">
        <v>1420</v>
      </c>
      <c r="G104" s="70"/>
      <c r="H104" s="70"/>
      <c r="I104" s="70"/>
    </row>
    <row r="105" spans="1:9" x14ac:dyDescent="0.25">
      <c r="A105" s="65" t="s">
        <v>1421</v>
      </c>
      <c r="B105" s="64" t="s">
        <v>1097</v>
      </c>
      <c r="C105" s="65" t="s">
        <v>1418</v>
      </c>
      <c r="D105" s="64" t="s">
        <v>539</v>
      </c>
      <c r="E105" s="64" t="s">
        <v>1422</v>
      </c>
      <c r="F105" s="65" t="s">
        <v>1423</v>
      </c>
      <c r="G105" s="65"/>
      <c r="H105" s="65"/>
      <c r="I105" s="65"/>
    </row>
    <row r="106" spans="1:9" x14ac:dyDescent="0.25">
      <c r="A106" s="65" t="s">
        <v>1424</v>
      </c>
      <c r="B106" s="64" t="s">
        <v>1100</v>
      </c>
      <c r="C106" s="65" t="s">
        <v>1421</v>
      </c>
      <c r="D106" s="64" t="s">
        <v>1425</v>
      </c>
      <c r="E106" s="64" t="s">
        <v>1426</v>
      </c>
      <c r="F106" s="65" t="s">
        <v>1427</v>
      </c>
      <c r="G106" s="65"/>
      <c r="H106" s="65"/>
      <c r="I106" s="65"/>
    </row>
    <row r="107" spans="1:9" x14ac:dyDescent="0.25">
      <c r="A107" s="65" t="s">
        <v>1428</v>
      </c>
      <c r="B107" s="64" t="s">
        <v>1100</v>
      </c>
      <c r="C107" s="65" t="s">
        <v>1421</v>
      </c>
      <c r="D107" s="64" t="s">
        <v>1429</v>
      </c>
      <c r="E107" s="64" t="s">
        <v>1430</v>
      </c>
      <c r="F107" s="65" t="s">
        <v>1431</v>
      </c>
      <c r="G107" s="65"/>
      <c r="H107" s="65"/>
      <c r="I107" s="65"/>
    </row>
    <row r="108" spans="1:9" x14ac:dyDescent="0.25">
      <c r="A108" s="65" t="s">
        <v>1432</v>
      </c>
      <c r="B108" s="64" t="s">
        <v>1097</v>
      </c>
      <c r="C108" s="65" t="s">
        <v>1418</v>
      </c>
      <c r="D108" s="64" t="s">
        <v>547</v>
      </c>
      <c r="E108" s="64" t="s">
        <v>1433</v>
      </c>
      <c r="F108" s="65" t="s">
        <v>1434</v>
      </c>
      <c r="G108" s="65"/>
      <c r="H108" s="65"/>
      <c r="I108" s="65"/>
    </row>
    <row r="109" spans="1:9" x14ac:dyDescent="0.25">
      <c r="A109" s="65" t="s">
        <v>1435</v>
      </c>
      <c r="B109" s="64" t="s">
        <v>1100</v>
      </c>
      <c r="C109" s="65" t="s">
        <v>1432</v>
      </c>
      <c r="D109" s="64" t="s">
        <v>1436</v>
      </c>
      <c r="E109" s="64" t="s">
        <v>1436</v>
      </c>
      <c r="F109" s="65" t="s">
        <v>1437</v>
      </c>
      <c r="G109" s="65"/>
      <c r="H109" s="65"/>
      <c r="I109" s="65"/>
    </row>
    <row r="110" spans="1:9" x14ac:dyDescent="0.25">
      <c r="A110" s="65" t="s">
        <v>1438</v>
      </c>
      <c r="B110" s="64" t="s">
        <v>1100</v>
      </c>
      <c r="C110" s="65" t="s">
        <v>1432</v>
      </c>
      <c r="D110" s="64" t="s">
        <v>1439</v>
      </c>
      <c r="E110" s="64" t="s">
        <v>1439</v>
      </c>
      <c r="F110" s="65" t="s">
        <v>1440</v>
      </c>
      <c r="G110" s="65"/>
      <c r="H110" s="65"/>
      <c r="I110" s="65"/>
    </row>
    <row r="111" spans="1:9" x14ac:dyDescent="0.25">
      <c r="A111" s="65" t="s">
        <v>1441</v>
      </c>
      <c r="B111" s="64" t="s">
        <v>1097</v>
      </c>
      <c r="C111" s="65" t="s">
        <v>1418</v>
      </c>
      <c r="D111" s="64" t="s">
        <v>1442</v>
      </c>
      <c r="E111" s="64" t="s">
        <v>1442</v>
      </c>
      <c r="F111" s="65" t="s">
        <v>1443</v>
      </c>
      <c r="G111" s="65"/>
      <c r="H111" s="65"/>
      <c r="I111" s="65"/>
    </row>
    <row r="112" spans="1:9" x14ac:dyDescent="0.25">
      <c r="A112" s="65" t="s">
        <v>1444</v>
      </c>
      <c r="B112" s="64" t="s">
        <v>1100</v>
      </c>
      <c r="C112" s="65" t="s">
        <v>1441</v>
      </c>
      <c r="D112" s="64" t="s">
        <v>1445</v>
      </c>
      <c r="E112" s="64" t="s">
        <v>1446</v>
      </c>
      <c r="F112" s="65" t="s">
        <v>1447</v>
      </c>
      <c r="G112" s="65"/>
      <c r="H112" s="65"/>
      <c r="I112" s="65"/>
    </row>
    <row r="113" spans="1:9" x14ac:dyDescent="0.25">
      <c r="A113" s="65" t="s">
        <v>1448</v>
      </c>
      <c r="B113" s="64" t="s">
        <v>1100</v>
      </c>
      <c r="C113" s="65" t="s">
        <v>1441</v>
      </c>
      <c r="D113" s="64" t="s">
        <v>1449</v>
      </c>
      <c r="E113" s="64" t="s">
        <v>1450</v>
      </c>
      <c r="F113" s="65" t="s">
        <v>1451</v>
      </c>
      <c r="G113" s="65"/>
      <c r="H113" s="65"/>
      <c r="I113" s="65"/>
    </row>
    <row r="114" spans="1:9" x14ac:dyDescent="0.25">
      <c r="A114" s="68" t="s">
        <v>1452</v>
      </c>
      <c r="B114" s="69" t="s">
        <v>1093</v>
      </c>
      <c r="C114" s="70" t="s">
        <v>3</v>
      </c>
      <c r="D114" s="68" t="s">
        <v>555</v>
      </c>
      <c r="E114" s="69" t="s">
        <v>1453</v>
      </c>
      <c r="F114" s="70" t="s">
        <v>1454</v>
      </c>
      <c r="G114" s="70"/>
      <c r="H114" s="70"/>
      <c r="I114" s="70"/>
    </row>
    <row r="115" spans="1:9" x14ac:dyDescent="0.25">
      <c r="A115" s="65" t="s">
        <v>1455</v>
      </c>
      <c r="B115" s="64" t="s">
        <v>1097</v>
      </c>
      <c r="C115" s="65" t="s">
        <v>1452</v>
      </c>
      <c r="D115" s="64" t="s">
        <v>556</v>
      </c>
      <c r="E115" s="64" t="s">
        <v>1456</v>
      </c>
      <c r="F115" s="65" t="s">
        <v>1457</v>
      </c>
      <c r="G115" s="65"/>
      <c r="H115" s="65"/>
      <c r="I115" s="65"/>
    </row>
    <row r="116" spans="1:9" x14ac:dyDescent="0.25">
      <c r="A116" s="65" t="s">
        <v>1458</v>
      </c>
      <c r="B116" s="64" t="s">
        <v>1100</v>
      </c>
      <c r="C116" s="65" t="s">
        <v>1455</v>
      </c>
      <c r="D116" s="64" t="s">
        <v>1459</v>
      </c>
      <c r="E116" s="64" t="s">
        <v>1460</v>
      </c>
      <c r="F116" s="65" t="s">
        <v>1461</v>
      </c>
      <c r="G116" s="65"/>
      <c r="H116" s="65"/>
      <c r="I116" s="65"/>
    </row>
    <row r="117" spans="1:9" x14ac:dyDescent="0.25">
      <c r="A117" s="65" t="s">
        <v>1462</v>
      </c>
      <c r="B117" s="64" t="s">
        <v>1100</v>
      </c>
      <c r="C117" s="65" t="s">
        <v>1455</v>
      </c>
      <c r="D117" s="64" t="s">
        <v>1463</v>
      </c>
      <c r="E117" s="64" t="s">
        <v>1464</v>
      </c>
      <c r="F117" s="65" t="s">
        <v>1465</v>
      </c>
      <c r="G117" s="65"/>
      <c r="H117" s="65"/>
      <c r="I117" s="65"/>
    </row>
    <row r="118" spans="1:9" x14ac:dyDescent="0.25">
      <c r="A118" s="65" t="s">
        <v>1466</v>
      </c>
      <c r="B118" s="64" t="s">
        <v>1097</v>
      </c>
      <c r="C118" s="65" t="s">
        <v>1452</v>
      </c>
      <c r="D118" s="64" t="s">
        <v>564</v>
      </c>
      <c r="E118" s="64" t="s">
        <v>1467</v>
      </c>
      <c r="F118" s="65" t="s">
        <v>1468</v>
      </c>
      <c r="G118" s="65"/>
      <c r="H118" s="65"/>
      <c r="I118" s="65"/>
    </row>
    <row r="119" spans="1:9" x14ac:dyDescent="0.25">
      <c r="A119" s="65" t="s">
        <v>1469</v>
      </c>
      <c r="B119" s="64" t="s">
        <v>1100</v>
      </c>
      <c r="C119" s="65" t="s">
        <v>1466</v>
      </c>
      <c r="D119" s="64" t="s">
        <v>1470</v>
      </c>
      <c r="E119" s="64" t="s">
        <v>1471</v>
      </c>
      <c r="F119" s="65" t="s">
        <v>1472</v>
      </c>
      <c r="G119" s="65"/>
      <c r="H119" s="65"/>
      <c r="I119" s="65"/>
    </row>
    <row r="120" spans="1:9" x14ac:dyDescent="0.25">
      <c r="A120" s="65" t="s">
        <v>1473</v>
      </c>
      <c r="B120" s="64" t="s">
        <v>1100</v>
      </c>
      <c r="C120" s="65" t="s">
        <v>1466</v>
      </c>
      <c r="D120" s="64" t="s">
        <v>1474</v>
      </c>
      <c r="E120" s="64" t="s">
        <v>1475</v>
      </c>
      <c r="F120" s="65" t="s">
        <v>1476</v>
      </c>
      <c r="G120" s="65"/>
      <c r="H120" s="65"/>
      <c r="I120" s="65"/>
    </row>
    <row r="121" spans="1:9" x14ac:dyDescent="0.25">
      <c r="A121" s="65" t="s">
        <v>1477</v>
      </c>
      <c r="B121" s="64" t="s">
        <v>1097</v>
      </c>
      <c r="C121" s="65" t="s">
        <v>1452</v>
      </c>
      <c r="D121" s="64" t="s">
        <v>1478</v>
      </c>
      <c r="E121" s="64" t="s">
        <v>1479</v>
      </c>
      <c r="F121" s="65" t="s">
        <v>1480</v>
      </c>
      <c r="G121" s="65"/>
      <c r="H121" s="65"/>
      <c r="I121" s="65"/>
    </row>
    <row r="122" spans="1:9" x14ac:dyDescent="0.25">
      <c r="A122" s="65" t="s">
        <v>1481</v>
      </c>
      <c r="B122" s="64" t="s">
        <v>1100</v>
      </c>
      <c r="C122" s="65" t="s">
        <v>1477</v>
      </c>
      <c r="D122" s="64" t="s">
        <v>1482</v>
      </c>
      <c r="E122" s="64" t="s">
        <v>1483</v>
      </c>
      <c r="F122" s="65" t="s">
        <v>1484</v>
      </c>
      <c r="G122" s="65"/>
      <c r="H122" s="65"/>
      <c r="I122" s="65"/>
    </row>
    <row r="123" spans="1:9" x14ac:dyDescent="0.25">
      <c r="A123" s="65" t="s">
        <v>1485</v>
      </c>
      <c r="B123" s="64" t="s">
        <v>1100</v>
      </c>
      <c r="C123" s="65" t="s">
        <v>1477</v>
      </c>
      <c r="D123" s="64" t="s">
        <v>1486</v>
      </c>
      <c r="E123" s="64" t="s">
        <v>1487</v>
      </c>
      <c r="F123" s="65" t="s">
        <v>1488</v>
      </c>
      <c r="G123" s="65"/>
      <c r="H123" s="65"/>
      <c r="I123" s="65"/>
    </row>
    <row r="124" spans="1:9" x14ac:dyDescent="0.25">
      <c r="A124" s="68" t="s">
        <v>1489</v>
      </c>
      <c r="B124" s="69" t="s">
        <v>1093</v>
      </c>
      <c r="C124" s="70" t="s">
        <v>3</v>
      </c>
      <c r="D124" s="68" t="s">
        <v>574</v>
      </c>
      <c r="E124" s="69" t="s">
        <v>1490</v>
      </c>
      <c r="F124" s="70" t="s">
        <v>1491</v>
      </c>
      <c r="G124" s="70"/>
      <c r="H124" s="70"/>
      <c r="I124" s="70"/>
    </row>
    <row r="125" spans="1:9" x14ac:dyDescent="0.25">
      <c r="A125" s="65" t="s">
        <v>1492</v>
      </c>
      <c r="B125" s="64" t="s">
        <v>1097</v>
      </c>
      <c r="C125" s="65" t="s">
        <v>1489</v>
      </c>
      <c r="D125" s="64" t="s">
        <v>575</v>
      </c>
      <c r="E125" s="64" t="s">
        <v>1493</v>
      </c>
      <c r="F125" s="65" t="s">
        <v>1494</v>
      </c>
      <c r="G125" s="65"/>
      <c r="H125" s="65"/>
      <c r="I125" s="65"/>
    </row>
    <row r="126" spans="1:9" x14ac:dyDescent="0.25">
      <c r="A126" s="65" t="s">
        <v>1495</v>
      </c>
      <c r="B126" s="64" t="s">
        <v>1100</v>
      </c>
      <c r="C126" s="65" t="s">
        <v>1492</v>
      </c>
      <c r="D126" s="64" t="s">
        <v>1496</v>
      </c>
      <c r="E126" s="64" t="s">
        <v>1497</v>
      </c>
      <c r="F126" s="65" t="s">
        <v>1498</v>
      </c>
      <c r="G126" s="65"/>
      <c r="H126" s="65"/>
      <c r="I126" s="65"/>
    </row>
    <row r="127" spans="1:9" x14ac:dyDescent="0.25">
      <c r="A127" s="65" t="s">
        <v>1499</v>
      </c>
      <c r="B127" s="64" t="s">
        <v>1100</v>
      </c>
      <c r="C127" s="65" t="s">
        <v>1492</v>
      </c>
      <c r="D127" s="64" t="s">
        <v>1500</v>
      </c>
      <c r="E127" s="64" t="s">
        <v>1501</v>
      </c>
      <c r="F127" s="65" t="s">
        <v>1502</v>
      </c>
      <c r="G127" s="65"/>
      <c r="H127" s="65"/>
      <c r="I127" s="65"/>
    </row>
    <row r="128" spans="1:9" x14ac:dyDescent="0.25">
      <c r="A128" s="65" t="s">
        <v>1503</v>
      </c>
      <c r="B128" s="64" t="s">
        <v>1097</v>
      </c>
      <c r="C128" s="65" t="s">
        <v>1489</v>
      </c>
      <c r="D128" s="64" t="s">
        <v>582</v>
      </c>
      <c r="E128" s="64" t="s">
        <v>1504</v>
      </c>
      <c r="F128" s="65" t="s">
        <v>1505</v>
      </c>
      <c r="G128" s="65"/>
      <c r="H128" s="65"/>
      <c r="I128" s="65"/>
    </row>
    <row r="129" spans="1:9" x14ac:dyDescent="0.25">
      <c r="A129" s="65" t="s">
        <v>1506</v>
      </c>
      <c r="B129" s="64" t="s">
        <v>1100</v>
      </c>
      <c r="C129" s="65" t="s">
        <v>1503</v>
      </c>
      <c r="D129" s="64" t="s">
        <v>1507</v>
      </c>
      <c r="E129" s="64" t="s">
        <v>1508</v>
      </c>
      <c r="F129" s="65" t="s">
        <v>1509</v>
      </c>
      <c r="G129" s="65"/>
      <c r="H129" s="65"/>
      <c r="I129" s="65"/>
    </row>
    <row r="130" spans="1:9" x14ac:dyDescent="0.25">
      <c r="A130" s="65" t="s">
        <v>1510</v>
      </c>
      <c r="B130" s="64" t="s">
        <v>1100</v>
      </c>
      <c r="C130" s="65" t="s">
        <v>1503</v>
      </c>
      <c r="D130" s="64" t="s">
        <v>1511</v>
      </c>
      <c r="E130" s="64" t="s">
        <v>1512</v>
      </c>
      <c r="F130" s="65" t="s">
        <v>1513</v>
      </c>
      <c r="G130" s="65"/>
      <c r="H130" s="65"/>
      <c r="I130" s="65"/>
    </row>
    <row r="131" spans="1:9" x14ac:dyDescent="0.25">
      <c r="A131" s="65" t="s">
        <v>1514</v>
      </c>
      <c r="B131" s="64" t="s">
        <v>1097</v>
      </c>
      <c r="C131" s="65" t="s">
        <v>1489</v>
      </c>
      <c r="D131" s="64" t="s">
        <v>1515</v>
      </c>
      <c r="E131" s="64" t="s">
        <v>1516</v>
      </c>
      <c r="F131" s="65" t="s">
        <v>1517</v>
      </c>
      <c r="G131" s="65"/>
      <c r="H131" s="65"/>
      <c r="I131" s="65"/>
    </row>
    <row r="132" spans="1:9" x14ac:dyDescent="0.25">
      <c r="A132" s="65" t="s">
        <v>1518</v>
      </c>
      <c r="B132" s="64" t="s">
        <v>1100</v>
      </c>
      <c r="C132" s="65" t="s">
        <v>1514</v>
      </c>
      <c r="D132" s="64" t="s">
        <v>1519</v>
      </c>
      <c r="E132" s="64" t="s">
        <v>1520</v>
      </c>
      <c r="F132" s="65" t="s">
        <v>1521</v>
      </c>
      <c r="G132" s="65"/>
      <c r="H132" s="65"/>
      <c r="I132" s="65"/>
    </row>
    <row r="133" spans="1:9" x14ac:dyDescent="0.25">
      <c r="A133" s="65" t="s">
        <v>1522</v>
      </c>
      <c r="B133" s="64" t="s">
        <v>1100</v>
      </c>
      <c r="C133" s="65" t="s">
        <v>1514</v>
      </c>
      <c r="D133" s="64" t="s">
        <v>1523</v>
      </c>
      <c r="E133" s="64" t="s">
        <v>1524</v>
      </c>
      <c r="F133" s="65" t="s">
        <v>1525</v>
      </c>
      <c r="G133" s="65"/>
      <c r="H133" s="65"/>
      <c r="I133" s="65"/>
    </row>
    <row r="134" spans="1:9" x14ac:dyDescent="0.25">
      <c r="A134" s="68" t="s">
        <v>1526</v>
      </c>
      <c r="B134" s="69" t="s">
        <v>1093</v>
      </c>
      <c r="C134" s="70" t="s">
        <v>3</v>
      </c>
      <c r="D134" s="68" t="s">
        <v>589</v>
      </c>
      <c r="E134" s="69" t="s">
        <v>1527</v>
      </c>
      <c r="F134" s="70" t="s">
        <v>1528</v>
      </c>
      <c r="G134" s="70"/>
      <c r="H134" s="70"/>
      <c r="I134" s="70"/>
    </row>
    <row r="135" spans="1:9" x14ac:dyDescent="0.25">
      <c r="A135" s="65" t="s">
        <v>1529</v>
      </c>
      <c r="B135" s="64" t="s">
        <v>1097</v>
      </c>
      <c r="C135" s="65" t="s">
        <v>1526</v>
      </c>
      <c r="D135" s="64" t="s">
        <v>590</v>
      </c>
      <c r="E135" s="64" t="s">
        <v>1530</v>
      </c>
      <c r="F135" s="65" t="s">
        <v>1531</v>
      </c>
      <c r="G135" s="65"/>
      <c r="H135" s="65"/>
      <c r="I135" s="65"/>
    </row>
    <row r="136" spans="1:9" x14ac:dyDescent="0.25">
      <c r="A136" s="65" t="s">
        <v>1532</v>
      </c>
      <c r="B136" s="64" t="s">
        <v>1100</v>
      </c>
      <c r="C136" s="65" t="s">
        <v>1529</v>
      </c>
      <c r="D136" s="64" t="s">
        <v>1533</v>
      </c>
      <c r="E136" s="64" t="s">
        <v>1534</v>
      </c>
      <c r="F136" s="65" t="s">
        <v>1535</v>
      </c>
      <c r="G136" s="65"/>
      <c r="H136" s="65"/>
      <c r="I136" s="65"/>
    </row>
    <row r="137" spans="1:9" x14ac:dyDescent="0.25">
      <c r="A137" s="65" t="s">
        <v>1536</v>
      </c>
      <c r="B137" s="64" t="s">
        <v>1100</v>
      </c>
      <c r="C137" s="65" t="s">
        <v>1529</v>
      </c>
      <c r="D137" s="64" t="s">
        <v>1537</v>
      </c>
      <c r="E137" s="64" t="s">
        <v>1537</v>
      </c>
      <c r="F137" s="65" t="s">
        <v>1538</v>
      </c>
      <c r="G137" s="65"/>
      <c r="H137" s="65"/>
      <c r="I137" s="65"/>
    </row>
    <row r="138" spans="1:9" x14ac:dyDescent="0.25">
      <c r="A138" s="65" t="s">
        <v>1539</v>
      </c>
      <c r="B138" s="64" t="s">
        <v>1097</v>
      </c>
      <c r="C138" s="65" t="s">
        <v>1526</v>
      </c>
      <c r="D138" s="64" t="s">
        <v>597</v>
      </c>
      <c r="E138" s="64" t="s">
        <v>1540</v>
      </c>
      <c r="F138" s="65" t="s">
        <v>1541</v>
      </c>
      <c r="G138" s="65"/>
      <c r="H138" s="65"/>
      <c r="I138" s="65"/>
    </row>
    <row r="139" spans="1:9" x14ac:dyDescent="0.25">
      <c r="A139" s="65" t="s">
        <v>1542</v>
      </c>
      <c r="B139" s="64" t="s">
        <v>1100</v>
      </c>
      <c r="C139" s="65" t="s">
        <v>1539</v>
      </c>
      <c r="D139" s="64" t="s">
        <v>1543</v>
      </c>
      <c r="E139" s="64" t="s">
        <v>1544</v>
      </c>
      <c r="F139" s="65" t="s">
        <v>1545</v>
      </c>
      <c r="G139" s="65"/>
      <c r="H139" s="65"/>
      <c r="I139" s="65"/>
    </row>
    <row r="140" spans="1:9" x14ac:dyDescent="0.25">
      <c r="A140" s="65" t="s">
        <v>1546</v>
      </c>
      <c r="B140" s="64" t="s">
        <v>1100</v>
      </c>
      <c r="C140" s="65" t="s">
        <v>1539</v>
      </c>
      <c r="D140" s="64" t="s">
        <v>1547</v>
      </c>
      <c r="E140" s="64" t="s">
        <v>1548</v>
      </c>
      <c r="F140" s="65" t="s">
        <v>1549</v>
      </c>
      <c r="G140" s="65"/>
      <c r="H140" s="65"/>
      <c r="I140" s="65"/>
    </row>
    <row r="141" spans="1:9" x14ac:dyDescent="0.25">
      <c r="A141" s="65" t="s">
        <v>1550</v>
      </c>
      <c r="B141" s="64" t="s">
        <v>1097</v>
      </c>
      <c r="C141" s="65" t="s">
        <v>1526</v>
      </c>
      <c r="D141" s="64" t="s">
        <v>1551</v>
      </c>
      <c r="E141" s="64" t="s">
        <v>1551</v>
      </c>
      <c r="F141" s="65" t="s">
        <v>1552</v>
      </c>
      <c r="G141" s="65"/>
      <c r="H141" s="65"/>
      <c r="I141" s="65"/>
    </row>
    <row r="142" spans="1:9" x14ac:dyDescent="0.25">
      <c r="A142" s="65" t="s">
        <v>1553</v>
      </c>
      <c r="B142" s="64" t="s">
        <v>1100</v>
      </c>
      <c r="C142" s="65" t="s">
        <v>1550</v>
      </c>
      <c r="D142" s="64" t="s">
        <v>1554</v>
      </c>
      <c r="E142" s="64" t="s">
        <v>1555</v>
      </c>
      <c r="F142" s="65" t="s">
        <v>1556</v>
      </c>
      <c r="G142" s="65"/>
      <c r="H142" s="65"/>
      <c r="I142" s="65"/>
    </row>
    <row r="143" spans="1:9" x14ac:dyDescent="0.25">
      <c r="A143" s="65" t="s">
        <v>1557</v>
      </c>
      <c r="B143" s="64" t="s">
        <v>1100</v>
      </c>
      <c r="C143" s="65" t="s">
        <v>1550</v>
      </c>
      <c r="D143" s="64" t="s">
        <v>1558</v>
      </c>
      <c r="E143" s="64" t="s">
        <v>1559</v>
      </c>
      <c r="F143" s="65" t="s">
        <v>1560</v>
      </c>
      <c r="G143" s="65"/>
      <c r="H143" s="65"/>
      <c r="I143" s="65"/>
    </row>
    <row r="144" spans="1:9" x14ac:dyDescent="0.25">
      <c r="A144" s="68" t="s">
        <v>1561</v>
      </c>
      <c r="B144" s="69" t="s">
        <v>1093</v>
      </c>
      <c r="C144" s="70" t="s">
        <v>3</v>
      </c>
      <c r="D144" s="68" t="s">
        <v>607</v>
      </c>
      <c r="E144" s="69" t="s">
        <v>1562</v>
      </c>
      <c r="F144" s="70" t="s">
        <v>1563</v>
      </c>
      <c r="G144" s="70"/>
      <c r="H144" s="70"/>
      <c r="I144" s="70"/>
    </row>
    <row r="145" spans="1:9" x14ac:dyDescent="0.25">
      <c r="A145" s="65" t="s">
        <v>1564</v>
      </c>
      <c r="B145" s="64" t="s">
        <v>1097</v>
      </c>
      <c r="C145" s="65" t="s">
        <v>1561</v>
      </c>
      <c r="D145" s="64" t="s">
        <v>608</v>
      </c>
      <c r="E145" s="64" t="s">
        <v>1565</v>
      </c>
      <c r="F145" s="65" t="s">
        <v>1566</v>
      </c>
      <c r="G145" s="65"/>
      <c r="H145" s="65"/>
      <c r="I145" s="65"/>
    </row>
    <row r="146" spans="1:9" x14ac:dyDescent="0.25">
      <c r="A146" s="65" t="s">
        <v>1567</v>
      </c>
      <c r="B146" s="64" t="s">
        <v>1100</v>
      </c>
      <c r="C146" s="65" t="s">
        <v>1564</v>
      </c>
      <c r="D146" s="64" t="s">
        <v>1568</v>
      </c>
      <c r="E146" s="64" t="s">
        <v>1569</v>
      </c>
      <c r="F146" s="65" t="s">
        <v>1570</v>
      </c>
      <c r="G146" s="65"/>
      <c r="H146" s="65"/>
      <c r="I146" s="65"/>
    </row>
    <row r="147" spans="1:9" x14ac:dyDescent="0.25">
      <c r="A147" s="65" t="s">
        <v>1571</v>
      </c>
      <c r="B147" s="64" t="s">
        <v>1100</v>
      </c>
      <c r="C147" s="65" t="s">
        <v>1564</v>
      </c>
      <c r="D147" s="64" t="s">
        <v>1572</v>
      </c>
      <c r="E147" s="64" t="s">
        <v>1572</v>
      </c>
      <c r="F147" s="65" t="s">
        <v>1573</v>
      </c>
      <c r="G147" s="65"/>
      <c r="H147" s="65"/>
      <c r="I147" s="65"/>
    </row>
    <row r="148" spans="1:9" x14ac:dyDescent="0.25">
      <c r="A148" s="65" t="s">
        <v>1574</v>
      </c>
      <c r="B148" s="64" t="s">
        <v>1097</v>
      </c>
      <c r="C148" s="65" t="s">
        <v>1561</v>
      </c>
      <c r="D148" s="64" t="s">
        <v>615</v>
      </c>
      <c r="E148" s="64" t="s">
        <v>1575</v>
      </c>
      <c r="F148" s="65" t="s">
        <v>1576</v>
      </c>
      <c r="G148" s="65"/>
      <c r="H148" s="65"/>
      <c r="I148" s="65"/>
    </row>
    <row r="149" spans="1:9" x14ac:dyDescent="0.25">
      <c r="A149" s="65" t="s">
        <v>1577</v>
      </c>
      <c r="B149" s="64" t="s">
        <v>1100</v>
      </c>
      <c r="C149" s="65" t="s">
        <v>1574</v>
      </c>
      <c r="D149" s="64" t="s">
        <v>1578</v>
      </c>
      <c r="E149" s="64" t="s">
        <v>1579</v>
      </c>
      <c r="F149" s="65" t="s">
        <v>1580</v>
      </c>
      <c r="G149" s="65"/>
      <c r="H149" s="65"/>
      <c r="I149" s="65"/>
    </row>
    <row r="150" spans="1:9" x14ac:dyDescent="0.25">
      <c r="A150" s="65" t="s">
        <v>1581</v>
      </c>
      <c r="B150" s="64" t="s">
        <v>1100</v>
      </c>
      <c r="C150" s="65" t="s">
        <v>1574</v>
      </c>
      <c r="D150" s="64" t="s">
        <v>1582</v>
      </c>
      <c r="E150" s="64" t="s">
        <v>1583</v>
      </c>
      <c r="F150" s="65" t="s">
        <v>1584</v>
      </c>
      <c r="G150" s="65"/>
      <c r="H150" s="65"/>
      <c r="I150" s="65"/>
    </row>
    <row r="151" spans="1:9" x14ac:dyDescent="0.25">
      <c r="A151" s="65" t="s">
        <v>1585</v>
      </c>
      <c r="B151" s="64" t="s">
        <v>1097</v>
      </c>
      <c r="C151" s="65" t="s">
        <v>1561</v>
      </c>
      <c r="D151" s="64" t="s">
        <v>1586</v>
      </c>
      <c r="E151" s="64" t="s">
        <v>1587</v>
      </c>
      <c r="F151" s="65" t="s">
        <v>1588</v>
      </c>
      <c r="G151" s="65"/>
      <c r="H151" s="65"/>
      <c r="I151" s="65"/>
    </row>
    <row r="152" spans="1:9" x14ac:dyDescent="0.25">
      <c r="A152" s="65" t="s">
        <v>1589</v>
      </c>
      <c r="B152" s="64" t="s">
        <v>1100</v>
      </c>
      <c r="C152" s="65" t="s">
        <v>1585</v>
      </c>
      <c r="D152" s="64" t="s">
        <v>1590</v>
      </c>
      <c r="E152" s="64" t="s">
        <v>1591</v>
      </c>
      <c r="F152" s="65" t="s">
        <v>1592</v>
      </c>
      <c r="G152" s="65"/>
      <c r="H152" s="65"/>
      <c r="I152" s="65"/>
    </row>
    <row r="153" spans="1:9" x14ac:dyDescent="0.25">
      <c r="A153" s="65" t="s">
        <v>1593</v>
      </c>
      <c r="B153" s="64" t="s">
        <v>1100</v>
      </c>
      <c r="C153" s="65" t="s">
        <v>1585</v>
      </c>
      <c r="D153" s="64" t="s">
        <v>1594</v>
      </c>
      <c r="E153" s="64" t="s">
        <v>1595</v>
      </c>
      <c r="F153" s="65" t="s">
        <v>1596</v>
      </c>
      <c r="G153" s="65"/>
      <c r="H153" s="65"/>
      <c r="I153" s="65"/>
    </row>
    <row r="154" spans="1:9" x14ac:dyDescent="0.25">
      <c r="A154" s="68" t="s">
        <v>1597</v>
      </c>
      <c r="B154" s="69" t="s">
        <v>1093</v>
      </c>
      <c r="C154" s="70" t="s">
        <v>3</v>
      </c>
      <c r="D154" s="68" t="s">
        <v>622</v>
      </c>
      <c r="E154" s="69" t="s">
        <v>1598</v>
      </c>
      <c r="F154" s="70" t="s">
        <v>1599</v>
      </c>
      <c r="G154" s="70"/>
      <c r="H154" s="70"/>
      <c r="I154" s="70"/>
    </row>
    <row r="155" spans="1:9" x14ac:dyDescent="0.25">
      <c r="A155" s="65" t="s">
        <v>1600</v>
      </c>
      <c r="B155" s="64" t="s">
        <v>1097</v>
      </c>
      <c r="C155" s="65" t="s">
        <v>1597</v>
      </c>
      <c r="D155" s="64" t="s">
        <v>623</v>
      </c>
      <c r="E155" s="64" t="s">
        <v>623</v>
      </c>
      <c r="F155" s="65" t="s">
        <v>1601</v>
      </c>
      <c r="G155" s="65"/>
      <c r="H155" s="65"/>
      <c r="I155" s="65"/>
    </row>
    <row r="156" spans="1:9" x14ac:dyDescent="0.25">
      <c r="A156" s="65" t="s">
        <v>1602</v>
      </c>
      <c r="B156" s="64" t="s">
        <v>1100</v>
      </c>
      <c r="C156" s="65" t="s">
        <v>1600</v>
      </c>
      <c r="D156" s="64" t="s">
        <v>1603</v>
      </c>
      <c r="E156" s="64" t="s">
        <v>1604</v>
      </c>
      <c r="F156" s="65" t="s">
        <v>1605</v>
      </c>
      <c r="G156" s="65"/>
      <c r="H156" s="65"/>
      <c r="I156" s="65"/>
    </row>
    <row r="157" spans="1:9" x14ac:dyDescent="0.25">
      <c r="A157" s="65" t="s">
        <v>1606</v>
      </c>
      <c r="B157" s="64" t="s">
        <v>1100</v>
      </c>
      <c r="C157" s="65" t="s">
        <v>1600</v>
      </c>
      <c r="D157" s="64" t="s">
        <v>1607</v>
      </c>
      <c r="E157" s="64" t="s">
        <v>1608</v>
      </c>
      <c r="F157" s="65" t="s">
        <v>1609</v>
      </c>
      <c r="G157" s="65"/>
      <c r="H157" s="65"/>
      <c r="I157" s="65"/>
    </row>
    <row r="158" spans="1:9" x14ac:dyDescent="0.25">
      <c r="A158" s="65" t="s">
        <v>1610</v>
      </c>
      <c r="B158" s="64" t="s">
        <v>1097</v>
      </c>
      <c r="C158" s="65" t="s">
        <v>1597</v>
      </c>
      <c r="D158" s="64" t="s">
        <v>630</v>
      </c>
      <c r="E158" s="64" t="s">
        <v>1611</v>
      </c>
      <c r="F158" s="65" t="s">
        <v>1612</v>
      </c>
      <c r="G158" s="65"/>
      <c r="H158" s="65"/>
      <c r="I158" s="65"/>
    </row>
    <row r="159" spans="1:9" x14ac:dyDescent="0.25">
      <c r="A159" s="65" t="s">
        <v>1613</v>
      </c>
      <c r="B159" s="64" t="s">
        <v>1100</v>
      </c>
      <c r="C159" s="65" t="s">
        <v>1610</v>
      </c>
      <c r="D159" s="64" t="s">
        <v>1614</v>
      </c>
      <c r="E159" s="64" t="s">
        <v>1615</v>
      </c>
      <c r="F159" s="65" t="s">
        <v>1616</v>
      </c>
      <c r="G159" s="65"/>
      <c r="H159" s="65"/>
      <c r="I159" s="65"/>
    </row>
    <row r="160" spans="1:9" x14ac:dyDescent="0.25">
      <c r="A160" s="65" t="s">
        <v>1617</v>
      </c>
      <c r="B160" s="64" t="s">
        <v>1100</v>
      </c>
      <c r="C160" s="65" t="s">
        <v>1610</v>
      </c>
      <c r="D160" s="64" t="s">
        <v>1618</v>
      </c>
      <c r="E160" s="64" t="s">
        <v>1619</v>
      </c>
      <c r="F160" s="65" t="s">
        <v>1620</v>
      </c>
      <c r="G160" s="65"/>
      <c r="H160" s="65"/>
      <c r="I160" s="65"/>
    </row>
    <row r="161" spans="1:9" x14ac:dyDescent="0.25">
      <c r="A161" s="65" t="s">
        <v>1621</v>
      </c>
      <c r="B161" s="64" t="s">
        <v>1097</v>
      </c>
      <c r="C161" s="65" t="s">
        <v>1597</v>
      </c>
      <c r="D161" s="64" t="s">
        <v>1622</v>
      </c>
      <c r="E161" s="64" t="s">
        <v>1623</v>
      </c>
      <c r="F161" s="65" t="s">
        <v>1624</v>
      </c>
      <c r="G161" s="65"/>
      <c r="H161" s="65"/>
      <c r="I161" s="65"/>
    </row>
    <row r="162" spans="1:9" x14ac:dyDescent="0.25">
      <c r="A162" s="65" t="s">
        <v>1625</v>
      </c>
      <c r="B162" s="64" t="s">
        <v>1100</v>
      </c>
      <c r="C162" s="65" t="s">
        <v>1621</v>
      </c>
      <c r="D162" s="64" t="s">
        <v>1626</v>
      </c>
      <c r="E162" s="64" t="s">
        <v>1627</v>
      </c>
      <c r="F162" s="65" t="s">
        <v>1628</v>
      </c>
      <c r="G162" s="65"/>
      <c r="H162" s="65"/>
      <c r="I162" s="65"/>
    </row>
    <row r="163" spans="1:9" x14ac:dyDescent="0.25">
      <c r="A163" s="65" t="s">
        <v>1629</v>
      </c>
      <c r="B163" s="64" t="s">
        <v>1100</v>
      </c>
      <c r="C163" s="65" t="s">
        <v>1621</v>
      </c>
      <c r="D163" s="64" t="s">
        <v>1630</v>
      </c>
      <c r="E163" s="64" t="s">
        <v>1631</v>
      </c>
      <c r="F163" s="65" t="s">
        <v>1632</v>
      </c>
      <c r="G163" s="65"/>
      <c r="H163" s="65"/>
      <c r="I163" s="65"/>
    </row>
    <row r="165" ht="18" customHeight="1" spans="1:9" x14ac:dyDescent="0.25">
      <c r="A165" s="26" t="s">
        <v>1633</v>
      </c>
      <c r="B165" s="26"/>
      <c r="C165" s="26"/>
      <c r="D165" s="26"/>
      <c r="E165" s="26"/>
      <c r="F165" s="26"/>
      <c r="G165" s="26"/>
      <c r="H165" s="26"/>
      <c r="I165" s="26"/>
    </row>
    <row r="166" ht="24" customHeight="1" spans="1:9" x14ac:dyDescent="0.25">
      <c r="A166" s="12" t="s">
        <v>1116</v>
      </c>
      <c r="B166" s="12" t="s">
        <v>1088</v>
      </c>
      <c r="C166" s="12" t="s">
        <v>1117</v>
      </c>
      <c r="D166" s="12" t="s">
        <v>1118</v>
      </c>
      <c r="E166" s="12" t="s">
        <v>1119</v>
      </c>
      <c r="F166" s="12" t="s">
        <v>1634</v>
      </c>
      <c r="G166" s="12"/>
      <c r="H166" s="12"/>
      <c r="I166" s="12"/>
    </row>
    <row r="167" spans="1:9" x14ac:dyDescent="0.25">
      <c r="A167" s="68" t="s">
        <v>1635</v>
      </c>
      <c r="B167" s="69" t="s">
        <v>1636</v>
      </c>
      <c r="C167" s="70" t="s">
        <v>3</v>
      </c>
      <c r="D167" s="68" t="s">
        <v>92</v>
      </c>
      <c r="E167" s="69" t="s">
        <v>1637</v>
      </c>
      <c r="F167" s="70" t="s">
        <v>1638</v>
      </c>
      <c r="G167" s="70"/>
      <c r="H167" s="70"/>
      <c r="I167" s="70"/>
    </row>
    <row r="168" spans="1:9" x14ac:dyDescent="0.25">
      <c r="A168" s="65" t="s">
        <v>1639</v>
      </c>
      <c r="B168" s="64" t="s">
        <v>1640</v>
      </c>
      <c r="C168" s="65" t="s">
        <v>1635</v>
      </c>
      <c r="D168" s="64" t="s">
        <v>115</v>
      </c>
      <c r="E168" s="64" t="s">
        <v>1641</v>
      </c>
      <c r="F168" s="65" t="s">
        <v>1642</v>
      </c>
      <c r="G168" s="65"/>
      <c r="H168" s="65"/>
      <c r="I168" s="65"/>
    </row>
    <row r="169" spans="1:9" x14ac:dyDescent="0.25">
      <c r="A169" s="65" t="s">
        <v>1643</v>
      </c>
      <c r="B169" s="64" t="s">
        <v>1640</v>
      </c>
      <c r="C169" s="65" t="s">
        <v>1635</v>
      </c>
      <c r="D169" s="64" t="s">
        <v>1644</v>
      </c>
      <c r="E169" s="64" t="s">
        <v>1645</v>
      </c>
      <c r="F169" s="65" t="s">
        <v>1646</v>
      </c>
      <c r="G169" s="65"/>
      <c r="H169" s="65"/>
      <c r="I169" s="65"/>
    </row>
    <row r="170" spans="1:9" x14ac:dyDescent="0.25">
      <c r="A170" s="68" t="s">
        <v>1647</v>
      </c>
      <c r="B170" s="69" t="s">
        <v>1636</v>
      </c>
      <c r="C170" s="70" t="s">
        <v>3</v>
      </c>
      <c r="D170" s="68" t="s">
        <v>93</v>
      </c>
      <c r="E170" s="69" t="s">
        <v>1648</v>
      </c>
      <c r="F170" s="70" t="s">
        <v>1649</v>
      </c>
      <c r="G170" s="70"/>
      <c r="H170" s="70"/>
      <c r="I170" s="70"/>
    </row>
    <row r="171" spans="1:9" x14ac:dyDescent="0.25">
      <c r="A171" s="65" t="s">
        <v>1650</v>
      </c>
      <c r="B171" s="64" t="s">
        <v>1640</v>
      </c>
      <c r="C171" s="65" t="s">
        <v>1647</v>
      </c>
      <c r="D171" s="64" t="s">
        <v>1651</v>
      </c>
      <c r="E171" s="64" t="s">
        <v>1651</v>
      </c>
      <c r="F171" s="65" t="s">
        <v>1652</v>
      </c>
      <c r="G171" s="65"/>
      <c r="H171" s="65"/>
      <c r="I171" s="65"/>
    </row>
    <row r="172" spans="1:9" x14ac:dyDescent="0.25">
      <c r="A172" s="65" t="s">
        <v>1653</v>
      </c>
      <c r="B172" s="64" t="s">
        <v>1640</v>
      </c>
      <c r="C172" s="65" t="s">
        <v>1647</v>
      </c>
      <c r="D172" s="64" t="s">
        <v>116</v>
      </c>
      <c r="E172" s="64" t="s">
        <v>1654</v>
      </c>
      <c r="F172" s="65" t="s">
        <v>1655</v>
      </c>
      <c r="G172" s="65"/>
      <c r="H172" s="65"/>
      <c r="I172" s="65"/>
    </row>
    <row r="173" spans="1:9" x14ac:dyDescent="0.25">
      <c r="A173" s="68" t="s">
        <v>1656</v>
      </c>
      <c r="B173" s="69" t="s">
        <v>1636</v>
      </c>
      <c r="C173" s="70" t="s">
        <v>3</v>
      </c>
      <c r="D173" s="68" t="s">
        <v>94</v>
      </c>
      <c r="E173" s="69" t="s">
        <v>1657</v>
      </c>
      <c r="F173" s="70" t="s">
        <v>1658</v>
      </c>
      <c r="G173" s="70"/>
      <c r="H173" s="70"/>
      <c r="I173" s="70"/>
    </row>
    <row r="174" spans="1:9" x14ac:dyDescent="0.25">
      <c r="A174" s="65" t="s">
        <v>1659</v>
      </c>
      <c r="B174" s="64" t="s">
        <v>1640</v>
      </c>
      <c r="C174" s="65" t="s">
        <v>1656</v>
      </c>
      <c r="D174" s="64" t="s">
        <v>1660</v>
      </c>
      <c r="E174" s="64" t="s">
        <v>1661</v>
      </c>
      <c r="F174" s="65" t="s">
        <v>1662</v>
      </c>
      <c r="G174" s="65"/>
      <c r="H174" s="65"/>
      <c r="I174" s="65"/>
    </row>
    <row r="175" spans="1:9" x14ac:dyDescent="0.25">
      <c r="A175" s="65" t="s">
        <v>1663</v>
      </c>
      <c r="B175" s="64" t="s">
        <v>1640</v>
      </c>
      <c r="C175" s="65" t="s">
        <v>1656</v>
      </c>
      <c r="D175" s="64" t="s">
        <v>117</v>
      </c>
      <c r="E175" s="64" t="s">
        <v>1664</v>
      </c>
      <c r="F175" s="65" t="s">
        <v>1665</v>
      </c>
      <c r="G175" s="65"/>
      <c r="H175" s="65"/>
      <c r="I175" s="65"/>
    </row>
    <row r="176" spans="1:9" x14ac:dyDescent="0.25">
      <c r="A176" s="68" t="s">
        <v>1666</v>
      </c>
      <c r="B176" s="69" t="s">
        <v>1636</v>
      </c>
      <c r="C176" s="70" t="s">
        <v>3</v>
      </c>
      <c r="D176" s="68" t="s">
        <v>1667</v>
      </c>
      <c r="E176" s="69" t="s">
        <v>1668</v>
      </c>
      <c r="F176" s="70" t="s">
        <v>1669</v>
      </c>
      <c r="G176" s="70"/>
      <c r="H176" s="70"/>
      <c r="I176" s="70"/>
    </row>
    <row r="177" spans="1:9" x14ac:dyDescent="0.25">
      <c r="A177" s="65" t="s">
        <v>1670</v>
      </c>
      <c r="B177" s="64" t="s">
        <v>1640</v>
      </c>
      <c r="C177" s="65" t="s">
        <v>1666</v>
      </c>
      <c r="D177" s="64" t="s">
        <v>1671</v>
      </c>
      <c r="E177" s="64" t="s">
        <v>1672</v>
      </c>
      <c r="F177" s="65" t="s">
        <v>1673</v>
      </c>
      <c r="G177" s="65"/>
      <c r="H177" s="65"/>
      <c r="I177" s="65"/>
    </row>
    <row r="178" spans="1:9" x14ac:dyDescent="0.25">
      <c r="A178" s="65" t="s">
        <v>1674</v>
      </c>
      <c r="B178" s="64" t="s">
        <v>1640</v>
      </c>
      <c r="C178" s="65" t="s">
        <v>1666</v>
      </c>
      <c r="D178" s="64" t="s">
        <v>1675</v>
      </c>
      <c r="E178" s="64" t="s">
        <v>1675</v>
      </c>
      <c r="F178" s="65" t="s">
        <v>1676</v>
      </c>
      <c r="G178" s="65"/>
      <c r="H178" s="65"/>
      <c r="I178" s="65"/>
    </row>
    <row r="179" spans="1:9" x14ac:dyDescent="0.25">
      <c r="A179" s="68" t="s">
        <v>1677</v>
      </c>
      <c r="B179" s="69" t="s">
        <v>1636</v>
      </c>
      <c r="C179" s="70" t="s">
        <v>3</v>
      </c>
      <c r="D179" s="68" t="s">
        <v>1678</v>
      </c>
      <c r="E179" s="69" t="s">
        <v>1679</v>
      </c>
      <c r="F179" s="70" t="s">
        <v>1680</v>
      </c>
      <c r="G179" s="70"/>
      <c r="H179" s="70"/>
      <c r="I179" s="70"/>
    </row>
    <row r="180" spans="1:9" x14ac:dyDescent="0.25">
      <c r="A180" s="65" t="s">
        <v>1681</v>
      </c>
      <c r="B180" s="64" t="s">
        <v>1640</v>
      </c>
      <c r="C180" s="65" t="s">
        <v>1677</v>
      </c>
      <c r="D180" s="64" t="s">
        <v>1682</v>
      </c>
      <c r="E180" s="64" t="s">
        <v>1682</v>
      </c>
      <c r="F180" s="65" t="s">
        <v>1683</v>
      </c>
      <c r="G180" s="65"/>
      <c r="H180" s="65"/>
      <c r="I180" s="65"/>
    </row>
    <row r="181" spans="1:9" x14ac:dyDescent="0.25">
      <c r="A181" s="65" t="s">
        <v>1684</v>
      </c>
      <c r="B181" s="64" t="s">
        <v>1640</v>
      </c>
      <c r="C181" s="65" t="s">
        <v>1677</v>
      </c>
      <c r="D181" s="64" t="s">
        <v>1259</v>
      </c>
      <c r="E181" s="64" t="s">
        <v>1260</v>
      </c>
      <c r="F181" s="65" t="s">
        <v>1685</v>
      </c>
      <c r="G181" s="65"/>
      <c r="H181" s="65"/>
      <c r="I181" s="65"/>
    </row>
    <row r="182" spans="1:9" x14ac:dyDescent="0.25">
      <c r="A182" s="68" t="s">
        <v>1686</v>
      </c>
      <c r="B182" s="69" t="s">
        <v>1636</v>
      </c>
      <c r="C182" s="70" t="s">
        <v>3</v>
      </c>
      <c r="D182" s="68" t="s">
        <v>1687</v>
      </c>
      <c r="E182" s="69" t="s">
        <v>1688</v>
      </c>
      <c r="F182" s="70" t="s">
        <v>1689</v>
      </c>
      <c r="G182" s="70"/>
      <c r="H182" s="70"/>
      <c r="I182" s="70"/>
    </row>
    <row r="183" spans="1:9" x14ac:dyDescent="0.25">
      <c r="A183" s="65" t="s">
        <v>1690</v>
      </c>
      <c r="B183" s="64" t="s">
        <v>1640</v>
      </c>
      <c r="C183" s="65" t="s">
        <v>1686</v>
      </c>
      <c r="D183" s="64" t="s">
        <v>1691</v>
      </c>
      <c r="E183" s="64" t="s">
        <v>1692</v>
      </c>
      <c r="F183" s="65" t="s">
        <v>1693</v>
      </c>
      <c r="G183" s="65"/>
      <c r="H183" s="65"/>
      <c r="I183" s="65"/>
    </row>
    <row r="184" spans="1:9" x14ac:dyDescent="0.25">
      <c r="A184" s="65" t="s">
        <v>1694</v>
      </c>
      <c r="B184" s="64" t="s">
        <v>1640</v>
      </c>
      <c r="C184" s="65" t="s">
        <v>1686</v>
      </c>
      <c r="D184" s="64" t="s">
        <v>1695</v>
      </c>
      <c r="E184" s="64" t="s">
        <v>1696</v>
      </c>
      <c r="F184" s="65" t="s">
        <v>1697</v>
      </c>
      <c r="G184" s="65"/>
      <c r="H184" s="65"/>
      <c r="I184" s="65"/>
    </row>
    <row r="185" spans="1:9" x14ac:dyDescent="0.25">
      <c r="A185" s="68" t="s">
        <v>1698</v>
      </c>
      <c r="B185" s="69" t="s">
        <v>1636</v>
      </c>
      <c r="C185" s="70" t="s">
        <v>3</v>
      </c>
      <c r="D185" s="68" t="s">
        <v>470</v>
      </c>
      <c r="E185" s="69" t="s">
        <v>1699</v>
      </c>
      <c r="F185" s="70" t="s">
        <v>1700</v>
      </c>
      <c r="G185" s="70"/>
      <c r="H185" s="70"/>
      <c r="I185" s="70"/>
    </row>
    <row r="186" spans="1:9" x14ac:dyDescent="0.25">
      <c r="A186" s="65" t="s">
        <v>1701</v>
      </c>
      <c r="B186" s="64" t="s">
        <v>1640</v>
      </c>
      <c r="C186" s="65" t="s">
        <v>1698</v>
      </c>
      <c r="D186" s="64" t="s">
        <v>1702</v>
      </c>
      <c r="E186" s="64" t="s">
        <v>1702</v>
      </c>
      <c r="F186" s="65" t="s">
        <v>1703</v>
      </c>
      <c r="G186" s="65"/>
      <c r="H186" s="65"/>
      <c r="I186" s="65"/>
    </row>
    <row r="187" spans="1:9" x14ac:dyDescent="0.25">
      <c r="A187" s="65" t="s">
        <v>1704</v>
      </c>
      <c r="B187" s="64" t="s">
        <v>1640</v>
      </c>
      <c r="C187" s="65" t="s">
        <v>1698</v>
      </c>
      <c r="D187" s="64" t="s">
        <v>1705</v>
      </c>
      <c r="E187" s="64" t="s">
        <v>1706</v>
      </c>
      <c r="F187" s="65" t="s">
        <v>1707</v>
      </c>
      <c r="G187" s="65"/>
      <c r="H187" s="65"/>
      <c r="I187" s="65"/>
    </row>
    <row r="188" spans="1:9" x14ac:dyDescent="0.25">
      <c r="A188" s="68" t="s">
        <v>1708</v>
      </c>
      <c r="B188" s="69" t="s">
        <v>1636</v>
      </c>
      <c r="C188" s="70" t="s">
        <v>3</v>
      </c>
      <c r="D188" s="68" t="s">
        <v>1709</v>
      </c>
      <c r="E188" s="69" t="s">
        <v>1710</v>
      </c>
      <c r="F188" s="70" t="s">
        <v>1711</v>
      </c>
      <c r="G188" s="70"/>
      <c r="H188" s="70"/>
      <c r="I188" s="70"/>
    </row>
    <row r="189" spans="1:9" x14ac:dyDescent="0.25">
      <c r="A189" s="65" t="s">
        <v>1712</v>
      </c>
      <c r="B189" s="64" t="s">
        <v>1640</v>
      </c>
      <c r="C189" s="65" t="s">
        <v>1708</v>
      </c>
      <c r="D189" s="64" t="s">
        <v>1713</v>
      </c>
      <c r="E189" s="64" t="s">
        <v>1713</v>
      </c>
      <c r="F189" s="65" t="s">
        <v>1714</v>
      </c>
      <c r="G189" s="65"/>
      <c r="H189" s="65"/>
      <c r="I189" s="65"/>
    </row>
    <row r="190" spans="1:9" x14ac:dyDescent="0.25">
      <c r="A190" s="65" t="s">
        <v>1715</v>
      </c>
      <c r="B190" s="64" t="s">
        <v>1640</v>
      </c>
      <c r="C190" s="65" t="s">
        <v>1708</v>
      </c>
      <c r="D190" s="64" t="s">
        <v>1716</v>
      </c>
      <c r="E190" s="64" t="s">
        <v>1717</v>
      </c>
      <c r="F190" s="65" t="s">
        <v>1718</v>
      </c>
      <c r="G190" s="65"/>
      <c r="H190" s="65"/>
      <c r="I190" s="65"/>
    </row>
    <row r="191" spans="1:9" x14ac:dyDescent="0.25">
      <c r="A191" s="68" t="s">
        <v>1719</v>
      </c>
      <c r="B191" s="69" t="s">
        <v>1636</v>
      </c>
      <c r="C191" s="70" t="s">
        <v>3</v>
      </c>
      <c r="D191" s="68" t="s">
        <v>622</v>
      </c>
      <c r="E191" s="69" t="s">
        <v>1598</v>
      </c>
      <c r="F191" s="70" t="s">
        <v>1720</v>
      </c>
      <c r="G191" s="70"/>
      <c r="H191" s="70"/>
      <c r="I191" s="70"/>
    </row>
    <row r="192" spans="1:9" x14ac:dyDescent="0.25">
      <c r="A192" s="65" t="s">
        <v>1721</v>
      </c>
      <c r="B192" s="64" t="s">
        <v>1640</v>
      </c>
      <c r="C192" s="65" t="s">
        <v>1719</v>
      </c>
      <c r="D192" s="64" t="s">
        <v>1722</v>
      </c>
      <c r="E192" s="64" t="s">
        <v>1723</v>
      </c>
      <c r="F192" s="65" t="s">
        <v>1724</v>
      </c>
      <c r="G192" s="65"/>
      <c r="H192" s="65"/>
      <c r="I192" s="65"/>
    </row>
    <row r="193" spans="1:9" x14ac:dyDescent="0.25">
      <c r="A193" s="65" t="s">
        <v>1725</v>
      </c>
      <c r="B193" s="64" t="s">
        <v>1640</v>
      </c>
      <c r="C193" s="65" t="s">
        <v>1719</v>
      </c>
      <c r="D193" s="64" t="s">
        <v>1607</v>
      </c>
      <c r="E193" s="64" t="s">
        <v>1608</v>
      </c>
      <c r="F193" s="65" t="s">
        <v>1726</v>
      </c>
      <c r="G193" s="65"/>
      <c r="H193" s="65"/>
      <c r="I193" s="65"/>
    </row>
    <row r="194" spans="1:9" x14ac:dyDescent="0.25">
      <c r="A194" s="68" t="s">
        <v>1727</v>
      </c>
      <c r="B194" s="69" t="s">
        <v>1636</v>
      </c>
      <c r="C194" s="70" t="s">
        <v>3</v>
      </c>
      <c r="D194" s="68" t="s">
        <v>607</v>
      </c>
      <c r="E194" s="69" t="s">
        <v>1562</v>
      </c>
      <c r="F194" s="70" t="s">
        <v>1728</v>
      </c>
      <c r="G194" s="70"/>
      <c r="H194" s="70"/>
      <c r="I194" s="70"/>
    </row>
    <row r="195" spans="1:9" x14ac:dyDescent="0.25">
      <c r="A195" s="65" t="s">
        <v>1729</v>
      </c>
      <c r="B195" s="64" t="s">
        <v>1640</v>
      </c>
      <c r="C195" s="65" t="s">
        <v>1727</v>
      </c>
      <c r="D195" s="64" t="s">
        <v>1730</v>
      </c>
      <c r="E195" s="64" t="s">
        <v>1731</v>
      </c>
      <c r="F195" s="65" t="s">
        <v>1732</v>
      </c>
      <c r="G195" s="65"/>
      <c r="H195" s="65"/>
      <c r="I195" s="65"/>
    </row>
    <row r="196" spans="1:9" x14ac:dyDescent="0.25">
      <c r="A196" s="65" t="s">
        <v>1733</v>
      </c>
      <c r="B196" s="64" t="s">
        <v>1640</v>
      </c>
      <c r="C196" s="65" t="s">
        <v>1727</v>
      </c>
      <c r="D196" s="64" t="s">
        <v>1734</v>
      </c>
      <c r="E196" s="64" t="s">
        <v>1735</v>
      </c>
      <c r="F196" s="65" t="s">
        <v>1736</v>
      </c>
      <c r="G196" s="65"/>
      <c r="H196" s="65"/>
      <c r="I196" s="65"/>
    </row>
    <row r="197" spans="1:9" x14ac:dyDescent="0.25">
      <c r="A197" s="68" t="s">
        <v>1737</v>
      </c>
      <c r="B197" s="69" t="s">
        <v>1636</v>
      </c>
      <c r="C197" s="70" t="s">
        <v>3</v>
      </c>
      <c r="D197" s="68" t="s">
        <v>1738</v>
      </c>
      <c r="E197" s="69" t="s">
        <v>1739</v>
      </c>
      <c r="F197" s="70" t="s">
        <v>1740</v>
      </c>
      <c r="G197" s="70"/>
      <c r="H197" s="70"/>
      <c r="I197" s="70"/>
    </row>
    <row r="198" spans="1:9" x14ac:dyDescent="0.25">
      <c r="A198" s="65" t="s">
        <v>1741</v>
      </c>
      <c r="B198" s="64" t="s">
        <v>1640</v>
      </c>
      <c r="C198" s="65" t="s">
        <v>1737</v>
      </c>
      <c r="D198" s="64" t="s">
        <v>1742</v>
      </c>
      <c r="E198" s="64" t="s">
        <v>1530</v>
      </c>
      <c r="F198" s="65" t="s">
        <v>1743</v>
      </c>
      <c r="G198" s="65"/>
      <c r="H198" s="65"/>
      <c r="I198" s="65"/>
    </row>
    <row r="199" spans="1:9" x14ac:dyDescent="0.25">
      <c r="A199" s="65" t="s">
        <v>1744</v>
      </c>
      <c r="B199" s="64" t="s">
        <v>1640</v>
      </c>
      <c r="C199" s="65" t="s">
        <v>1737</v>
      </c>
      <c r="D199" s="64" t="s">
        <v>1745</v>
      </c>
      <c r="E199" s="64" t="s">
        <v>1746</v>
      </c>
      <c r="F199" s="65" t="s">
        <v>1747</v>
      </c>
      <c r="G199" s="65"/>
      <c r="H199" s="65"/>
      <c r="I199" s="65"/>
    </row>
    <row r="200" spans="1:9" x14ac:dyDescent="0.25">
      <c r="A200" s="68" t="s">
        <v>1748</v>
      </c>
      <c r="B200" s="69" t="s">
        <v>1636</v>
      </c>
      <c r="C200" s="70" t="s">
        <v>3</v>
      </c>
      <c r="D200" s="68" t="s">
        <v>1749</v>
      </c>
      <c r="E200" s="69" t="s">
        <v>1750</v>
      </c>
      <c r="F200" s="70" t="s">
        <v>1751</v>
      </c>
      <c r="G200" s="70"/>
      <c r="H200" s="70"/>
      <c r="I200" s="70"/>
    </row>
    <row r="201" spans="1:9" x14ac:dyDescent="0.25">
      <c r="A201" s="65" t="s">
        <v>1752</v>
      </c>
      <c r="B201" s="64" t="s">
        <v>1640</v>
      </c>
      <c r="C201" s="65" t="s">
        <v>1748</v>
      </c>
      <c r="D201" s="64" t="s">
        <v>1753</v>
      </c>
      <c r="E201" s="64" t="s">
        <v>1754</v>
      </c>
      <c r="F201" s="65" t="s">
        <v>1755</v>
      </c>
      <c r="G201" s="65"/>
      <c r="H201" s="65"/>
      <c r="I201" s="65"/>
    </row>
    <row r="202" spans="1:9" x14ac:dyDescent="0.25">
      <c r="A202" s="65" t="s">
        <v>1756</v>
      </c>
      <c r="B202" s="64" t="s">
        <v>1640</v>
      </c>
      <c r="C202" s="65" t="s">
        <v>1748</v>
      </c>
      <c r="D202" s="64" t="s">
        <v>1757</v>
      </c>
      <c r="E202" s="64" t="s">
        <v>1758</v>
      </c>
      <c r="F202" s="65" t="s">
        <v>1759</v>
      </c>
      <c r="G202" s="65"/>
      <c r="H202" s="65"/>
      <c r="I202" s="65"/>
    </row>
    <row r="204" ht="18" customHeight="1" spans="1:9" x14ac:dyDescent="0.25">
      <c r="A204" s="26" t="s">
        <v>1760</v>
      </c>
      <c r="B204" s="26"/>
      <c r="C204" s="26"/>
      <c r="D204" s="26"/>
      <c r="E204" s="26"/>
      <c r="F204" s="26"/>
      <c r="G204" s="26"/>
      <c r="H204" s="26"/>
      <c r="I204" s="26"/>
    </row>
    <row r="205" ht="24" customHeight="1" spans="1:9" x14ac:dyDescent="0.25">
      <c r="A205" s="12" t="s">
        <v>90</v>
      </c>
      <c r="B205" s="12" t="s">
        <v>113</v>
      </c>
      <c r="C205" s="12" t="s">
        <v>1761</v>
      </c>
      <c r="D205" s="12" t="s">
        <v>1762</v>
      </c>
      <c r="E205" s="12" t="s">
        <v>1763</v>
      </c>
      <c r="F205" s="12" t="s">
        <v>1764</v>
      </c>
      <c r="G205" s="12" t="s">
        <v>1765</v>
      </c>
      <c r="H205" s="12" t="s">
        <v>1766</v>
      </c>
      <c r="I205" s="12" t="s">
        <v>1767</v>
      </c>
    </row>
    <row r="206" spans="1:9" x14ac:dyDescent="0.25">
      <c r="A206" s="64" t="s">
        <v>92</v>
      </c>
      <c r="B206" s="63" t="s">
        <v>115</v>
      </c>
      <c r="C206" s="65" t="s">
        <v>1287</v>
      </c>
      <c r="D206" s="64" t="s">
        <v>103</v>
      </c>
      <c r="E206" s="64" t="s">
        <v>201</v>
      </c>
      <c r="F206" s="64" t="s">
        <v>1768</v>
      </c>
      <c r="G206" s="71">
        <v>100</v>
      </c>
      <c r="H206" s="72">
        <v>100</v>
      </c>
      <c r="I206" s="73">
        <v>0</v>
      </c>
    </row>
    <row r="207" spans="1:9" x14ac:dyDescent="0.25">
      <c r="A207" s="64" t="s">
        <v>92</v>
      </c>
      <c r="B207" s="63" t="s">
        <v>115</v>
      </c>
      <c r="C207" s="65" t="s">
        <v>1297</v>
      </c>
      <c r="D207" s="64" t="s">
        <v>1298</v>
      </c>
      <c r="E207" s="64" t="s">
        <v>201</v>
      </c>
      <c r="F207" s="64" t="s">
        <v>1768</v>
      </c>
      <c r="G207" s="71">
        <v>100</v>
      </c>
      <c r="H207" s="72">
        <v>100</v>
      </c>
      <c r="I207" s="73">
        <v>0</v>
      </c>
    </row>
    <row r="208" spans="1:9" x14ac:dyDescent="0.25">
      <c r="A208" s="64" t="s">
        <v>92</v>
      </c>
      <c r="B208" s="63" t="s">
        <v>115</v>
      </c>
      <c r="C208" s="65" t="s">
        <v>1277</v>
      </c>
      <c r="D208" s="64" t="s">
        <v>403</v>
      </c>
      <c r="E208" s="64" t="s">
        <v>201</v>
      </c>
      <c r="F208" s="64" t="s">
        <v>1769</v>
      </c>
      <c r="G208" s="74">
        <v>70</v>
      </c>
      <c r="H208" s="72">
        <v>100</v>
      </c>
      <c r="I208" s="73">
        <v>-30</v>
      </c>
    </row>
    <row r="209" spans="1:9" x14ac:dyDescent="0.25">
      <c r="A209" s="64" t="s">
        <v>92</v>
      </c>
      <c r="B209" s="63" t="s">
        <v>115</v>
      </c>
      <c r="C209" s="65" t="s">
        <v>1334</v>
      </c>
      <c r="D209" s="64" t="s">
        <v>642</v>
      </c>
      <c r="E209" s="64" t="s">
        <v>454</v>
      </c>
      <c r="F209" s="64" t="s">
        <v>1770</v>
      </c>
      <c r="G209" s="71">
        <v>85</v>
      </c>
      <c r="H209" s="72">
        <v>80</v>
      </c>
      <c r="I209" s="73">
        <v>5</v>
      </c>
    </row>
    <row r="210" spans="1:9" x14ac:dyDescent="0.25">
      <c r="A210" s="64" t="s">
        <v>92</v>
      </c>
      <c r="B210" s="63" t="s">
        <v>115</v>
      </c>
      <c r="C210" s="65" t="s">
        <v>1312</v>
      </c>
      <c r="D210" s="64" t="s">
        <v>455</v>
      </c>
      <c r="E210" s="64" t="s">
        <v>454</v>
      </c>
      <c r="F210" s="64" t="s">
        <v>1769</v>
      </c>
      <c r="G210" s="74">
        <v>70</v>
      </c>
      <c r="H210" s="72">
        <v>80</v>
      </c>
      <c r="I210" s="73">
        <v>-10</v>
      </c>
    </row>
    <row r="211" spans="1:9" x14ac:dyDescent="0.25">
      <c r="A211" s="64" t="s">
        <v>92</v>
      </c>
      <c r="B211" s="63" t="s">
        <v>115</v>
      </c>
      <c r="C211" s="65" t="s">
        <v>1323</v>
      </c>
      <c r="D211" s="64" t="s">
        <v>463</v>
      </c>
      <c r="E211" s="64" t="s">
        <v>454</v>
      </c>
      <c r="F211" s="64" t="s">
        <v>1769</v>
      </c>
      <c r="G211" s="74">
        <v>70</v>
      </c>
      <c r="H211" s="72">
        <v>80</v>
      </c>
      <c r="I211" s="73">
        <v>-10</v>
      </c>
    </row>
    <row r="212" spans="1:9" x14ac:dyDescent="0.25">
      <c r="A212" s="64" t="s">
        <v>92</v>
      </c>
      <c r="B212" s="63" t="s">
        <v>115</v>
      </c>
      <c r="C212" s="65" t="s">
        <v>1370</v>
      </c>
      <c r="D212" s="64" t="s">
        <v>1371</v>
      </c>
      <c r="E212" s="64" t="s">
        <v>470</v>
      </c>
      <c r="F212" s="64" t="s">
        <v>1770</v>
      </c>
      <c r="G212" s="71">
        <v>85</v>
      </c>
      <c r="H212" s="72">
        <v>80</v>
      </c>
      <c r="I212" s="73">
        <v>5</v>
      </c>
    </row>
    <row r="213" spans="1:9" x14ac:dyDescent="0.25">
      <c r="A213" s="64" t="s">
        <v>92</v>
      </c>
      <c r="B213" s="63" t="s">
        <v>115</v>
      </c>
      <c r="C213" s="65" t="s">
        <v>1348</v>
      </c>
      <c r="D213" s="64" t="s">
        <v>471</v>
      </c>
      <c r="E213" s="64" t="s">
        <v>470</v>
      </c>
      <c r="F213" s="64" t="s">
        <v>1769</v>
      </c>
      <c r="G213" s="74">
        <v>70</v>
      </c>
      <c r="H213" s="72">
        <v>80</v>
      </c>
      <c r="I213" s="73">
        <v>-10</v>
      </c>
    </row>
    <row r="214" spans="1:9" x14ac:dyDescent="0.25">
      <c r="A214" s="64" t="s">
        <v>92</v>
      </c>
      <c r="B214" s="63" t="s">
        <v>115</v>
      </c>
      <c r="C214" s="65" t="s">
        <v>1359</v>
      </c>
      <c r="D214" s="64" t="s">
        <v>480</v>
      </c>
      <c r="E214" s="64" t="s">
        <v>470</v>
      </c>
      <c r="F214" s="64" t="s">
        <v>1769</v>
      </c>
      <c r="G214" s="74">
        <v>70</v>
      </c>
      <c r="H214" s="72">
        <v>80</v>
      </c>
      <c r="I214" s="73">
        <v>-10</v>
      </c>
    </row>
    <row r="215" spans="1:9" x14ac:dyDescent="0.25">
      <c r="A215" s="64" t="s">
        <v>92</v>
      </c>
      <c r="B215" s="63" t="s">
        <v>1644</v>
      </c>
      <c r="C215" s="65" t="s">
        <v>1277</v>
      </c>
      <c r="D215" s="64" t="s">
        <v>403</v>
      </c>
      <c r="E215" s="64" t="s">
        <v>201</v>
      </c>
      <c r="F215" s="64" t="s">
        <v>1768</v>
      </c>
      <c r="G215" s="71">
        <v>100</v>
      </c>
      <c r="H215" s="72">
        <v>100</v>
      </c>
      <c r="I215" s="73">
        <v>0</v>
      </c>
    </row>
    <row r="216" spans="1:9" x14ac:dyDescent="0.25">
      <c r="A216" s="64" t="s">
        <v>92</v>
      </c>
      <c r="B216" s="63" t="s">
        <v>1644</v>
      </c>
      <c r="C216" s="65" t="s">
        <v>1297</v>
      </c>
      <c r="D216" s="64" t="s">
        <v>1298</v>
      </c>
      <c r="E216" s="64" t="s">
        <v>201</v>
      </c>
      <c r="F216" s="64" t="s">
        <v>1768</v>
      </c>
      <c r="G216" s="71">
        <v>100</v>
      </c>
      <c r="H216" s="72">
        <v>100</v>
      </c>
      <c r="I216" s="73">
        <v>0</v>
      </c>
    </row>
    <row r="217" spans="1:9" x14ac:dyDescent="0.25">
      <c r="A217" s="64" t="s">
        <v>92</v>
      </c>
      <c r="B217" s="63" t="s">
        <v>1644</v>
      </c>
      <c r="C217" s="65" t="s">
        <v>1287</v>
      </c>
      <c r="D217" s="64" t="s">
        <v>103</v>
      </c>
      <c r="E217" s="64" t="s">
        <v>201</v>
      </c>
      <c r="F217" s="64" t="s">
        <v>1769</v>
      </c>
      <c r="G217" s="74">
        <v>70</v>
      </c>
      <c r="H217" s="72">
        <v>100</v>
      </c>
      <c r="I217" s="73">
        <v>-30</v>
      </c>
    </row>
    <row r="218" spans="1:9" x14ac:dyDescent="0.25">
      <c r="A218" s="64" t="s">
        <v>92</v>
      </c>
      <c r="B218" s="63" t="s">
        <v>1644</v>
      </c>
      <c r="C218" s="65" t="s">
        <v>1385</v>
      </c>
      <c r="D218" s="64" t="s">
        <v>522</v>
      </c>
      <c r="E218" s="64" t="s">
        <v>521</v>
      </c>
      <c r="F218" s="64" t="s">
        <v>1770</v>
      </c>
      <c r="G218" s="71">
        <v>85</v>
      </c>
      <c r="H218" s="72">
        <v>60</v>
      </c>
      <c r="I218" s="73">
        <v>25</v>
      </c>
    </row>
    <row r="219" spans="1:9" x14ac:dyDescent="0.25">
      <c r="A219" s="64" t="s">
        <v>92</v>
      </c>
      <c r="B219" s="63" t="s">
        <v>1644</v>
      </c>
      <c r="C219" s="65" t="s">
        <v>1396</v>
      </c>
      <c r="D219" s="64" t="s">
        <v>530</v>
      </c>
      <c r="E219" s="64" t="s">
        <v>521</v>
      </c>
      <c r="F219" s="64" t="s">
        <v>1770</v>
      </c>
      <c r="G219" s="71">
        <v>85</v>
      </c>
      <c r="H219" s="72">
        <v>60</v>
      </c>
      <c r="I219" s="73">
        <v>25</v>
      </c>
    </row>
    <row r="220" spans="1:9" x14ac:dyDescent="0.25">
      <c r="A220" s="64" t="s">
        <v>92</v>
      </c>
      <c r="B220" s="63" t="s">
        <v>1644</v>
      </c>
      <c r="C220" s="65" t="s">
        <v>1407</v>
      </c>
      <c r="D220" s="64" t="s">
        <v>1408</v>
      </c>
      <c r="E220" s="64" t="s">
        <v>521</v>
      </c>
      <c r="F220" s="64" t="s">
        <v>1769</v>
      </c>
      <c r="G220" s="74">
        <v>60</v>
      </c>
      <c r="H220" s="72">
        <v>60</v>
      </c>
      <c r="I220" s="73">
        <v>0</v>
      </c>
    </row>
    <row r="221" spans="1:9" x14ac:dyDescent="0.25">
      <c r="A221" s="64" t="s">
        <v>92</v>
      </c>
      <c r="B221" s="63" t="s">
        <v>1644</v>
      </c>
      <c r="C221" s="65" t="s">
        <v>1529</v>
      </c>
      <c r="D221" s="64" t="s">
        <v>590</v>
      </c>
      <c r="E221" s="64" t="s">
        <v>589</v>
      </c>
      <c r="F221" s="64" t="s">
        <v>1770</v>
      </c>
      <c r="G221" s="71">
        <v>85</v>
      </c>
      <c r="H221" s="72">
        <v>60</v>
      </c>
      <c r="I221" s="73">
        <v>25</v>
      </c>
    </row>
    <row r="222" spans="1:9" x14ac:dyDescent="0.25">
      <c r="A222" s="64" t="s">
        <v>92</v>
      </c>
      <c r="B222" s="63" t="s">
        <v>1644</v>
      </c>
      <c r="C222" s="65" t="s">
        <v>1539</v>
      </c>
      <c r="D222" s="64" t="s">
        <v>597</v>
      </c>
      <c r="E222" s="64" t="s">
        <v>589</v>
      </c>
      <c r="F222" s="64" t="s">
        <v>1769</v>
      </c>
      <c r="G222" s="74">
        <v>60</v>
      </c>
      <c r="H222" s="72">
        <v>60</v>
      </c>
      <c r="I222" s="73">
        <v>0</v>
      </c>
    </row>
    <row r="223" spans="1:9" x14ac:dyDescent="0.25">
      <c r="A223" s="64" t="s">
        <v>92</v>
      </c>
      <c r="B223" s="63" t="s">
        <v>1644</v>
      </c>
      <c r="C223" s="65" t="s">
        <v>1550</v>
      </c>
      <c r="D223" s="64" t="s">
        <v>1551</v>
      </c>
      <c r="E223" s="64" t="s">
        <v>589</v>
      </c>
      <c r="F223" s="64" t="s">
        <v>1769</v>
      </c>
      <c r="G223" s="74">
        <v>60</v>
      </c>
      <c r="H223" s="72">
        <v>60</v>
      </c>
      <c r="I223" s="73">
        <v>0</v>
      </c>
    </row>
    <row r="224" spans="1:9" x14ac:dyDescent="0.25">
      <c r="A224" s="64" t="s">
        <v>93</v>
      </c>
      <c r="B224" s="63" t="s">
        <v>1651</v>
      </c>
      <c r="C224" s="65" t="s">
        <v>1124</v>
      </c>
      <c r="D224" s="64" t="s">
        <v>104</v>
      </c>
      <c r="E224" s="64" t="s">
        <v>202</v>
      </c>
      <c r="F224" s="64" t="s">
        <v>1768</v>
      </c>
      <c r="G224" s="71">
        <v>100</v>
      </c>
      <c r="H224" s="72">
        <v>100</v>
      </c>
      <c r="I224" s="73">
        <v>0</v>
      </c>
    </row>
    <row r="225" spans="1:9" x14ac:dyDescent="0.25">
      <c r="A225" s="64" t="s">
        <v>93</v>
      </c>
      <c r="B225" s="63" t="s">
        <v>1651</v>
      </c>
      <c r="C225" s="65" t="s">
        <v>1139</v>
      </c>
      <c r="D225" s="64" t="s">
        <v>428</v>
      </c>
      <c r="E225" s="64" t="s">
        <v>202</v>
      </c>
      <c r="F225" s="64" t="s">
        <v>1768</v>
      </c>
      <c r="G225" s="71">
        <v>100</v>
      </c>
      <c r="H225" s="72">
        <v>100</v>
      </c>
      <c r="I225" s="73">
        <v>0</v>
      </c>
    </row>
    <row r="226" spans="1:9" x14ac:dyDescent="0.25">
      <c r="A226" s="64" t="s">
        <v>93</v>
      </c>
      <c r="B226" s="63" t="s">
        <v>1651</v>
      </c>
      <c r="C226" s="65" t="s">
        <v>1154</v>
      </c>
      <c r="D226" s="64" t="s">
        <v>1155</v>
      </c>
      <c r="E226" s="64" t="s">
        <v>202</v>
      </c>
      <c r="F226" s="64" t="s">
        <v>1769</v>
      </c>
      <c r="G226" s="74">
        <v>70</v>
      </c>
      <c r="H226" s="72">
        <v>100</v>
      </c>
      <c r="I226" s="73">
        <v>-30</v>
      </c>
    </row>
    <row r="227" spans="1:9" x14ac:dyDescent="0.25">
      <c r="A227" s="64" t="s">
        <v>93</v>
      </c>
      <c r="B227" s="63" t="s">
        <v>1651</v>
      </c>
      <c r="C227" s="65" t="s">
        <v>1241</v>
      </c>
      <c r="D227" s="64" t="s">
        <v>496</v>
      </c>
      <c r="E227" s="64" t="s">
        <v>487</v>
      </c>
      <c r="F227" s="64" t="s">
        <v>1770</v>
      </c>
      <c r="G227" s="71">
        <v>85</v>
      </c>
      <c r="H227" s="72">
        <v>60</v>
      </c>
      <c r="I227" s="73">
        <v>25</v>
      </c>
    </row>
    <row r="228" spans="1:9" x14ac:dyDescent="0.25">
      <c r="A228" s="64" t="s">
        <v>93</v>
      </c>
      <c r="B228" s="63" t="s">
        <v>1651</v>
      </c>
      <c r="C228" s="65" t="s">
        <v>1251</v>
      </c>
      <c r="D228" s="64" t="s">
        <v>488</v>
      </c>
      <c r="E228" s="64" t="s">
        <v>487</v>
      </c>
      <c r="F228" s="64" t="s">
        <v>1769</v>
      </c>
      <c r="G228" s="74">
        <v>60</v>
      </c>
      <c r="H228" s="72">
        <v>60</v>
      </c>
      <c r="I228" s="73">
        <v>0</v>
      </c>
    </row>
    <row r="229" spans="1:9" x14ac:dyDescent="0.25">
      <c r="A229" s="64" t="s">
        <v>93</v>
      </c>
      <c r="B229" s="63" t="s">
        <v>1651</v>
      </c>
      <c r="C229" s="65" t="s">
        <v>1262</v>
      </c>
      <c r="D229" s="64" t="s">
        <v>1263</v>
      </c>
      <c r="E229" s="64" t="s">
        <v>487</v>
      </c>
      <c r="F229" s="64" t="s">
        <v>1769</v>
      </c>
      <c r="G229" s="74">
        <v>60</v>
      </c>
      <c r="H229" s="72">
        <v>60</v>
      </c>
      <c r="I229" s="73">
        <v>0</v>
      </c>
    </row>
    <row r="230" spans="1:9" x14ac:dyDescent="0.25">
      <c r="A230" s="64" t="s">
        <v>93</v>
      </c>
      <c r="B230" s="63" t="s">
        <v>1651</v>
      </c>
      <c r="C230" s="65" t="s">
        <v>1407</v>
      </c>
      <c r="D230" s="64" t="s">
        <v>1408</v>
      </c>
      <c r="E230" s="64" t="s">
        <v>521</v>
      </c>
      <c r="F230" s="64" t="s">
        <v>1770</v>
      </c>
      <c r="G230" s="71">
        <v>85</v>
      </c>
      <c r="H230" s="72">
        <v>80</v>
      </c>
      <c r="I230" s="73">
        <v>5</v>
      </c>
    </row>
    <row r="231" spans="1:9" x14ac:dyDescent="0.25">
      <c r="A231" s="64" t="s">
        <v>93</v>
      </c>
      <c r="B231" s="63" t="s">
        <v>1651</v>
      </c>
      <c r="C231" s="65" t="s">
        <v>1385</v>
      </c>
      <c r="D231" s="64" t="s">
        <v>522</v>
      </c>
      <c r="E231" s="64" t="s">
        <v>521</v>
      </c>
      <c r="F231" s="64" t="s">
        <v>1769</v>
      </c>
      <c r="G231" s="74">
        <v>70</v>
      </c>
      <c r="H231" s="72">
        <v>80</v>
      </c>
      <c r="I231" s="73">
        <v>-10</v>
      </c>
    </row>
    <row r="232" spans="1:9" x14ac:dyDescent="0.25">
      <c r="A232" s="64" t="s">
        <v>93</v>
      </c>
      <c r="B232" s="63" t="s">
        <v>1651</v>
      </c>
      <c r="C232" s="65" t="s">
        <v>1396</v>
      </c>
      <c r="D232" s="64" t="s">
        <v>530</v>
      </c>
      <c r="E232" s="64" t="s">
        <v>521</v>
      </c>
      <c r="F232" s="64" t="s">
        <v>1769</v>
      </c>
      <c r="G232" s="74">
        <v>70</v>
      </c>
      <c r="H232" s="72">
        <v>80</v>
      </c>
      <c r="I232" s="73">
        <v>-10</v>
      </c>
    </row>
    <row r="233" spans="1:9" x14ac:dyDescent="0.25">
      <c r="A233" s="64" t="s">
        <v>93</v>
      </c>
      <c r="B233" s="63" t="s">
        <v>116</v>
      </c>
      <c r="C233" s="65" t="s">
        <v>1124</v>
      </c>
      <c r="D233" s="64" t="s">
        <v>104</v>
      </c>
      <c r="E233" s="64" t="s">
        <v>202</v>
      </c>
      <c r="F233" s="64" t="s">
        <v>1768</v>
      </c>
      <c r="G233" s="71">
        <v>100</v>
      </c>
      <c r="H233" s="72">
        <v>100</v>
      </c>
      <c r="I233" s="73">
        <v>0</v>
      </c>
    </row>
    <row r="234" spans="1:9" x14ac:dyDescent="0.25">
      <c r="A234" s="64" t="s">
        <v>93</v>
      </c>
      <c r="B234" s="63" t="s">
        <v>116</v>
      </c>
      <c r="C234" s="65" t="s">
        <v>1154</v>
      </c>
      <c r="D234" s="64" t="s">
        <v>1155</v>
      </c>
      <c r="E234" s="64" t="s">
        <v>202</v>
      </c>
      <c r="F234" s="64" t="s">
        <v>1770</v>
      </c>
      <c r="G234" s="71">
        <v>85</v>
      </c>
      <c r="H234" s="72">
        <v>100</v>
      </c>
      <c r="I234" s="73">
        <v>-15</v>
      </c>
    </row>
    <row r="235" spans="1:9" x14ac:dyDescent="0.25">
      <c r="A235" s="64" t="s">
        <v>93</v>
      </c>
      <c r="B235" s="63" t="s">
        <v>116</v>
      </c>
      <c r="C235" s="65" t="s">
        <v>1139</v>
      </c>
      <c r="D235" s="64" t="s">
        <v>428</v>
      </c>
      <c r="E235" s="64" t="s">
        <v>202</v>
      </c>
      <c r="F235" s="64" t="s">
        <v>1769</v>
      </c>
      <c r="G235" s="74">
        <v>70</v>
      </c>
      <c r="H235" s="72">
        <v>100</v>
      </c>
      <c r="I235" s="73">
        <v>-30</v>
      </c>
    </row>
    <row r="236" spans="1:9" x14ac:dyDescent="0.25">
      <c r="A236" s="64" t="s">
        <v>93</v>
      </c>
      <c r="B236" s="63" t="s">
        <v>116</v>
      </c>
      <c r="C236" s="65" t="s">
        <v>1455</v>
      </c>
      <c r="D236" s="64" t="s">
        <v>556</v>
      </c>
      <c r="E236" s="64" t="s">
        <v>555</v>
      </c>
      <c r="F236" s="64" t="s">
        <v>1770</v>
      </c>
      <c r="G236" s="71">
        <v>85</v>
      </c>
      <c r="H236" s="72">
        <v>40</v>
      </c>
      <c r="I236" s="73">
        <v>45</v>
      </c>
    </row>
    <row r="237" spans="1:9" x14ac:dyDescent="0.25">
      <c r="A237" s="64" t="s">
        <v>93</v>
      </c>
      <c r="B237" s="63" t="s">
        <v>116</v>
      </c>
      <c r="C237" s="65" t="s">
        <v>1466</v>
      </c>
      <c r="D237" s="64" t="s">
        <v>564</v>
      </c>
      <c r="E237" s="64" t="s">
        <v>555</v>
      </c>
      <c r="F237" s="64" t="s">
        <v>1769</v>
      </c>
      <c r="G237" s="74">
        <v>40</v>
      </c>
      <c r="H237" s="72">
        <v>40</v>
      </c>
      <c r="I237" s="73">
        <v>0</v>
      </c>
    </row>
    <row r="238" spans="1:9" x14ac:dyDescent="0.25">
      <c r="A238" s="64" t="s">
        <v>93</v>
      </c>
      <c r="B238" s="63" t="s">
        <v>116</v>
      </c>
      <c r="C238" s="65" t="s">
        <v>1477</v>
      </c>
      <c r="D238" s="64" t="s">
        <v>1478</v>
      </c>
      <c r="E238" s="64" t="s">
        <v>555</v>
      </c>
      <c r="F238" s="64" t="s">
        <v>1769</v>
      </c>
      <c r="G238" s="74">
        <v>40</v>
      </c>
      <c r="H238" s="72">
        <v>40</v>
      </c>
      <c r="I238" s="73">
        <v>0</v>
      </c>
    </row>
    <row r="239" spans="1:9" x14ac:dyDescent="0.25">
      <c r="A239" s="64" t="s">
        <v>94</v>
      </c>
      <c r="B239" s="63" t="s">
        <v>1660</v>
      </c>
      <c r="C239" s="65" t="s">
        <v>1203</v>
      </c>
      <c r="D239" s="64" t="s">
        <v>207</v>
      </c>
      <c r="E239" s="64" t="s">
        <v>203</v>
      </c>
      <c r="F239" s="64" t="s">
        <v>1768</v>
      </c>
      <c r="G239" s="71">
        <v>100</v>
      </c>
      <c r="H239" s="72">
        <v>100</v>
      </c>
      <c r="I239" s="73">
        <v>0</v>
      </c>
    </row>
    <row r="240" spans="1:9" x14ac:dyDescent="0.25">
      <c r="A240" s="64" t="s">
        <v>94</v>
      </c>
      <c r="B240" s="63" t="s">
        <v>1660</v>
      </c>
      <c r="C240" s="65" t="s">
        <v>1228</v>
      </c>
      <c r="D240" s="64" t="s">
        <v>105</v>
      </c>
      <c r="E240" s="64" t="s">
        <v>203</v>
      </c>
      <c r="F240" s="64" t="s">
        <v>1768</v>
      </c>
      <c r="G240" s="71">
        <v>100</v>
      </c>
      <c r="H240" s="72">
        <v>100</v>
      </c>
      <c r="I240" s="73">
        <v>0</v>
      </c>
    </row>
    <row r="241" spans="1:9" x14ac:dyDescent="0.25">
      <c r="A241" s="64" t="s">
        <v>94</v>
      </c>
      <c r="B241" s="63" t="s">
        <v>1660</v>
      </c>
      <c r="C241" s="65" t="s">
        <v>1217</v>
      </c>
      <c r="D241" s="64" t="s">
        <v>446</v>
      </c>
      <c r="E241" s="64" t="s">
        <v>203</v>
      </c>
      <c r="F241" s="64" t="s">
        <v>1769</v>
      </c>
      <c r="G241" s="74">
        <v>70</v>
      </c>
      <c r="H241" s="72">
        <v>100</v>
      </c>
      <c r="I241" s="73">
        <v>-30</v>
      </c>
    </row>
    <row r="242" spans="1:9" x14ac:dyDescent="0.25">
      <c r="A242" s="64" t="s">
        <v>94</v>
      </c>
      <c r="B242" s="63" t="s">
        <v>1660</v>
      </c>
      <c r="C242" s="65" t="s">
        <v>1385</v>
      </c>
      <c r="D242" s="64" t="s">
        <v>522</v>
      </c>
      <c r="E242" s="64" t="s">
        <v>521</v>
      </c>
      <c r="F242" s="64" t="s">
        <v>1770</v>
      </c>
      <c r="G242" s="71">
        <v>85</v>
      </c>
      <c r="H242" s="72">
        <v>80</v>
      </c>
      <c r="I242" s="73">
        <v>5</v>
      </c>
    </row>
    <row r="243" spans="1:9" x14ac:dyDescent="0.25">
      <c r="A243" s="64" t="s">
        <v>94</v>
      </c>
      <c r="B243" s="63" t="s">
        <v>1660</v>
      </c>
      <c r="C243" s="65" t="s">
        <v>1396</v>
      </c>
      <c r="D243" s="64" t="s">
        <v>530</v>
      </c>
      <c r="E243" s="64" t="s">
        <v>521</v>
      </c>
      <c r="F243" s="64" t="s">
        <v>1769</v>
      </c>
      <c r="G243" s="74">
        <v>70</v>
      </c>
      <c r="H243" s="72">
        <v>80</v>
      </c>
      <c r="I243" s="73">
        <v>-10</v>
      </c>
    </row>
    <row r="244" spans="1:9" x14ac:dyDescent="0.25">
      <c r="A244" s="64" t="s">
        <v>94</v>
      </c>
      <c r="B244" s="63" t="s">
        <v>1660</v>
      </c>
      <c r="C244" s="65" t="s">
        <v>1407</v>
      </c>
      <c r="D244" s="64" t="s">
        <v>1408</v>
      </c>
      <c r="E244" s="64" t="s">
        <v>521</v>
      </c>
      <c r="F244" s="64" t="s">
        <v>1769</v>
      </c>
      <c r="G244" s="74">
        <v>70</v>
      </c>
      <c r="H244" s="72">
        <v>80</v>
      </c>
      <c r="I244" s="73">
        <v>-10</v>
      </c>
    </row>
    <row r="245" spans="1:9" x14ac:dyDescent="0.25">
      <c r="A245" s="64" t="s">
        <v>94</v>
      </c>
      <c r="B245" s="63" t="s">
        <v>1660</v>
      </c>
      <c r="C245" s="65" t="s">
        <v>1421</v>
      </c>
      <c r="D245" s="64" t="s">
        <v>539</v>
      </c>
      <c r="E245" s="64" t="s">
        <v>538</v>
      </c>
      <c r="F245" s="64" t="s">
        <v>1770</v>
      </c>
      <c r="G245" s="71">
        <v>85</v>
      </c>
      <c r="H245" s="72">
        <v>80</v>
      </c>
      <c r="I245" s="73">
        <v>5</v>
      </c>
    </row>
    <row r="246" spans="1:9" x14ac:dyDescent="0.25">
      <c r="A246" s="64" t="s">
        <v>94</v>
      </c>
      <c r="B246" s="63" t="s">
        <v>1660</v>
      </c>
      <c r="C246" s="65" t="s">
        <v>1432</v>
      </c>
      <c r="D246" s="64" t="s">
        <v>547</v>
      </c>
      <c r="E246" s="64" t="s">
        <v>538</v>
      </c>
      <c r="F246" s="64" t="s">
        <v>1769</v>
      </c>
      <c r="G246" s="74">
        <v>70</v>
      </c>
      <c r="H246" s="72">
        <v>80</v>
      </c>
      <c r="I246" s="73">
        <v>-10</v>
      </c>
    </row>
    <row r="247" spans="1:9" x14ac:dyDescent="0.25">
      <c r="A247" s="64" t="s">
        <v>94</v>
      </c>
      <c r="B247" s="63" t="s">
        <v>1660</v>
      </c>
      <c r="C247" s="65" t="s">
        <v>1441</v>
      </c>
      <c r="D247" s="64" t="s">
        <v>1442</v>
      </c>
      <c r="E247" s="64" t="s">
        <v>538</v>
      </c>
      <c r="F247" s="64" t="s">
        <v>1769</v>
      </c>
      <c r="G247" s="74">
        <v>70</v>
      </c>
      <c r="H247" s="72">
        <v>80</v>
      </c>
      <c r="I247" s="73">
        <v>-10</v>
      </c>
    </row>
    <row r="248" spans="1:9" x14ac:dyDescent="0.25">
      <c r="A248" s="64" t="s">
        <v>94</v>
      </c>
      <c r="B248" s="63" t="s">
        <v>117</v>
      </c>
      <c r="C248" s="65" t="s">
        <v>1228</v>
      </c>
      <c r="D248" s="64" t="s">
        <v>105</v>
      </c>
      <c r="E248" s="64" t="s">
        <v>203</v>
      </c>
      <c r="F248" s="64" t="s">
        <v>1768</v>
      </c>
      <c r="G248" s="71">
        <v>100</v>
      </c>
      <c r="H248" s="72">
        <v>100</v>
      </c>
      <c r="I248" s="73">
        <v>0</v>
      </c>
    </row>
    <row r="249" spans="1:9" x14ac:dyDescent="0.25">
      <c r="A249" s="64" t="s">
        <v>94</v>
      </c>
      <c r="B249" s="63" t="s">
        <v>117</v>
      </c>
      <c r="C249" s="65" t="s">
        <v>1203</v>
      </c>
      <c r="D249" s="64" t="s">
        <v>207</v>
      </c>
      <c r="E249" s="64" t="s">
        <v>203</v>
      </c>
      <c r="F249" s="64" t="s">
        <v>1770</v>
      </c>
      <c r="G249" s="71">
        <v>85</v>
      </c>
      <c r="H249" s="72">
        <v>100</v>
      </c>
      <c r="I249" s="73">
        <v>-15</v>
      </c>
    </row>
    <row r="250" spans="1:9" x14ac:dyDescent="0.25">
      <c r="A250" s="64" t="s">
        <v>94</v>
      </c>
      <c r="B250" s="63" t="s">
        <v>117</v>
      </c>
      <c r="C250" s="65" t="s">
        <v>1217</v>
      </c>
      <c r="D250" s="64" t="s">
        <v>446</v>
      </c>
      <c r="E250" s="64" t="s">
        <v>203</v>
      </c>
      <c r="F250" s="64" t="s">
        <v>1769</v>
      </c>
      <c r="G250" s="74">
        <v>70</v>
      </c>
      <c r="H250" s="72">
        <v>100</v>
      </c>
      <c r="I250" s="73">
        <v>-30</v>
      </c>
    </row>
    <row r="251" spans="1:9" x14ac:dyDescent="0.25">
      <c r="A251" s="64" t="s">
        <v>94</v>
      </c>
      <c r="B251" s="63" t="s">
        <v>117</v>
      </c>
      <c r="C251" s="65" t="s">
        <v>1251</v>
      </c>
      <c r="D251" s="64" t="s">
        <v>488</v>
      </c>
      <c r="E251" s="64" t="s">
        <v>487</v>
      </c>
      <c r="F251" s="64" t="s">
        <v>1770</v>
      </c>
      <c r="G251" s="71">
        <v>85</v>
      </c>
      <c r="H251" s="72">
        <v>60</v>
      </c>
      <c r="I251" s="73">
        <v>25</v>
      </c>
    </row>
    <row r="252" spans="1:9" x14ac:dyDescent="0.25">
      <c r="A252" s="64" t="s">
        <v>94</v>
      </c>
      <c r="B252" s="63" t="s">
        <v>117</v>
      </c>
      <c r="C252" s="65" t="s">
        <v>1262</v>
      </c>
      <c r="D252" s="64" t="s">
        <v>1263</v>
      </c>
      <c r="E252" s="64" t="s">
        <v>487</v>
      </c>
      <c r="F252" s="64" t="s">
        <v>1770</v>
      </c>
      <c r="G252" s="71">
        <v>85</v>
      </c>
      <c r="H252" s="72">
        <v>60</v>
      </c>
      <c r="I252" s="73">
        <v>25</v>
      </c>
    </row>
    <row r="253" spans="1:9" x14ac:dyDescent="0.25">
      <c r="A253" s="64" t="s">
        <v>94</v>
      </c>
      <c r="B253" s="63" t="s">
        <v>117</v>
      </c>
      <c r="C253" s="65" t="s">
        <v>1241</v>
      </c>
      <c r="D253" s="64" t="s">
        <v>496</v>
      </c>
      <c r="E253" s="64" t="s">
        <v>487</v>
      </c>
      <c r="F253" s="64" t="s">
        <v>1769</v>
      </c>
      <c r="G253" s="74">
        <v>60</v>
      </c>
      <c r="H253" s="72">
        <v>60</v>
      </c>
      <c r="I253" s="73">
        <v>0</v>
      </c>
    </row>
    <row r="254" spans="1:9" x14ac:dyDescent="0.25">
      <c r="A254" s="64" t="s">
        <v>1667</v>
      </c>
      <c r="B254" s="63" t="s">
        <v>1671</v>
      </c>
      <c r="C254" s="65" t="s">
        <v>1139</v>
      </c>
      <c r="D254" s="64" t="s">
        <v>428</v>
      </c>
      <c r="E254" s="64" t="s">
        <v>202</v>
      </c>
      <c r="F254" s="64" t="s">
        <v>1770</v>
      </c>
      <c r="G254" s="71">
        <v>85</v>
      </c>
      <c r="H254" s="72">
        <v>80</v>
      </c>
      <c r="I254" s="73">
        <v>5</v>
      </c>
    </row>
    <row r="255" spans="1:9" x14ac:dyDescent="0.25">
      <c r="A255" s="64" t="s">
        <v>1667</v>
      </c>
      <c r="B255" s="63" t="s">
        <v>1671</v>
      </c>
      <c r="C255" s="65" t="s">
        <v>1124</v>
      </c>
      <c r="D255" s="64" t="s">
        <v>104</v>
      </c>
      <c r="E255" s="64" t="s">
        <v>202</v>
      </c>
      <c r="F255" s="64" t="s">
        <v>1769</v>
      </c>
      <c r="G255" s="74">
        <v>70</v>
      </c>
      <c r="H255" s="72">
        <v>80</v>
      </c>
      <c r="I255" s="73">
        <v>-10</v>
      </c>
    </row>
    <row r="256" spans="1:9" x14ac:dyDescent="0.25">
      <c r="A256" s="64" t="s">
        <v>1667</v>
      </c>
      <c r="B256" s="63" t="s">
        <v>1671</v>
      </c>
      <c r="C256" s="65" t="s">
        <v>1154</v>
      </c>
      <c r="D256" s="64" t="s">
        <v>1155</v>
      </c>
      <c r="E256" s="64" t="s">
        <v>202</v>
      </c>
      <c r="F256" s="64" t="s">
        <v>1769</v>
      </c>
      <c r="G256" s="74">
        <v>70</v>
      </c>
      <c r="H256" s="72">
        <v>80</v>
      </c>
      <c r="I256" s="73">
        <v>-10</v>
      </c>
    </row>
    <row r="257" spans="1:9" x14ac:dyDescent="0.25">
      <c r="A257" s="64" t="s">
        <v>1667</v>
      </c>
      <c r="B257" s="63" t="s">
        <v>1671</v>
      </c>
      <c r="C257" s="65" t="s">
        <v>1177</v>
      </c>
      <c r="D257" s="64" t="s">
        <v>514</v>
      </c>
      <c r="E257" s="64" t="s">
        <v>505</v>
      </c>
      <c r="F257" s="64" t="s">
        <v>1768</v>
      </c>
      <c r="G257" s="71">
        <v>100</v>
      </c>
      <c r="H257" s="72">
        <v>100</v>
      </c>
      <c r="I257" s="73">
        <v>0</v>
      </c>
    </row>
    <row r="258" spans="1:9" x14ac:dyDescent="0.25">
      <c r="A258" s="64" t="s">
        <v>1667</v>
      </c>
      <c r="B258" s="63" t="s">
        <v>1671</v>
      </c>
      <c r="C258" s="65" t="s">
        <v>1188</v>
      </c>
      <c r="D258" s="64" t="s">
        <v>1189</v>
      </c>
      <c r="E258" s="64" t="s">
        <v>505</v>
      </c>
      <c r="F258" s="64" t="s">
        <v>1770</v>
      </c>
      <c r="G258" s="71">
        <v>85</v>
      </c>
      <c r="H258" s="72">
        <v>100</v>
      </c>
      <c r="I258" s="73">
        <v>-15</v>
      </c>
    </row>
    <row r="259" spans="1:9" x14ac:dyDescent="0.25">
      <c r="A259" s="64" t="s">
        <v>1667</v>
      </c>
      <c r="B259" s="63" t="s">
        <v>1671</v>
      </c>
      <c r="C259" s="65" t="s">
        <v>1168</v>
      </c>
      <c r="D259" s="64" t="s">
        <v>506</v>
      </c>
      <c r="E259" s="64" t="s">
        <v>505</v>
      </c>
      <c r="F259" s="64" t="s">
        <v>1769</v>
      </c>
      <c r="G259" s="74">
        <v>70</v>
      </c>
      <c r="H259" s="72">
        <v>100</v>
      </c>
      <c r="I259" s="73">
        <v>-30</v>
      </c>
    </row>
    <row r="260" spans="1:9" x14ac:dyDescent="0.25">
      <c r="A260" s="64" t="s">
        <v>1667</v>
      </c>
      <c r="B260" s="63" t="s">
        <v>1671</v>
      </c>
      <c r="C260" s="65" t="s">
        <v>1455</v>
      </c>
      <c r="D260" s="64" t="s">
        <v>556</v>
      </c>
      <c r="E260" s="64" t="s">
        <v>555</v>
      </c>
      <c r="F260" s="64" t="s">
        <v>1770</v>
      </c>
      <c r="G260" s="71">
        <v>85</v>
      </c>
      <c r="H260" s="72">
        <v>40</v>
      </c>
      <c r="I260" s="73">
        <v>45</v>
      </c>
    </row>
    <row r="261" spans="1:9" x14ac:dyDescent="0.25">
      <c r="A261" s="64" t="s">
        <v>1667</v>
      </c>
      <c r="B261" s="63" t="s">
        <v>1671</v>
      </c>
      <c r="C261" s="65" t="s">
        <v>1466</v>
      </c>
      <c r="D261" s="64" t="s">
        <v>564</v>
      </c>
      <c r="E261" s="64" t="s">
        <v>555</v>
      </c>
      <c r="F261" s="64" t="s">
        <v>1769</v>
      </c>
      <c r="G261" s="74">
        <v>40</v>
      </c>
      <c r="H261" s="72">
        <v>40</v>
      </c>
      <c r="I261" s="73">
        <v>0</v>
      </c>
    </row>
    <row r="262" spans="1:9" x14ac:dyDescent="0.25">
      <c r="A262" s="64" t="s">
        <v>1667</v>
      </c>
      <c r="B262" s="63" t="s">
        <v>1671</v>
      </c>
      <c r="C262" s="65" t="s">
        <v>1477</v>
      </c>
      <c r="D262" s="64" t="s">
        <v>1478</v>
      </c>
      <c r="E262" s="64" t="s">
        <v>555</v>
      </c>
      <c r="F262" s="64" t="s">
        <v>1769</v>
      </c>
      <c r="G262" s="74">
        <v>40</v>
      </c>
      <c r="H262" s="72">
        <v>40</v>
      </c>
      <c r="I262" s="73">
        <v>0</v>
      </c>
    </row>
    <row r="263" spans="1:9" x14ac:dyDescent="0.25">
      <c r="A263" s="64" t="s">
        <v>1667</v>
      </c>
      <c r="B263" s="63" t="s">
        <v>1675</v>
      </c>
      <c r="C263" s="65" t="s">
        <v>1168</v>
      </c>
      <c r="D263" s="64" t="s">
        <v>506</v>
      </c>
      <c r="E263" s="64" t="s">
        <v>505</v>
      </c>
      <c r="F263" s="64" t="s">
        <v>1768</v>
      </c>
      <c r="G263" s="71">
        <v>100</v>
      </c>
      <c r="H263" s="72">
        <v>100</v>
      </c>
      <c r="I263" s="73">
        <v>0</v>
      </c>
    </row>
    <row r="264" spans="1:9" x14ac:dyDescent="0.25">
      <c r="A264" s="64" t="s">
        <v>1667</v>
      </c>
      <c r="B264" s="63" t="s">
        <v>1675</v>
      </c>
      <c r="C264" s="65" t="s">
        <v>1177</v>
      </c>
      <c r="D264" s="64" t="s">
        <v>514</v>
      </c>
      <c r="E264" s="64" t="s">
        <v>505</v>
      </c>
      <c r="F264" s="64" t="s">
        <v>1769</v>
      </c>
      <c r="G264" s="74">
        <v>70</v>
      </c>
      <c r="H264" s="72">
        <v>100</v>
      </c>
      <c r="I264" s="73">
        <v>-30</v>
      </c>
    </row>
    <row r="265" spans="1:9" x14ac:dyDescent="0.25">
      <c r="A265" s="64" t="s">
        <v>1667</v>
      </c>
      <c r="B265" s="63" t="s">
        <v>1675</v>
      </c>
      <c r="C265" s="65" t="s">
        <v>1188</v>
      </c>
      <c r="D265" s="64" t="s">
        <v>1189</v>
      </c>
      <c r="E265" s="64" t="s">
        <v>505</v>
      </c>
      <c r="F265" s="64" t="s">
        <v>1769</v>
      </c>
      <c r="G265" s="74">
        <v>70</v>
      </c>
      <c r="H265" s="72">
        <v>100</v>
      </c>
      <c r="I265" s="73">
        <v>-30</v>
      </c>
    </row>
    <row r="266" spans="1:9" x14ac:dyDescent="0.25">
      <c r="A266" s="64" t="s">
        <v>1667</v>
      </c>
      <c r="B266" s="63" t="s">
        <v>1675</v>
      </c>
      <c r="C266" s="65" t="s">
        <v>1251</v>
      </c>
      <c r="D266" s="64" t="s">
        <v>488</v>
      </c>
      <c r="E266" s="64" t="s">
        <v>487</v>
      </c>
      <c r="F266" s="64" t="s">
        <v>1768</v>
      </c>
      <c r="G266" s="71">
        <v>100</v>
      </c>
      <c r="H266" s="72">
        <v>40</v>
      </c>
      <c r="I266" s="73">
        <v>60</v>
      </c>
    </row>
    <row r="267" spans="1:9" x14ac:dyDescent="0.25">
      <c r="A267" s="64" t="s">
        <v>1667</v>
      </c>
      <c r="B267" s="63" t="s">
        <v>1675</v>
      </c>
      <c r="C267" s="65" t="s">
        <v>1241</v>
      </c>
      <c r="D267" s="64" t="s">
        <v>496</v>
      </c>
      <c r="E267" s="64" t="s">
        <v>487</v>
      </c>
      <c r="F267" s="64" t="s">
        <v>1770</v>
      </c>
      <c r="G267" s="71">
        <v>85</v>
      </c>
      <c r="H267" s="72">
        <v>40</v>
      </c>
      <c r="I267" s="73">
        <v>45</v>
      </c>
    </row>
    <row r="268" spans="1:9" x14ac:dyDescent="0.25">
      <c r="A268" s="64" t="s">
        <v>1667</v>
      </c>
      <c r="B268" s="63" t="s">
        <v>1675</v>
      </c>
      <c r="C268" s="65" t="s">
        <v>1262</v>
      </c>
      <c r="D268" s="64" t="s">
        <v>1263</v>
      </c>
      <c r="E268" s="64" t="s">
        <v>487</v>
      </c>
      <c r="F268" s="64" t="s">
        <v>1770</v>
      </c>
      <c r="G268" s="71">
        <v>85</v>
      </c>
      <c r="H268" s="72">
        <v>40</v>
      </c>
      <c r="I268" s="73">
        <v>45</v>
      </c>
    </row>
    <row r="269" spans="1:9" x14ac:dyDescent="0.25">
      <c r="A269" s="64" t="s">
        <v>1667</v>
      </c>
      <c r="B269" s="63" t="s">
        <v>1675</v>
      </c>
      <c r="C269" s="65" t="s">
        <v>1385</v>
      </c>
      <c r="D269" s="64" t="s">
        <v>522</v>
      </c>
      <c r="E269" s="64" t="s">
        <v>521</v>
      </c>
      <c r="F269" s="64" t="s">
        <v>1770</v>
      </c>
      <c r="G269" s="71">
        <v>85</v>
      </c>
      <c r="H269" s="72">
        <v>80</v>
      </c>
      <c r="I269" s="73">
        <v>5</v>
      </c>
    </row>
    <row r="270" spans="1:9" x14ac:dyDescent="0.25">
      <c r="A270" s="64" t="s">
        <v>1667</v>
      </c>
      <c r="B270" s="63" t="s">
        <v>1675</v>
      </c>
      <c r="C270" s="65" t="s">
        <v>1396</v>
      </c>
      <c r="D270" s="64" t="s">
        <v>530</v>
      </c>
      <c r="E270" s="64" t="s">
        <v>521</v>
      </c>
      <c r="F270" s="64" t="s">
        <v>1769</v>
      </c>
      <c r="G270" s="74">
        <v>70</v>
      </c>
      <c r="H270" s="72">
        <v>80</v>
      </c>
      <c r="I270" s="73">
        <v>-10</v>
      </c>
    </row>
    <row r="271" spans="1:9" x14ac:dyDescent="0.25">
      <c r="A271" s="64" t="s">
        <v>1667</v>
      </c>
      <c r="B271" s="63" t="s">
        <v>1675</v>
      </c>
      <c r="C271" s="65" t="s">
        <v>1407</v>
      </c>
      <c r="D271" s="64" t="s">
        <v>1408</v>
      </c>
      <c r="E271" s="64" t="s">
        <v>521</v>
      </c>
      <c r="F271" s="64" t="s">
        <v>1769</v>
      </c>
      <c r="G271" s="74">
        <v>70</v>
      </c>
      <c r="H271" s="72">
        <v>80</v>
      </c>
      <c r="I271" s="73">
        <v>-10</v>
      </c>
    </row>
    <row r="272" spans="1:9" x14ac:dyDescent="0.25">
      <c r="A272" s="64" t="s">
        <v>1678</v>
      </c>
      <c r="B272" s="63" t="s">
        <v>1682</v>
      </c>
      <c r="C272" s="65" t="s">
        <v>1241</v>
      </c>
      <c r="D272" s="64" t="s">
        <v>496</v>
      </c>
      <c r="E272" s="64" t="s">
        <v>487</v>
      </c>
      <c r="F272" s="64" t="s">
        <v>1768</v>
      </c>
      <c r="G272" s="71">
        <v>100</v>
      </c>
      <c r="H272" s="72">
        <v>100</v>
      </c>
      <c r="I272" s="73">
        <v>0</v>
      </c>
    </row>
    <row r="273" spans="1:9" x14ac:dyDescent="0.25">
      <c r="A273" s="64" t="s">
        <v>1678</v>
      </c>
      <c r="B273" s="63" t="s">
        <v>1682</v>
      </c>
      <c r="C273" s="65" t="s">
        <v>1251</v>
      </c>
      <c r="D273" s="64" t="s">
        <v>488</v>
      </c>
      <c r="E273" s="64" t="s">
        <v>487</v>
      </c>
      <c r="F273" s="64" t="s">
        <v>1768</v>
      </c>
      <c r="G273" s="71">
        <v>100</v>
      </c>
      <c r="H273" s="72">
        <v>100</v>
      </c>
      <c r="I273" s="73">
        <v>0</v>
      </c>
    </row>
    <row r="274" spans="1:9" x14ac:dyDescent="0.25">
      <c r="A274" s="64" t="s">
        <v>1678</v>
      </c>
      <c r="B274" s="63" t="s">
        <v>1682</v>
      </c>
      <c r="C274" s="65" t="s">
        <v>1262</v>
      </c>
      <c r="D274" s="64" t="s">
        <v>1263</v>
      </c>
      <c r="E274" s="64" t="s">
        <v>487</v>
      </c>
      <c r="F274" s="64" t="s">
        <v>1770</v>
      </c>
      <c r="G274" s="71">
        <v>85</v>
      </c>
      <c r="H274" s="72">
        <v>100</v>
      </c>
      <c r="I274" s="73">
        <v>-15</v>
      </c>
    </row>
    <row r="275" spans="1:9" x14ac:dyDescent="0.25">
      <c r="A275" s="64" t="s">
        <v>1678</v>
      </c>
      <c r="B275" s="63" t="s">
        <v>1682</v>
      </c>
      <c r="C275" s="65" t="s">
        <v>1396</v>
      </c>
      <c r="D275" s="64" t="s">
        <v>530</v>
      </c>
      <c r="E275" s="64" t="s">
        <v>521</v>
      </c>
      <c r="F275" s="64" t="s">
        <v>1770</v>
      </c>
      <c r="G275" s="71">
        <v>85</v>
      </c>
      <c r="H275" s="72">
        <v>80</v>
      </c>
      <c r="I275" s="73">
        <v>5</v>
      </c>
    </row>
    <row r="276" spans="1:9" x14ac:dyDescent="0.25">
      <c r="A276" s="64" t="s">
        <v>1678</v>
      </c>
      <c r="B276" s="63" t="s">
        <v>1682</v>
      </c>
      <c r="C276" s="65" t="s">
        <v>1385</v>
      </c>
      <c r="D276" s="64" t="s">
        <v>522</v>
      </c>
      <c r="E276" s="64" t="s">
        <v>521</v>
      </c>
      <c r="F276" s="64" t="s">
        <v>1769</v>
      </c>
      <c r="G276" s="74">
        <v>70</v>
      </c>
      <c r="H276" s="72">
        <v>80</v>
      </c>
      <c r="I276" s="73">
        <v>-10</v>
      </c>
    </row>
    <row r="277" spans="1:9" x14ac:dyDescent="0.25">
      <c r="A277" s="64" t="s">
        <v>1678</v>
      </c>
      <c r="B277" s="63" t="s">
        <v>1682</v>
      </c>
      <c r="C277" s="65" t="s">
        <v>1407</v>
      </c>
      <c r="D277" s="64" t="s">
        <v>1408</v>
      </c>
      <c r="E277" s="64" t="s">
        <v>521</v>
      </c>
      <c r="F277" s="64" t="s">
        <v>1769</v>
      </c>
      <c r="G277" s="74">
        <v>70</v>
      </c>
      <c r="H277" s="72">
        <v>80</v>
      </c>
      <c r="I277" s="73">
        <v>-10</v>
      </c>
    </row>
    <row r="278" spans="1:9" x14ac:dyDescent="0.25">
      <c r="A278" s="64" t="s">
        <v>1678</v>
      </c>
      <c r="B278" s="63" t="s">
        <v>1259</v>
      </c>
      <c r="C278" s="65" t="s">
        <v>1124</v>
      </c>
      <c r="D278" s="64" t="s">
        <v>104</v>
      </c>
      <c r="E278" s="64" t="s">
        <v>202</v>
      </c>
      <c r="F278" s="64" t="s">
        <v>1770</v>
      </c>
      <c r="G278" s="71">
        <v>85</v>
      </c>
      <c r="H278" s="72">
        <v>60</v>
      </c>
      <c r="I278" s="73">
        <v>25</v>
      </c>
    </row>
    <row r="279" spans="1:9" x14ac:dyDescent="0.25">
      <c r="A279" s="64" t="s">
        <v>1678</v>
      </c>
      <c r="B279" s="63" t="s">
        <v>1259</v>
      </c>
      <c r="C279" s="65" t="s">
        <v>1139</v>
      </c>
      <c r="D279" s="64" t="s">
        <v>428</v>
      </c>
      <c r="E279" s="64" t="s">
        <v>202</v>
      </c>
      <c r="F279" s="64" t="s">
        <v>1769</v>
      </c>
      <c r="G279" s="74">
        <v>60</v>
      </c>
      <c r="H279" s="72">
        <v>60</v>
      </c>
      <c r="I279" s="73">
        <v>0</v>
      </c>
    </row>
    <row r="280" spans="1:9" x14ac:dyDescent="0.25">
      <c r="A280" s="64" t="s">
        <v>1678</v>
      </c>
      <c r="B280" s="63" t="s">
        <v>1259</v>
      </c>
      <c r="C280" s="65" t="s">
        <v>1154</v>
      </c>
      <c r="D280" s="64" t="s">
        <v>1155</v>
      </c>
      <c r="E280" s="64" t="s">
        <v>202</v>
      </c>
      <c r="F280" s="64" t="s">
        <v>1769</v>
      </c>
      <c r="G280" s="74">
        <v>60</v>
      </c>
      <c r="H280" s="72">
        <v>60</v>
      </c>
      <c r="I280" s="73">
        <v>0</v>
      </c>
    </row>
    <row r="281" spans="1:9" x14ac:dyDescent="0.25">
      <c r="A281" s="64" t="s">
        <v>1678</v>
      </c>
      <c r="B281" s="63" t="s">
        <v>1259</v>
      </c>
      <c r="C281" s="65" t="s">
        <v>1217</v>
      </c>
      <c r="D281" s="64" t="s">
        <v>446</v>
      </c>
      <c r="E281" s="64" t="s">
        <v>203</v>
      </c>
      <c r="F281" s="64" t="s">
        <v>1770</v>
      </c>
      <c r="G281" s="71">
        <v>85</v>
      </c>
      <c r="H281" s="72">
        <v>80</v>
      </c>
      <c r="I281" s="73">
        <v>5</v>
      </c>
    </row>
    <row r="282" spans="1:9" x14ac:dyDescent="0.25">
      <c r="A282" s="64" t="s">
        <v>1678</v>
      </c>
      <c r="B282" s="63" t="s">
        <v>1259</v>
      </c>
      <c r="C282" s="65" t="s">
        <v>1203</v>
      </c>
      <c r="D282" s="64" t="s">
        <v>207</v>
      </c>
      <c r="E282" s="64" t="s">
        <v>203</v>
      </c>
      <c r="F282" s="64" t="s">
        <v>1769</v>
      </c>
      <c r="G282" s="74">
        <v>70</v>
      </c>
      <c r="H282" s="72">
        <v>80</v>
      </c>
      <c r="I282" s="73">
        <v>-10</v>
      </c>
    </row>
    <row r="283" spans="1:9" x14ac:dyDescent="0.25">
      <c r="A283" s="64" t="s">
        <v>1678</v>
      </c>
      <c r="B283" s="63" t="s">
        <v>1259</v>
      </c>
      <c r="C283" s="65" t="s">
        <v>1228</v>
      </c>
      <c r="D283" s="64" t="s">
        <v>105</v>
      </c>
      <c r="E283" s="64" t="s">
        <v>203</v>
      </c>
      <c r="F283" s="64" t="s">
        <v>1769</v>
      </c>
      <c r="G283" s="74">
        <v>70</v>
      </c>
      <c r="H283" s="72">
        <v>80</v>
      </c>
      <c r="I283" s="73">
        <v>-10</v>
      </c>
    </row>
    <row r="284" spans="1:9" x14ac:dyDescent="0.25">
      <c r="A284" s="64" t="s">
        <v>1678</v>
      </c>
      <c r="B284" s="63" t="s">
        <v>1259</v>
      </c>
      <c r="C284" s="65" t="s">
        <v>1251</v>
      </c>
      <c r="D284" s="64" t="s">
        <v>488</v>
      </c>
      <c r="E284" s="64" t="s">
        <v>487</v>
      </c>
      <c r="F284" s="64" t="s">
        <v>1768</v>
      </c>
      <c r="G284" s="71">
        <v>100</v>
      </c>
      <c r="H284" s="72">
        <v>100</v>
      </c>
      <c r="I284" s="73">
        <v>0</v>
      </c>
    </row>
    <row r="285" spans="1:9" x14ac:dyDescent="0.25">
      <c r="A285" s="64" t="s">
        <v>1678</v>
      </c>
      <c r="B285" s="63" t="s">
        <v>1259</v>
      </c>
      <c r="C285" s="65" t="s">
        <v>1262</v>
      </c>
      <c r="D285" s="64" t="s">
        <v>1263</v>
      </c>
      <c r="E285" s="64" t="s">
        <v>487</v>
      </c>
      <c r="F285" s="64" t="s">
        <v>1768</v>
      </c>
      <c r="G285" s="71">
        <v>100</v>
      </c>
      <c r="H285" s="72">
        <v>100</v>
      </c>
      <c r="I285" s="73">
        <v>0</v>
      </c>
    </row>
    <row r="286" spans="1:9" x14ac:dyDescent="0.25">
      <c r="A286" s="64" t="s">
        <v>1678</v>
      </c>
      <c r="B286" s="63" t="s">
        <v>1259</v>
      </c>
      <c r="C286" s="65" t="s">
        <v>1241</v>
      </c>
      <c r="D286" s="64" t="s">
        <v>496</v>
      </c>
      <c r="E286" s="64" t="s">
        <v>487</v>
      </c>
      <c r="F286" s="64" t="s">
        <v>1769</v>
      </c>
      <c r="G286" s="74">
        <v>70</v>
      </c>
      <c r="H286" s="72">
        <v>100</v>
      </c>
      <c r="I286" s="73">
        <v>-30</v>
      </c>
    </row>
    <row r="287" spans="1:9" x14ac:dyDescent="0.25">
      <c r="A287" s="64" t="s">
        <v>1678</v>
      </c>
      <c r="B287" s="63" t="s">
        <v>1259</v>
      </c>
      <c r="C287" s="65" t="s">
        <v>1477</v>
      </c>
      <c r="D287" s="64" t="s">
        <v>1478</v>
      </c>
      <c r="E287" s="64" t="s">
        <v>555</v>
      </c>
      <c r="F287" s="64" t="s">
        <v>1770</v>
      </c>
      <c r="G287" s="71">
        <v>85</v>
      </c>
      <c r="H287" s="72">
        <v>60</v>
      </c>
      <c r="I287" s="73">
        <v>25</v>
      </c>
    </row>
    <row r="288" spans="1:9" x14ac:dyDescent="0.25">
      <c r="A288" s="64" t="s">
        <v>1678</v>
      </c>
      <c r="B288" s="63" t="s">
        <v>1259</v>
      </c>
      <c r="C288" s="65" t="s">
        <v>1455</v>
      </c>
      <c r="D288" s="64" t="s">
        <v>556</v>
      </c>
      <c r="E288" s="64" t="s">
        <v>555</v>
      </c>
      <c r="F288" s="64" t="s">
        <v>1769</v>
      </c>
      <c r="G288" s="74">
        <v>60</v>
      </c>
      <c r="H288" s="72">
        <v>60</v>
      </c>
      <c r="I288" s="73">
        <v>0</v>
      </c>
    </row>
    <row r="289" spans="1:9" x14ac:dyDescent="0.25">
      <c r="A289" s="64" t="s">
        <v>1678</v>
      </c>
      <c r="B289" s="63" t="s">
        <v>1259</v>
      </c>
      <c r="C289" s="65" t="s">
        <v>1466</v>
      </c>
      <c r="D289" s="64" t="s">
        <v>564</v>
      </c>
      <c r="E289" s="64" t="s">
        <v>555</v>
      </c>
      <c r="F289" s="64" t="s">
        <v>1769</v>
      </c>
      <c r="G289" s="74">
        <v>60</v>
      </c>
      <c r="H289" s="72">
        <v>60</v>
      </c>
      <c r="I289" s="73">
        <v>0</v>
      </c>
    </row>
    <row r="290" spans="1:9" x14ac:dyDescent="0.25">
      <c r="A290" s="64" t="s">
        <v>1687</v>
      </c>
      <c r="B290" s="63" t="s">
        <v>1691</v>
      </c>
      <c r="C290" s="65" t="s">
        <v>1312</v>
      </c>
      <c r="D290" s="64" t="s">
        <v>455</v>
      </c>
      <c r="E290" s="64" t="s">
        <v>454</v>
      </c>
      <c r="F290" s="64" t="s">
        <v>1768</v>
      </c>
      <c r="G290" s="71">
        <v>100</v>
      </c>
      <c r="H290" s="72">
        <v>100</v>
      </c>
      <c r="I290" s="73">
        <v>0</v>
      </c>
    </row>
    <row r="291" spans="1:9" x14ac:dyDescent="0.25">
      <c r="A291" s="64" t="s">
        <v>1687</v>
      </c>
      <c r="B291" s="63" t="s">
        <v>1691</v>
      </c>
      <c r="C291" s="65" t="s">
        <v>1323</v>
      </c>
      <c r="D291" s="64" t="s">
        <v>463</v>
      </c>
      <c r="E291" s="64" t="s">
        <v>454</v>
      </c>
      <c r="F291" s="64" t="s">
        <v>1770</v>
      </c>
      <c r="G291" s="71">
        <v>85</v>
      </c>
      <c r="H291" s="72">
        <v>100</v>
      </c>
      <c r="I291" s="73">
        <v>-15</v>
      </c>
    </row>
    <row r="292" spans="1:9" x14ac:dyDescent="0.25">
      <c r="A292" s="64" t="s">
        <v>1687</v>
      </c>
      <c r="B292" s="63" t="s">
        <v>1691</v>
      </c>
      <c r="C292" s="65" t="s">
        <v>1334</v>
      </c>
      <c r="D292" s="64" t="s">
        <v>642</v>
      </c>
      <c r="E292" s="64" t="s">
        <v>454</v>
      </c>
      <c r="F292" s="64" t="s">
        <v>1770</v>
      </c>
      <c r="G292" s="71">
        <v>85</v>
      </c>
      <c r="H292" s="72">
        <v>100</v>
      </c>
      <c r="I292" s="73">
        <v>-15</v>
      </c>
    </row>
    <row r="293" spans="1:9" x14ac:dyDescent="0.25">
      <c r="A293" s="64" t="s">
        <v>1687</v>
      </c>
      <c r="B293" s="63" t="s">
        <v>1691</v>
      </c>
      <c r="C293" s="65" t="s">
        <v>1370</v>
      </c>
      <c r="D293" s="64" t="s">
        <v>1371</v>
      </c>
      <c r="E293" s="64" t="s">
        <v>470</v>
      </c>
      <c r="F293" s="64" t="s">
        <v>1770</v>
      </c>
      <c r="G293" s="71">
        <v>85</v>
      </c>
      <c r="H293" s="72">
        <v>80</v>
      </c>
      <c r="I293" s="73">
        <v>5</v>
      </c>
    </row>
    <row r="294" spans="1:9" x14ac:dyDescent="0.25">
      <c r="A294" s="64" t="s">
        <v>1687</v>
      </c>
      <c r="B294" s="63" t="s">
        <v>1691</v>
      </c>
      <c r="C294" s="65" t="s">
        <v>1348</v>
      </c>
      <c r="D294" s="64" t="s">
        <v>471</v>
      </c>
      <c r="E294" s="64" t="s">
        <v>470</v>
      </c>
      <c r="F294" s="64" t="s">
        <v>1769</v>
      </c>
      <c r="G294" s="74">
        <v>70</v>
      </c>
      <c r="H294" s="72">
        <v>80</v>
      </c>
      <c r="I294" s="73">
        <v>-10</v>
      </c>
    </row>
    <row r="295" spans="1:9" x14ac:dyDescent="0.25">
      <c r="A295" s="64" t="s">
        <v>1687</v>
      </c>
      <c r="B295" s="63" t="s">
        <v>1691</v>
      </c>
      <c r="C295" s="65" t="s">
        <v>1359</v>
      </c>
      <c r="D295" s="64" t="s">
        <v>480</v>
      </c>
      <c r="E295" s="64" t="s">
        <v>470</v>
      </c>
      <c r="F295" s="64" t="s">
        <v>1769</v>
      </c>
      <c r="G295" s="74">
        <v>70</v>
      </c>
      <c r="H295" s="72">
        <v>80</v>
      </c>
      <c r="I295" s="73">
        <v>-10</v>
      </c>
    </row>
    <row r="296" spans="1:9" x14ac:dyDescent="0.25">
      <c r="A296" s="64" t="s">
        <v>1687</v>
      </c>
      <c r="B296" s="63" t="s">
        <v>1695</v>
      </c>
      <c r="C296" s="65" t="s">
        <v>1297</v>
      </c>
      <c r="D296" s="64" t="s">
        <v>1298</v>
      </c>
      <c r="E296" s="64" t="s">
        <v>201</v>
      </c>
      <c r="F296" s="64" t="s">
        <v>1770</v>
      </c>
      <c r="G296" s="71">
        <v>85</v>
      </c>
      <c r="H296" s="72">
        <v>80</v>
      </c>
      <c r="I296" s="73">
        <v>5</v>
      </c>
    </row>
    <row r="297" spans="1:9" x14ac:dyDescent="0.25">
      <c r="A297" s="64" t="s">
        <v>1687</v>
      </c>
      <c r="B297" s="63" t="s">
        <v>1695</v>
      </c>
      <c r="C297" s="65" t="s">
        <v>1277</v>
      </c>
      <c r="D297" s="64" t="s">
        <v>403</v>
      </c>
      <c r="E297" s="64" t="s">
        <v>201</v>
      </c>
      <c r="F297" s="64" t="s">
        <v>1769</v>
      </c>
      <c r="G297" s="74">
        <v>70</v>
      </c>
      <c r="H297" s="72">
        <v>80</v>
      </c>
      <c r="I297" s="73">
        <v>-10</v>
      </c>
    </row>
    <row r="298" spans="1:9" x14ac:dyDescent="0.25">
      <c r="A298" s="64" t="s">
        <v>1687</v>
      </c>
      <c r="B298" s="63" t="s">
        <v>1695</v>
      </c>
      <c r="C298" s="65" t="s">
        <v>1287</v>
      </c>
      <c r="D298" s="64" t="s">
        <v>103</v>
      </c>
      <c r="E298" s="64" t="s">
        <v>201</v>
      </c>
      <c r="F298" s="64" t="s">
        <v>1769</v>
      </c>
      <c r="G298" s="74">
        <v>70</v>
      </c>
      <c r="H298" s="72">
        <v>80</v>
      </c>
      <c r="I298" s="73">
        <v>-10</v>
      </c>
    </row>
    <row r="299" spans="1:9" x14ac:dyDescent="0.25">
      <c r="A299" s="64" t="s">
        <v>1687</v>
      </c>
      <c r="B299" s="63" t="s">
        <v>1695</v>
      </c>
      <c r="C299" s="65" t="s">
        <v>1323</v>
      </c>
      <c r="D299" s="64" t="s">
        <v>463</v>
      </c>
      <c r="E299" s="64" t="s">
        <v>454</v>
      </c>
      <c r="F299" s="64" t="s">
        <v>1768</v>
      </c>
      <c r="G299" s="71">
        <v>100</v>
      </c>
      <c r="H299" s="72">
        <v>100</v>
      </c>
      <c r="I299" s="73">
        <v>0</v>
      </c>
    </row>
    <row r="300" spans="1:9" x14ac:dyDescent="0.25">
      <c r="A300" s="64" t="s">
        <v>1687</v>
      </c>
      <c r="B300" s="63" t="s">
        <v>1695</v>
      </c>
      <c r="C300" s="65" t="s">
        <v>1312</v>
      </c>
      <c r="D300" s="64" t="s">
        <v>455</v>
      </c>
      <c r="E300" s="64" t="s">
        <v>454</v>
      </c>
      <c r="F300" s="64" t="s">
        <v>1770</v>
      </c>
      <c r="G300" s="71">
        <v>85</v>
      </c>
      <c r="H300" s="72">
        <v>100</v>
      </c>
      <c r="I300" s="73">
        <v>-15</v>
      </c>
    </row>
    <row r="301" spans="1:9" x14ac:dyDescent="0.25">
      <c r="A301" s="64" t="s">
        <v>1687</v>
      </c>
      <c r="B301" s="63" t="s">
        <v>1695</v>
      </c>
      <c r="C301" s="65" t="s">
        <v>1334</v>
      </c>
      <c r="D301" s="64" t="s">
        <v>642</v>
      </c>
      <c r="E301" s="64" t="s">
        <v>454</v>
      </c>
      <c r="F301" s="64" t="s">
        <v>1769</v>
      </c>
      <c r="G301" s="74">
        <v>70</v>
      </c>
      <c r="H301" s="72">
        <v>100</v>
      </c>
      <c r="I301" s="73">
        <v>-30</v>
      </c>
    </row>
    <row r="302" spans="1:9" x14ac:dyDescent="0.25">
      <c r="A302" s="64" t="s">
        <v>470</v>
      </c>
      <c r="B302" s="63" t="s">
        <v>1702</v>
      </c>
      <c r="C302" s="65" t="s">
        <v>1297</v>
      </c>
      <c r="D302" s="64" t="s">
        <v>1298</v>
      </c>
      <c r="E302" s="64" t="s">
        <v>201</v>
      </c>
      <c r="F302" s="64" t="s">
        <v>1770</v>
      </c>
      <c r="G302" s="71">
        <v>85</v>
      </c>
      <c r="H302" s="72">
        <v>80</v>
      </c>
      <c r="I302" s="73">
        <v>5</v>
      </c>
    </row>
    <row r="303" spans="1:9" x14ac:dyDescent="0.25">
      <c r="A303" s="64" t="s">
        <v>470</v>
      </c>
      <c r="B303" s="63" t="s">
        <v>1702</v>
      </c>
      <c r="C303" s="65" t="s">
        <v>1277</v>
      </c>
      <c r="D303" s="64" t="s">
        <v>403</v>
      </c>
      <c r="E303" s="64" t="s">
        <v>201</v>
      </c>
      <c r="F303" s="64" t="s">
        <v>1769</v>
      </c>
      <c r="G303" s="74">
        <v>70</v>
      </c>
      <c r="H303" s="72">
        <v>80</v>
      </c>
      <c r="I303" s="73">
        <v>-10</v>
      </c>
    </row>
    <row r="304" spans="1:9" x14ac:dyDescent="0.25">
      <c r="A304" s="64" t="s">
        <v>470</v>
      </c>
      <c r="B304" s="63" t="s">
        <v>1702</v>
      </c>
      <c r="C304" s="65" t="s">
        <v>1287</v>
      </c>
      <c r="D304" s="64" t="s">
        <v>103</v>
      </c>
      <c r="E304" s="64" t="s">
        <v>201</v>
      </c>
      <c r="F304" s="64" t="s">
        <v>1769</v>
      </c>
      <c r="G304" s="74">
        <v>70</v>
      </c>
      <c r="H304" s="72">
        <v>80</v>
      </c>
      <c r="I304" s="73">
        <v>-10</v>
      </c>
    </row>
    <row r="305" spans="1:9" x14ac:dyDescent="0.25">
      <c r="A305" s="64" t="s">
        <v>470</v>
      </c>
      <c r="B305" s="63" t="s">
        <v>1702</v>
      </c>
      <c r="C305" s="65" t="s">
        <v>1348</v>
      </c>
      <c r="D305" s="64" t="s">
        <v>471</v>
      </c>
      <c r="E305" s="64" t="s">
        <v>470</v>
      </c>
      <c r="F305" s="64" t="s">
        <v>1768</v>
      </c>
      <c r="G305" s="71">
        <v>100</v>
      </c>
      <c r="H305" s="72">
        <v>100</v>
      </c>
      <c r="I305" s="73">
        <v>0</v>
      </c>
    </row>
    <row r="306" spans="1:9" x14ac:dyDescent="0.25">
      <c r="A306" s="64" t="s">
        <v>470</v>
      </c>
      <c r="B306" s="63" t="s">
        <v>1702</v>
      </c>
      <c r="C306" s="65" t="s">
        <v>1359</v>
      </c>
      <c r="D306" s="64" t="s">
        <v>480</v>
      </c>
      <c r="E306" s="64" t="s">
        <v>470</v>
      </c>
      <c r="F306" s="64" t="s">
        <v>1768</v>
      </c>
      <c r="G306" s="71">
        <v>100</v>
      </c>
      <c r="H306" s="72">
        <v>100</v>
      </c>
      <c r="I306" s="73">
        <v>0</v>
      </c>
    </row>
    <row r="307" spans="1:9" x14ac:dyDescent="0.25">
      <c r="A307" s="64" t="s">
        <v>470</v>
      </c>
      <c r="B307" s="63" t="s">
        <v>1702</v>
      </c>
      <c r="C307" s="65" t="s">
        <v>1370</v>
      </c>
      <c r="D307" s="64" t="s">
        <v>1371</v>
      </c>
      <c r="E307" s="64" t="s">
        <v>470</v>
      </c>
      <c r="F307" s="64" t="s">
        <v>1770</v>
      </c>
      <c r="G307" s="71">
        <v>85</v>
      </c>
      <c r="H307" s="72">
        <v>100</v>
      </c>
      <c r="I307" s="73">
        <v>-15</v>
      </c>
    </row>
    <row r="308" spans="1:9" x14ac:dyDescent="0.25">
      <c r="A308" s="64" t="s">
        <v>470</v>
      </c>
      <c r="B308" s="63" t="s">
        <v>1702</v>
      </c>
      <c r="C308" s="65" t="s">
        <v>1466</v>
      </c>
      <c r="D308" s="64" t="s">
        <v>564</v>
      </c>
      <c r="E308" s="64" t="s">
        <v>555</v>
      </c>
      <c r="F308" s="64" t="s">
        <v>1770</v>
      </c>
      <c r="G308" s="71">
        <v>85</v>
      </c>
      <c r="H308" s="72">
        <v>60</v>
      </c>
      <c r="I308" s="73">
        <v>25</v>
      </c>
    </row>
    <row r="309" spans="1:9" x14ac:dyDescent="0.25">
      <c r="A309" s="64" t="s">
        <v>470</v>
      </c>
      <c r="B309" s="63" t="s">
        <v>1702</v>
      </c>
      <c r="C309" s="65" t="s">
        <v>1455</v>
      </c>
      <c r="D309" s="64" t="s">
        <v>556</v>
      </c>
      <c r="E309" s="64" t="s">
        <v>555</v>
      </c>
      <c r="F309" s="64" t="s">
        <v>1769</v>
      </c>
      <c r="G309" s="74">
        <v>60</v>
      </c>
      <c r="H309" s="72">
        <v>60</v>
      </c>
      <c r="I309" s="73">
        <v>0</v>
      </c>
    </row>
    <row r="310" spans="1:9" x14ac:dyDescent="0.25">
      <c r="A310" s="64" t="s">
        <v>470</v>
      </c>
      <c r="B310" s="63" t="s">
        <v>1702</v>
      </c>
      <c r="C310" s="65" t="s">
        <v>1477</v>
      </c>
      <c r="D310" s="64" t="s">
        <v>1478</v>
      </c>
      <c r="E310" s="64" t="s">
        <v>555</v>
      </c>
      <c r="F310" s="64" t="s">
        <v>1769</v>
      </c>
      <c r="G310" s="74">
        <v>60</v>
      </c>
      <c r="H310" s="72">
        <v>60</v>
      </c>
      <c r="I310" s="73">
        <v>0</v>
      </c>
    </row>
    <row r="311" spans="1:9" x14ac:dyDescent="0.25">
      <c r="A311" s="64" t="s">
        <v>470</v>
      </c>
      <c r="B311" s="63" t="s">
        <v>1705</v>
      </c>
      <c r="C311" s="65" t="s">
        <v>1348</v>
      </c>
      <c r="D311" s="64" t="s">
        <v>471</v>
      </c>
      <c r="E311" s="64" t="s">
        <v>470</v>
      </c>
      <c r="F311" s="64" t="s">
        <v>1768</v>
      </c>
      <c r="G311" s="71">
        <v>100</v>
      </c>
      <c r="H311" s="72">
        <v>100</v>
      </c>
      <c r="I311" s="73">
        <v>0</v>
      </c>
    </row>
    <row r="312" spans="1:9" x14ac:dyDescent="0.25">
      <c r="A312" s="64" t="s">
        <v>470</v>
      </c>
      <c r="B312" s="63" t="s">
        <v>1705</v>
      </c>
      <c r="C312" s="65" t="s">
        <v>1370</v>
      </c>
      <c r="D312" s="64" t="s">
        <v>1371</v>
      </c>
      <c r="E312" s="64" t="s">
        <v>470</v>
      </c>
      <c r="F312" s="64" t="s">
        <v>1768</v>
      </c>
      <c r="G312" s="71">
        <v>100</v>
      </c>
      <c r="H312" s="72">
        <v>100</v>
      </c>
      <c r="I312" s="73">
        <v>0</v>
      </c>
    </row>
    <row r="313" spans="1:9" x14ac:dyDescent="0.25">
      <c r="A313" s="64" t="s">
        <v>470</v>
      </c>
      <c r="B313" s="63" t="s">
        <v>1705</v>
      </c>
      <c r="C313" s="65" t="s">
        <v>1359</v>
      </c>
      <c r="D313" s="64" t="s">
        <v>480</v>
      </c>
      <c r="E313" s="64" t="s">
        <v>470</v>
      </c>
      <c r="F313" s="64" t="s">
        <v>1770</v>
      </c>
      <c r="G313" s="71">
        <v>85</v>
      </c>
      <c r="H313" s="72">
        <v>100</v>
      </c>
      <c r="I313" s="73">
        <v>-15</v>
      </c>
    </row>
    <row r="314" spans="1:9" x14ac:dyDescent="0.25">
      <c r="A314" s="64" t="s">
        <v>470</v>
      </c>
      <c r="B314" s="63" t="s">
        <v>1705</v>
      </c>
      <c r="C314" s="65" t="s">
        <v>1466</v>
      </c>
      <c r="D314" s="64" t="s">
        <v>564</v>
      </c>
      <c r="E314" s="64" t="s">
        <v>555</v>
      </c>
      <c r="F314" s="64" t="s">
        <v>1770</v>
      </c>
      <c r="G314" s="71">
        <v>85</v>
      </c>
      <c r="H314" s="72">
        <v>60</v>
      </c>
      <c r="I314" s="73">
        <v>25</v>
      </c>
    </row>
    <row r="315" spans="1:9" x14ac:dyDescent="0.25">
      <c r="A315" s="64" t="s">
        <v>470</v>
      </c>
      <c r="B315" s="63" t="s">
        <v>1705</v>
      </c>
      <c r="C315" s="65" t="s">
        <v>1455</v>
      </c>
      <c r="D315" s="64" t="s">
        <v>556</v>
      </c>
      <c r="E315" s="64" t="s">
        <v>555</v>
      </c>
      <c r="F315" s="64" t="s">
        <v>1769</v>
      </c>
      <c r="G315" s="74">
        <v>60</v>
      </c>
      <c r="H315" s="72">
        <v>60</v>
      </c>
      <c r="I315" s="73">
        <v>0</v>
      </c>
    </row>
    <row r="316" spans="1:9" x14ac:dyDescent="0.25">
      <c r="A316" s="64" t="s">
        <v>470</v>
      </c>
      <c r="B316" s="63" t="s">
        <v>1705</v>
      </c>
      <c r="C316" s="65" t="s">
        <v>1477</v>
      </c>
      <c r="D316" s="64" t="s">
        <v>1478</v>
      </c>
      <c r="E316" s="64" t="s">
        <v>555</v>
      </c>
      <c r="F316" s="64" t="s">
        <v>1769</v>
      </c>
      <c r="G316" s="74">
        <v>60</v>
      </c>
      <c r="H316" s="72">
        <v>60</v>
      </c>
      <c r="I316" s="73">
        <v>0</v>
      </c>
    </row>
    <row r="317" spans="1:9" x14ac:dyDescent="0.25">
      <c r="A317" s="64" t="s">
        <v>1709</v>
      </c>
      <c r="B317" s="63" t="s">
        <v>1713</v>
      </c>
      <c r="C317" s="65" t="s">
        <v>1203</v>
      </c>
      <c r="D317" s="64" t="s">
        <v>207</v>
      </c>
      <c r="E317" s="64" t="s">
        <v>203</v>
      </c>
      <c r="F317" s="64" t="s">
        <v>1770</v>
      </c>
      <c r="G317" s="71">
        <v>85</v>
      </c>
      <c r="H317" s="72">
        <v>80</v>
      </c>
      <c r="I317" s="73">
        <v>5</v>
      </c>
    </row>
    <row r="318" spans="1:9" x14ac:dyDescent="0.25">
      <c r="A318" s="64" t="s">
        <v>1709</v>
      </c>
      <c r="B318" s="63" t="s">
        <v>1713</v>
      </c>
      <c r="C318" s="65" t="s">
        <v>1217</v>
      </c>
      <c r="D318" s="64" t="s">
        <v>446</v>
      </c>
      <c r="E318" s="64" t="s">
        <v>203</v>
      </c>
      <c r="F318" s="64" t="s">
        <v>1769</v>
      </c>
      <c r="G318" s="74">
        <v>70</v>
      </c>
      <c r="H318" s="72">
        <v>80</v>
      </c>
      <c r="I318" s="73">
        <v>-10</v>
      </c>
    </row>
    <row r="319" spans="1:9" x14ac:dyDescent="0.25">
      <c r="A319" s="64" t="s">
        <v>1709</v>
      </c>
      <c r="B319" s="63" t="s">
        <v>1713</v>
      </c>
      <c r="C319" s="65" t="s">
        <v>1228</v>
      </c>
      <c r="D319" s="64" t="s">
        <v>105</v>
      </c>
      <c r="E319" s="64" t="s">
        <v>203</v>
      </c>
      <c r="F319" s="64" t="s">
        <v>1769</v>
      </c>
      <c r="G319" s="74">
        <v>70</v>
      </c>
      <c r="H319" s="72">
        <v>80</v>
      </c>
      <c r="I319" s="73">
        <v>-10</v>
      </c>
    </row>
    <row r="320" spans="1:9" x14ac:dyDescent="0.25">
      <c r="A320" s="64" t="s">
        <v>1709</v>
      </c>
      <c r="B320" s="63" t="s">
        <v>1713</v>
      </c>
      <c r="C320" s="65" t="s">
        <v>1441</v>
      </c>
      <c r="D320" s="64" t="s">
        <v>1442</v>
      </c>
      <c r="E320" s="64" t="s">
        <v>538</v>
      </c>
      <c r="F320" s="64" t="s">
        <v>1768</v>
      </c>
      <c r="G320" s="71">
        <v>100</v>
      </c>
      <c r="H320" s="72">
        <v>100</v>
      </c>
      <c r="I320" s="73">
        <v>0</v>
      </c>
    </row>
    <row r="321" spans="1:9" x14ac:dyDescent="0.25">
      <c r="A321" s="64" t="s">
        <v>1709</v>
      </c>
      <c r="B321" s="63" t="s">
        <v>1713</v>
      </c>
      <c r="C321" s="65" t="s">
        <v>1421</v>
      </c>
      <c r="D321" s="64" t="s">
        <v>539</v>
      </c>
      <c r="E321" s="64" t="s">
        <v>538</v>
      </c>
      <c r="F321" s="64" t="s">
        <v>1770</v>
      </c>
      <c r="G321" s="71">
        <v>85</v>
      </c>
      <c r="H321" s="72">
        <v>100</v>
      </c>
      <c r="I321" s="73">
        <v>-15</v>
      </c>
    </row>
    <row r="322" spans="1:9" x14ac:dyDescent="0.25">
      <c r="A322" s="64" t="s">
        <v>1709</v>
      </c>
      <c r="B322" s="63" t="s">
        <v>1713</v>
      </c>
      <c r="C322" s="65" t="s">
        <v>1432</v>
      </c>
      <c r="D322" s="64" t="s">
        <v>547</v>
      </c>
      <c r="E322" s="64" t="s">
        <v>538</v>
      </c>
      <c r="F322" s="64" t="s">
        <v>1769</v>
      </c>
      <c r="G322" s="74">
        <v>70</v>
      </c>
      <c r="H322" s="72">
        <v>100</v>
      </c>
      <c r="I322" s="73">
        <v>-30</v>
      </c>
    </row>
    <row r="323" spans="1:9" x14ac:dyDescent="0.25">
      <c r="A323" s="64" t="s">
        <v>1709</v>
      </c>
      <c r="B323" s="63" t="s">
        <v>1713</v>
      </c>
      <c r="C323" s="65" t="s">
        <v>1466</v>
      </c>
      <c r="D323" s="64" t="s">
        <v>564</v>
      </c>
      <c r="E323" s="64" t="s">
        <v>555</v>
      </c>
      <c r="F323" s="64" t="s">
        <v>1770</v>
      </c>
      <c r="G323" s="71">
        <v>85</v>
      </c>
      <c r="H323" s="72">
        <v>60</v>
      </c>
      <c r="I323" s="73">
        <v>25</v>
      </c>
    </row>
    <row r="324" spans="1:9" x14ac:dyDescent="0.25">
      <c r="A324" s="64" t="s">
        <v>1709</v>
      </c>
      <c r="B324" s="63" t="s">
        <v>1713</v>
      </c>
      <c r="C324" s="65" t="s">
        <v>1455</v>
      </c>
      <c r="D324" s="64" t="s">
        <v>556</v>
      </c>
      <c r="E324" s="64" t="s">
        <v>555</v>
      </c>
      <c r="F324" s="64" t="s">
        <v>1769</v>
      </c>
      <c r="G324" s="74">
        <v>60</v>
      </c>
      <c r="H324" s="72">
        <v>60</v>
      </c>
      <c r="I324" s="73">
        <v>0</v>
      </c>
    </row>
    <row r="325" spans="1:9" x14ac:dyDescent="0.25">
      <c r="A325" s="64" t="s">
        <v>1709</v>
      </c>
      <c r="B325" s="63" t="s">
        <v>1713</v>
      </c>
      <c r="C325" s="65" t="s">
        <v>1477</v>
      </c>
      <c r="D325" s="64" t="s">
        <v>1478</v>
      </c>
      <c r="E325" s="64" t="s">
        <v>555</v>
      </c>
      <c r="F325" s="64" t="s">
        <v>1769</v>
      </c>
      <c r="G325" s="74">
        <v>60</v>
      </c>
      <c r="H325" s="72">
        <v>60</v>
      </c>
      <c r="I325" s="73">
        <v>0</v>
      </c>
    </row>
    <row r="326" spans="1:9" x14ac:dyDescent="0.25">
      <c r="A326" s="64" t="s">
        <v>1709</v>
      </c>
      <c r="B326" s="63" t="s">
        <v>1716</v>
      </c>
      <c r="C326" s="65" t="s">
        <v>1312</v>
      </c>
      <c r="D326" s="64" t="s">
        <v>455</v>
      </c>
      <c r="E326" s="64" t="s">
        <v>454</v>
      </c>
      <c r="F326" s="64" t="s">
        <v>1770</v>
      </c>
      <c r="G326" s="71">
        <v>85</v>
      </c>
      <c r="H326" s="72">
        <v>20</v>
      </c>
      <c r="I326" s="73">
        <v>65</v>
      </c>
    </row>
    <row r="327" spans="1:9" x14ac:dyDescent="0.25">
      <c r="A327" s="64" t="s">
        <v>1709</v>
      </c>
      <c r="B327" s="63" t="s">
        <v>1716</v>
      </c>
      <c r="C327" s="65" t="s">
        <v>1323</v>
      </c>
      <c r="D327" s="64" t="s">
        <v>463</v>
      </c>
      <c r="E327" s="64" t="s">
        <v>454</v>
      </c>
      <c r="F327" s="64" t="s">
        <v>1769</v>
      </c>
      <c r="G327" s="74">
        <v>20</v>
      </c>
      <c r="H327" s="72">
        <v>20</v>
      </c>
      <c r="I327" s="73">
        <v>0</v>
      </c>
    </row>
    <row r="328" spans="1:9" x14ac:dyDescent="0.25">
      <c r="A328" s="64" t="s">
        <v>1709</v>
      </c>
      <c r="B328" s="63" t="s">
        <v>1716</v>
      </c>
      <c r="C328" s="65" t="s">
        <v>1334</v>
      </c>
      <c r="D328" s="64" t="s">
        <v>642</v>
      </c>
      <c r="E328" s="64" t="s">
        <v>454</v>
      </c>
      <c r="F328" s="64" t="s">
        <v>1769</v>
      </c>
      <c r="G328" s="74">
        <v>20</v>
      </c>
      <c r="H328" s="72">
        <v>20</v>
      </c>
      <c r="I328" s="73">
        <v>0</v>
      </c>
    </row>
    <row r="329" spans="1:9" x14ac:dyDescent="0.25">
      <c r="A329" s="64" t="s">
        <v>1709</v>
      </c>
      <c r="B329" s="63" t="s">
        <v>1716</v>
      </c>
      <c r="C329" s="65" t="s">
        <v>1421</v>
      </c>
      <c r="D329" s="64" t="s">
        <v>539</v>
      </c>
      <c r="E329" s="64" t="s">
        <v>538</v>
      </c>
      <c r="F329" s="64" t="s">
        <v>1768</v>
      </c>
      <c r="G329" s="71">
        <v>100</v>
      </c>
      <c r="H329" s="72">
        <v>100</v>
      </c>
      <c r="I329" s="73">
        <v>0</v>
      </c>
    </row>
    <row r="330" spans="1:9" x14ac:dyDescent="0.25">
      <c r="A330" s="64" t="s">
        <v>1709</v>
      </c>
      <c r="B330" s="63" t="s">
        <v>1716</v>
      </c>
      <c r="C330" s="65" t="s">
        <v>1432</v>
      </c>
      <c r="D330" s="64" t="s">
        <v>547</v>
      </c>
      <c r="E330" s="64" t="s">
        <v>538</v>
      </c>
      <c r="F330" s="64" t="s">
        <v>1768</v>
      </c>
      <c r="G330" s="71">
        <v>100</v>
      </c>
      <c r="H330" s="72">
        <v>100</v>
      </c>
      <c r="I330" s="73">
        <v>0</v>
      </c>
    </row>
    <row r="331" spans="1:9" x14ac:dyDescent="0.25">
      <c r="A331" s="64" t="s">
        <v>1709</v>
      </c>
      <c r="B331" s="63" t="s">
        <v>1716</v>
      </c>
      <c r="C331" s="65" t="s">
        <v>1441</v>
      </c>
      <c r="D331" s="64" t="s">
        <v>1442</v>
      </c>
      <c r="E331" s="64" t="s">
        <v>538</v>
      </c>
      <c r="F331" s="64" t="s">
        <v>1770</v>
      </c>
      <c r="G331" s="71">
        <v>85</v>
      </c>
      <c r="H331" s="72">
        <v>100</v>
      </c>
      <c r="I331" s="73">
        <v>-15</v>
      </c>
    </row>
    <row r="332" spans="1:9" x14ac:dyDescent="0.25">
      <c r="A332" s="64" t="s">
        <v>622</v>
      </c>
      <c r="B332" s="63" t="s">
        <v>1722</v>
      </c>
      <c r="C332" s="65" t="s">
        <v>1217</v>
      </c>
      <c r="D332" s="64" t="s">
        <v>446</v>
      </c>
      <c r="E332" s="64" t="s">
        <v>203</v>
      </c>
      <c r="F332" s="64" t="s">
        <v>1770</v>
      </c>
      <c r="G332" s="71">
        <v>85</v>
      </c>
      <c r="H332" s="72">
        <v>60</v>
      </c>
      <c r="I332" s="73">
        <v>25</v>
      </c>
    </row>
    <row r="333" spans="1:9" x14ac:dyDescent="0.25">
      <c r="A333" s="64" t="s">
        <v>622</v>
      </c>
      <c r="B333" s="63" t="s">
        <v>1722</v>
      </c>
      <c r="C333" s="65" t="s">
        <v>1203</v>
      </c>
      <c r="D333" s="64" t="s">
        <v>207</v>
      </c>
      <c r="E333" s="64" t="s">
        <v>203</v>
      </c>
      <c r="F333" s="64" t="s">
        <v>1769</v>
      </c>
      <c r="G333" s="74">
        <v>60</v>
      </c>
      <c r="H333" s="72">
        <v>60</v>
      </c>
      <c r="I333" s="73">
        <v>0</v>
      </c>
    </row>
    <row r="334" spans="1:9" x14ac:dyDescent="0.25">
      <c r="A334" s="64" t="s">
        <v>622</v>
      </c>
      <c r="B334" s="63" t="s">
        <v>1722</v>
      </c>
      <c r="C334" s="65" t="s">
        <v>1228</v>
      </c>
      <c r="D334" s="64" t="s">
        <v>105</v>
      </c>
      <c r="E334" s="64" t="s">
        <v>203</v>
      </c>
      <c r="F334" s="64" t="s">
        <v>1769</v>
      </c>
      <c r="G334" s="74">
        <v>60</v>
      </c>
      <c r="H334" s="72">
        <v>60</v>
      </c>
      <c r="I334" s="73">
        <v>0</v>
      </c>
    </row>
    <row r="335" spans="1:9" x14ac:dyDescent="0.25">
      <c r="A335" s="64" t="s">
        <v>622</v>
      </c>
      <c r="B335" s="63" t="s">
        <v>1722</v>
      </c>
      <c r="C335" s="65" t="s">
        <v>1455</v>
      </c>
      <c r="D335" s="64" t="s">
        <v>556</v>
      </c>
      <c r="E335" s="64" t="s">
        <v>555</v>
      </c>
      <c r="F335" s="64" t="s">
        <v>1770</v>
      </c>
      <c r="G335" s="71">
        <v>85</v>
      </c>
      <c r="H335" s="72">
        <v>80</v>
      </c>
      <c r="I335" s="73">
        <v>5</v>
      </c>
    </row>
    <row r="336" spans="1:9" x14ac:dyDescent="0.25">
      <c r="A336" s="64" t="s">
        <v>622</v>
      </c>
      <c r="B336" s="63" t="s">
        <v>1722</v>
      </c>
      <c r="C336" s="65" t="s">
        <v>1466</v>
      </c>
      <c r="D336" s="64" t="s">
        <v>564</v>
      </c>
      <c r="E336" s="64" t="s">
        <v>555</v>
      </c>
      <c r="F336" s="64" t="s">
        <v>1769</v>
      </c>
      <c r="G336" s="74">
        <v>70</v>
      </c>
      <c r="H336" s="72">
        <v>80</v>
      </c>
      <c r="I336" s="73">
        <v>-10</v>
      </c>
    </row>
    <row r="337" spans="1:9" x14ac:dyDescent="0.25">
      <c r="A337" s="64" t="s">
        <v>622</v>
      </c>
      <c r="B337" s="63" t="s">
        <v>1722</v>
      </c>
      <c r="C337" s="65" t="s">
        <v>1477</v>
      </c>
      <c r="D337" s="64" t="s">
        <v>1478</v>
      </c>
      <c r="E337" s="64" t="s">
        <v>555</v>
      </c>
      <c r="F337" s="64" t="s">
        <v>1769</v>
      </c>
      <c r="G337" s="74">
        <v>70</v>
      </c>
      <c r="H337" s="72">
        <v>80</v>
      </c>
      <c r="I337" s="73">
        <v>-10</v>
      </c>
    </row>
    <row r="338" spans="1:9" x14ac:dyDescent="0.25">
      <c r="A338" s="64" t="s">
        <v>622</v>
      </c>
      <c r="B338" s="63" t="s">
        <v>1722</v>
      </c>
      <c r="C338" s="65" t="s">
        <v>1610</v>
      </c>
      <c r="D338" s="64" t="s">
        <v>630</v>
      </c>
      <c r="E338" s="64" t="s">
        <v>622</v>
      </c>
      <c r="F338" s="64" t="s">
        <v>1768</v>
      </c>
      <c r="G338" s="71">
        <v>100</v>
      </c>
      <c r="H338" s="72">
        <v>100</v>
      </c>
      <c r="I338" s="73">
        <v>0</v>
      </c>
    </row>
    <row r="339" spans="1:9" x14ac:dyDescent="0.25">
      <c r="A339" s="64" t="s">
        <v>622</v>
      </c>
      <c r="B339" s="63" t="s">
        <v>1722</v>
      </c>
      <c r="C339" s="65" t="s">
        <v>1600</v>
      </c>
      <c r="D339" s="64" t="s">
        <v>623</v>
      </c>
      <c r="E339" s="64" t="s">
        <v>622</v>
      </c>
      <c r="F339" s="64" t="s">
        <v>1770</v>
      </c>
      <c r="G339" s="71">
        <v>85</v>
      </c>
      <c r="H339" s="72">
        <v>100</v>
      </c>
      <c r="I339" s="73">
        <v>-15</v>
      </c>
    </row>
    <row r="340" spans="1:9" x14ac:dyDescent="0.25">
      <c r="A340" s="64" t="s">
        <v>622</v>
      </c>
      <c r="B340" s="63" t="s">
        <v>1722</v>
      </c>
      <c r="C340" s="65" t="s">
        <v>1621</v>
      </c>
      <c r="D340" s="64" t="s">
        <v>1622</v>
      </c>
      <c r="E340" s="64" t="s">
        <v>622</v>
      </c>
      <c r="F340" s="64" t="s">
        <v>1769</v>
      </c>
      <c r="G340" s="74">
        <v>70</v>
      </c>
      <c r="H340" s="72">
        <v>100</v>
      </c>
      <c r="I340" s="73">
        <v>-30</v>
      </c>
    </row>
    <row r="341" spans="1:9" x14ac:dyDescent="0.25">
      <c r="A341" s="64" t="s">
        <v>622</v>
      </c>
      <c r="B341" s="63" t="s">
        <v>1607</v>
      </c>
      <c r="C341" s="65" t="s">
        <v>1407</v>
      </c>
      <c r="D341" s="64" t="s">
        <v>1408</v>
      </c>
      <c r="E341" s="64" t="s">
        <v>521</v>
      </c>
      <c r="F341" s="64" t="s">
        <v>1770</v>
      </c>
      <c r="G341" s="71">
        <v>85</v>
      </c>
      <c r="H341" s="72">
        <v>80</v>
      </c>
      <c r="I341" s="73">
        <v>5</v>
      </c>
    </row>
    <row r="342" spans="1:9" x14ac:dyDescent="0.25">
      <c r="A342" s="64" t="s">
        <v>622</v>
      </c>
      <c r="B342" s="63" t="s">
        <v>1607</v>
      </c>
      <c r="C342" s="65" t="s">
        <v>1385</v>
      </c>
      <c r="D342" s="64" t="s">
        <v>522</v>
      </c>
      <c r="E342" s="64" t="s">
        <v>521</v>
      </c>
      <c r="F342" s="64" t="s">
        <v>1769</v>
      </c>
      <c r="G342" s="74">
        <v>70</v>
      </c>
      <c r="H342" s="72">
        <v>80</v>
      </c>
      <c r="I342" s="73">
        <v>-10</v>
      </c>
    </row>
    <row r="343" spans="1:9" x14ac:dyDescent="0.25">
      <c r="A343" s="64" t="s">
        <v>622</v>
      </c>
      <c r="B343" s="63" t="s">
        <v>1607</v>
      </c>
      <c r="C343" s="65" t="s">
        <v>1396</v>
      </c>
      <c r="D343" s="64" t="s">
        <v>530</v>
      </c>
      <c r="E343" s="64" t="s">
        <v>521</v>
      </c>
      <c r="F343" s="64" t="s">
        <v>1769</v>
      </c>
      <c r="G343" s="74">
        <v>70</v>
      </c>
      <c r="H343" s="72">
        <v>80</v>
      </c>
      <c r="I343" s="73">
        <v>-10</v>
      </c>
    </row>
    <row r="344" spans="1:9" x14ac:dyDescent="0.25">
      <c r="A344" s="64" t="s">
        <v>622</v>
      </c>
      <c r="B344" s="63" t="s">
        <v>1607</v>
      </c>
      <c r="C344" s="65" t="s">
        <v>1600</v>
      </c>
      <c r="D344" s="64" t="s">
        <v>623</v>
      </c>
      <c r="E344" s="64" t="s">
        <v>622</v>
      </c>
      <c r="F344" s="64" t="s">
        <v>1768</v>
      </c>
      <c r="G344" s="71">
        <v>100</v>
      </c>
      <c r="H344" s="72">
        <v>100</v>
      </c>
      <c r="I344" s="73">
        <v>0</v>
      </c>
    </row>
    <row r="345" spans="1:9" x14ac:dyDescent="0.25">
      <c r="A345" s="64" t="s">
        <v>622</v>
      </c>
      <c r="B345" s="63" t="s">
        <v>1607</v>
      </c>
      <c r="C345" s="65" t="s">
        <v>1621</v>
      </c>
      <c r="D345" s="64" t="s">
        <v>1622</v>
      </c>
      <c r="E345" s="64" t="s">
        <v>622</v>
      </c>
      <c r="F345" s="64" t="s">
        <v>1770</v>
      </c>
      <c r="G345" s="71">
        <v>85</v>
      </c>
      <c r="H345" s="72">
        <v>100</v>
      </c>
      <c r="I345" s="73">
        <v>-15</v>
      </c>
    </row>
    <row r="346" spans="1:9" x14ac:dyDescent="0.25">
      <c r="A346" s="64" t="s">
        <v>622</v>
      </c>
      <c r="B346" s="63" t="s">
        <v>1607</v>
      </c>
      <c r="C346" s="65" t="s">
        <v>1610</v>
      </c>
      <c r="D346" s="64" t="s">
        <v>630</v>
      </c>
      <c r="E346" s="64" t="s">
        <v>622</v>
      </c>
      <c r="F346" s="64" t="s">
        <v>1769</v>
      </c>
      <c r="G346" s="74">
        <v>70</v>
      </c>
      <c r="H346" s="72">
        <v>100</v>
      </c>
      <c r="I346" s="73">
        <v>-30</v>
      </c>
    </row>
    <row r="347" spans="1:9" x14ac:dyDescent="0.25">
      <c r="A347" s="64" t="s">
        <v>607</v>
      </c>
      <c r="B347" s="63" t="s">
        <v>1730</v>
      </c>
      <c r="C347" s="65" t="s">
        <v>1421</v>
      </c>
      <c r="D347" s="64" t="s">
        <v>539</v>
      </c>
      <c r="E347" s="64" t="s">
        <v>538</v>
      </c>
      <c r="F347" s="64" t="s">
        <v>1770</v>
      </c>
      <c r="G347" s="71">
        <v>85</v>
      </c>
      <c r="H347" s="72">
        <v>60</v>
      </c>
      <c r="I347" s="73">
        <v>25</v>
      </c>
    </row>
    <row r="348" spans="1:9" x14ac:dyDescent="0.25">
      <c r="A348" s="64" t="s">
        <v>607</v>
      </c>
      <c r="B348" s="63" t="s">
        <v>1730</v>
      </c>
      <c r="C348" s="65" t="s">
        <v>1432</v>
      </c>
      <c r="D348" s="64" t="s">
        <v>547</v>
      </c>
      <c r="E348" s="64" t="s">
        <v>538</v>
      </c>
      <c r="F348" s="64" t="s">
        <v>1769</v>
      </c>
      <c r="G348" s="74">
        <v>60</v>
      </c>
      <c r="H348" s="72">
        <v>60</v>
      </c>
      <c r="I348" s="73">
        <v>0</v>
      </c>
    </row>
    <row r="349" spans="1:9" x14ac:dyDescent="0.25">
      <c r="A349" s="64" t="s">
        <v>607</v>
      </c>
      <c r="B349" s="63" t="s">
        <v>1730</v>
      </c>
      <c r="C349" s="65" t="s">
        <v>1441</v>
      </c>
      <c r="D349" s="64" t="s">
        <v>1442</v>
      </c>
      <c r="E349" s="64" t="s">
        <v>538</v>
      </c>
      <c r="F349" s="64" t="s">
        <v>1769</v>
      </c>
      <c r="G349" s="74">
        <v>60</v>
      </c>
      <c r="H349" s="72">
        <v>60</v>
      </c>
      <c r="I349" s="73">
        <v>0</v>
      </c>
    </row>
    <row r="350" spans="1:9" x14ac:dyDescent="0.25">
      <c r="A350" s="64" t="s">
        <v>607</v>
      </c>
      <c r="B350" s="63" t="s">
        <v>1730</v>
      </c>
      <c r="C350" s="65" t="s">
        <v>1564</v>
      </c>
      <c r="D350" s="64" t="s">
        <v>608</v>
      </c>
      <c r="E350" s="64" t="s">
        <v>607</v>
      </c>
      <c r="F350" s="64" t="s">
        <v>1768</v>
      </c>
      <c r="G350" s="71">
        <v>100</v>
      </c>
      <c r="H350" s="72">
        <v>100</v>
      </c>
      <c r="I350" s="73">
        <v>0</v>
      </c>
    </row>
    <row r="351" spans="1:9" x14ac:dyDescent="0.25">
      <c r="A351" s="64" t="s">
        <v>607</v>
      </c>
      <c r="B351" s="63" t="s">
        <v>1730</v>
      </c>
      <c r="C351" s="65" t="s">
        <v>1585</v>
      </c>
      <c r="D351" s="64" t="s">
        <v>1586</v>
      </c>
      <c r="E351" s="64" t="s">
        <v>607</v>
      </c>
      <c r="F351" s="64" t="s">
        <v>1768</v>
      </c>
      <c r="G351" s="71">
        <v>100</v>
      </c>
      <c r="H351" s="72">
        <v>100</v>
      </c>
      <c r="I351" s="73">
        <v>0</v>
      </c>
    </row>
    <row r="352" spans="1:9" x14ac:dyDescent="0.25">
      <c r="A352" s="64" t="s">
        <v>607</v>
      </c>
      <c r="B352" s="63" t="s">
        <v>1730</v>
      </c>
      <c r="C352" s="65" t="s">
        <v>1574</v>
      </c>
      <c r="D352" s="64" t="s">
        <v>615</v>
      </c>
      <c r="E352" s="64" t="s">
        <v>607</v>
      </c>
      <c r="F352" s="64" t="s">
        <v>1770</v>
      </c>
      <c r="G352" s="71">
        <v>85</v>
      </c>
      <c r="H352" s="72">
        <v>100</v>
      </c>
      <c r="I352" s="73">
        <v>-15</v>
      </c>
    </row>
    <row r="353" spans="1:9" x14ac:dyDescent="0.25">
      <c r="A353" s="64" t="s">
        <v>607</v>
      </c>
      <c r="B353" s="63" t="s">
        <v>1734</v>
      </c>
      <c r="C353" s="65" t="s">
        <v>1277</v>
      </c>
      <c r="D353" s="64" t="s">
        <v>403</v>
      </c>
      <c r="E353" s="64" t="s">
        <v>201</v>
      </c>
      <c r="F353" s="64" t="s">
        <v>1770</v>
      </c>
      <c r="G353" s="71">
        <v>85</v>
      </c>
      <c r="H353" s="72">
        <v>80</v>
      </c>
      <c r="I353" s="73">
        <v>5</v>
      </c>
    </row>
    <row r="354" spans="1:9" x14ac:dyDescent="0.25">
      <c r="A354" s="64" t="s">
        <v>607</v>
      </c>
      <c r="B354" s="63" t="s">
        <v>1734</v>
      </c>
      <c r="C354" s="65" t="s">
        <v>1287</v>
      </c>
      <c r="D354" s="64" t="s">
        <v>103</v>
      </c>
      <c r="E354" s="64" t="s">
        <v>201</v>
      </c>
      <c r="F354" s="64" t="s">
        <v>1769</v>
      </c>
      <c r="G354" s="74">
        <v>70</v>
      </c>
      <c r="H354" s="72">
        <v>80</v>
      </c>
      <c r="I354" s="73">
        <v>-10</v>
      </c>
    </row>
    <row r="355" spans="1:9" x14ac:dyDescent="0.25">
      <c r="A355" s="64" t="s">
        <v>607</v>
      </c>
      <c r="B355" s="63" t="s">
        <v>1734</v>
      </c>
      <c r="C355" s="65" t="s">
        <v>1297</v>
      </c>
      <c r="D355" s="64" t="s">
        <v>1298</v>
      </c>
      <c r="E355" s="64" t="s">
        <v>201</v>
      </c>
      <c r="F355" s="64" t="s">
        <v>1769</v>
      </c>
      <c r="G355" s="74">
        <v>70</v>
      </c>
      <c r="H355" s="72">
        <v>80</v>
      </c>
      <c r="I355" s="73">
        <v>-10</v>
      </c>
    </row>
    <row r="356" spans="1:9" x14ac:dyDescent="0.25">
      <c r="A356" s="64" t="s">
        <v>607</v>
      </c>
      <c r="B356" s="63" t="s">
        <v>1734</v>
      </c>
      <c r="C356" s="65" t="s">
        <v>1312</v>
      </c>
      <c r="D356" s="64" t="s">
        <v>455</v>
      </c>
      <c r="E356" s="64" t="s">
        <v>454</v>
      </c>
      <c r="F356" s="64" t="s">
        <v>1770</v>
      </c>
      <c r="G356" s="71">
        <v>85</v>
      </c>
      <c r="H356" s="72">
        <v>40</v>
      </c>
      <c r="I356" s="73">
        <v>45</v>
      </c>
    </row>
    <row r="357" spans="1:9" x14ac:dyDescent="0.25">
      <c r="A357" s="64" t="s">
        <v>607</v>
      </c>
      <c r="B357" s="63" t="s">
        <v>1734</v>
      </c>
      <c r="C357" s="65" t="s">
        <v>1323</v>
      </c>
      <c r="D357" s="64" t="s">
        <v>463</v>
      </c>
      <c r="E357" s="64" t="s">
        <v>454</v>
      </c>
      <c r="F357" s="64" t="s">
        <v>1769</v>
      </c>
      <c r="G357" s="74">
        <v>40</v>
      </c>
      <c r="H357" s="72">
        <v>40</v>
      </c>
      <c r="I357" s="73">
        <v>0</v>
      </c>
    </row>
    <row r="358" spans="1:9" x14ac:dyDescent="0.25">
      <c r="A358" s="64" t="s">
        <v>607</v>
      </c>
      <c r="B358" s="63" t="s">
        <v>1734</v>
      </c>
      <c r="C358" s="65" t="s">
        <v>1334</v>
      </c>
      <c r="D358" s="64" t="s">
        <v>642</v>
      </c>
      <c r="E358" s="64" t="s">
        <v>454</v>
      </c>
      <c r="F358" s="64" t="s">
        <v>1769</v>
      </c>
      <c r="G358" s="74">
        <v>40</v>
      </c>
      <c r="H358" s="72">
        <v>40</v>
      </c>
      <c r="I358" s="73">
        <v>0</v>
      </c>
    </row>
    <row r="359" spans="1:9" x14ac:dyDescent="0.25">
      <c r="A359" s="64" t="s">
        <v>607</v>
      </c>
      <c r="B359" s="63" t="s">
        <v>1734</v>
      </c>
      <c r="C359" s="65" t="s">
        <v>1574</v>
      </c>
      <c r="D359" s="64" t="s">
        <v>615</v>
      </c>
      <c r="E359" s="64" t="s">
        <v>607</v>
      </c>
      <c r="F359" s="64" t="s">
        <v>1768</v>
      </c>
      <c r="G359" s="71">
        <v>100</v>
      </c>
      <c r="H359" s="72">
        <v>100</v>
      </c>
      <c r="I359" s="73">
        <v>0</v>
      </c>
    </row>
    <row r="360" spans="1:9" x14ac:dyDescent="0.25">
      <c r="A360" s="64" t="s">
        <v>607</v>
      </c>
      <c r="B360" s="63" t="s">
        <v>1734</v>
      </c>
      <c r="C360" s="65" t="s">
        <v>1585</v>
      </c>
      <c r="D360" s="64" t="s">
        <v>1586</v>
      </c>
      <c r="E360" s="64" t="s">
        <v>607</v>
      </c>
      <c r="F360" s="64" t="s">
        <v>1770</v>
      </c>
      <c r="G360" s="71">
        <v>85</v>
      </c>
      <c r="H360" s="72">
        <v>100</v>
      </c>
      <c r="I360" s="73">
        <v>-15</v>
      </c>
    </row>
    <row r="361" spans="1:9" x14ac:dyDescent="0.25">
      <c r="A361" s="64" t="s">
        <v>607</v>
      </c>
      <c r="B361" s="63" t="s">
        <v>1734</v>
      </c>
      <c r="C361" s="65" t="s">
        <v>1564</v>
      </c>
      <c r="D361" s="64" t="s">
        <v>608</v>
      </c>
      <c r="E361" s="64" t="s">
        <v>607</v>
      </c>
      <c r="F361" s="64" t="s">
        <v>1769</v>
      </c>
      <c r="G361" s="74">
        <v>70</v>
      </c>
      <c r="H361" s="72">
        <v>100</v>
      </c>
      <c r="I361" s="73">
        <v>-30</v>
      </c>
    </row>
    <row r="362" spans="1:9" x14ac:dyDescent="0.25">
      <c r="A362" s="64" t="s">
        <v>1738</v>
      </c>
      <c r="B362" s="63" t="s">
        <v>1742</v>
      </c>
      <c r="C362" s="65" t="s">
        <v>1492</v>
      </c>
      <c r="D362" s="64" t="s">
        <v>575</v>
      </c>
      <c r="E362" s="64" t="s">
        <v>574</v>
      </c>
      <c r="F362" s="64" t="s">
        <v>1770</v>
      </c>
      <c r="G362" s="71">
        <v>85</v>
      </c>
      <c r="H362" s="72">
        <v>100</v>
      </c>
      <c r="I362" s="73">
        <v>-15</v>
      </c>
    </row>
    <row r="363" spans="1:9" x14ac:dyDescent="0.25">
      <c r="A363" s="64" t="s">
        <v>1738</v>
      </c>
      <c r="B363" s="63" t="s">
        <v>1742</v>
      </c>
      <c r="C363" s="65" t="s">
        <v>1503</v>
      </c>
      <c r="D363" s="64" t="s">
        <v>582</v>
      </c>
      <c r="E363" s="64" t="s">
        <v>574</v>
      </c>
      <c r="F363" s="64" t="s">
        <v>1769</v>
      </c>
      <c r="G363" s="74">
        <v>70</v>
      </c>
      <c r="H363" s="72">
        <v>100</v>
      </c>
      <c r="I363" s="73">
        <v>-30</v>
      </c>
    </row>
    <row r="364" spans="1:9" x14ac:dyDescent="0.25">
      <c r="A364" s="64" t="s">
        <v>1738</v>
      </c>
      <c r="B364" s="63" t="s">
        <v>1742</v>
      </c>
      <c r="C364" s="65" t="s">
        <v>1514</v>
      </c>
      <c r="D364" s="64" t="s">
        <v>1515</v>
      </c>
      <c r="E364" s="64" t="s">
        <v>574</v>
      </c>
      <c r="F364" s="64" t="s">
        <v>1769</v>
      </c>
      <c r="G364" s="74">
        <v>70</v>
      </c>
      <c r="H364" s="72">
        <v>100</v>
      </c>
      <c r="I364" s="73">
        <v>-30</v>
      </c>
    </row>
    <row r="365" spans="1:9" x14ac:dyDescent="0.25">
      <c r="A365" s="64" t="s">
        <v>1738</v>
      </c>
      <c r="B365" s="63" t="s">
        <v>1742</v>
      </c>
      <c r="C365" s="65" t="s">
        <v>1529</v>
      </c>
      <c r="D365" s="64" t="s">
        <v>590</v>
      </c>
      <c r="E365" s="64" t="s">
        <v>589</v>
      </c>
      <c r="F365" s="64" t="s">
        <v>1768</v>
      </c>
      <c r="G365" s="71">
        <v>100</v>
      </c>
      <c r="H365" s="72">
        <v>100</v>
      </c>
      <c r="I365" s="73">
        <v>0</v>
      </c>
    </row>
    <row r="366" spans="1:9" x14ac:dyDescent="0.25">
      <c r="A366" s="64" t="s">
        <v>1738</v>
      </c>
      <c r="B366" s="63" t="s">
        <v>1742</v>
      </c>
      <c r="C366" s="65" t="s">
        <v>1550</v>
      </c>
      <c r="D366" s="64" t="s">
        <v>1551</v>
      </c>
      <c r="E366" s="64" t="s">
        <v>589</v>
      </c>
      <c r="F366" s="64" t="s">
        <v>1768</v>
      </c>
      <c r="G366" s="71">
        <v>100</v>
      </c>
      <c r="H366" s="72">
        <v>100</v>
      </c>
      <c r="I366" s="73">
        <v>0</v>
      </c>
    </row>
    <row r="367" spans="1:9" x14ac:dyDescent="0.25">
      <c r="A367" s="64" t="s">
        <v>1738</v>
      </c>
      <c r="B367" s="63" t="s">
        <v>1742</v>
      </c>
      <c r="C367" s="65" t="s">
        <v>1539</v>
      </c>
      <c r="D367" s="64" t="s">
        <v>597</v>
      </c>
      <c r="E367" s="64" t="s">
        <v>589</v>
      </c>
      <c r="F367" s="64" t="s">
        <v>1770</v>
      </c>
      <c r="G367" s="71">
        <v>85</v>
      </c>
      <c r="H367" s="72">
        <v>100</v>
      </c>
      <c r="I367" s="73">
        <v>-15</v>
      </c>
    </row>
    <row r="368" spans="1:9" x14ac:dyDescent="0.25">
      <c r="A368" s="64" t="s">
        <v>1738</v>
      </c>
      <c r="B368" s="63" t="s">
        <v>1745</v>
      </c>
      <c r="C368" s="65" t="s">
        <v>1385</v>
      </c>
      <c r="D368" s="64" t="s">
        <v>522</v>
      </c>
      <c r="E368" s="64" t="s">
        <v>521</v>
      </c>
      <c r="F368" s="64" t="s">
        <v>1770</v>
      </c>
      <c r="G368" s="71">
        <v>85</v>
      </c>
      <c r="H368" s="72">
        <v>60</v>
      </c>
      <c r="I368" s="73">
        <v>25</v>
      </c>
    </row>
    <row r="369" spans="1:9" x14ac:dyDescent="0.25">
      <c r="A369" s="64" t="s">
        <v>1738</v>
      </c>
      <c r="B369" s="63" t="s">
        <v>1745</v>
      </c>
      <c r="C369" s="65" t="s">
        <v>1396</v>
      </c>
      <c r="D369" s="64" t="s">
        <v>530</v>
      </c>
      <c r="E369" s="64" t="s">
        <v>521</v>
      </c>
      <c r="F369" s="64" t="s">
        <v>1769</v>
      </c>
      <c r="G369" s="74">
        <v>60</v>
      </c>
      <c r="H369" s="72">
        <v>60</v>
      </c>
      <c r="I369" s="73">
        <v>0</v>
      </c>
    </row>
    <row r="370" spans="1:9" x14ac:dyDescent="0.25">
      <c r="A370" s="64" t="s">
        <v>1738</v>
      </c>
      <c r="B370" s="63" t="s">
        <v>1745</v>
      </c>
      <c r="C370" s="65" t="s">
        <v>1407</v>
      </c>
      <c r="D370" s="64" t="s">
        <v>1408</v>
      </c>
      <c r="E370" s="64" t="s">
        <v>521</v>
      </c>
      <c r="F370" s="64" t="s">
        <v>1769</v>
      </c>
      <c r="G370" s="74">
        <v>60</v>
      </c>
      <c r="H370" s="72">
        <v>60</v>
      </c>
      <c r="I370" s="73">
        <v>0</v>
      </c>
    </row>
    <row r="371" spans="1:9" x14ac:dyDescent="0.25">
      <c r="A371" s="64" t="s">
        <v>1738</v>
      </c>
      <c r="B371" s="63" t="s">
        <v>1745</v>
      </c>
      <c r="C371" s="65" t="s">
        <v>1503</v>
      </c>
      <c r="D371" s="64" t="s">
        <v>582</v>
      </c>
      <c r="E371" s="64" t="s">
        <v>574</v>
      </c>
      <c r="F371" s="64" t="s">
        <v>1768</v>
      </c>
      <c r="G371" s="71">
        <v>100</v>
      </c>
      <c r="H371" s="72">
        <v>100</v>
      </c>
      <c r="I371" s="73">
        <v>0</v>
      </c>
    </row>
    <row r="372" spans="1:9" x14ac:dyDescent="0.25">
      <c r="A372" s="64" t="s">
        <v>1738</v>
      </c>
      <c r="B372" s="63" t="s">
        <v>1745</v>
      </c>
      <c r="C372" s="65" t="s">
        <v>1514</v>
      </c>
      <c r="D372" s="64" t="s">
        <v>1515</v>
      </c>
      <c r="E372" s="64" t="s">
        <v>574</v>
      </c>
      <c r="F372" s="64" t="s">
        <v>1768</v>
      </c>
      <c r="G372" s="71">
        <v>100</v>
      </c>
      <c r="H372" s="72">
        <v>100</v>
      </c>
      <c r="I372" s="73">
        <v>0</v>
      </c>
    </row>
    <row r="373" spans="1:9" x14ac:dyDescent="0.25">
      <c r="A373" s="64" t="s">
        <v>1738</v>
      </c>
      <c r="B373" s="63" t="s">
        <v>1745</v>
      </c>
      <c r="C373" s="65" t="s">
        <v>1492</v>
      </c>
      <c r="D373" s="64" t="s">
        <v>575</v>
      </c>
      <c r="E373" s="64" t="s">
        <v>574</v>
      </c>
      <c r="F373" s="64" t="s">
        <v>1770</v>
      </c>
      <c r="G373" s="71">
        <v>85</v>
      </c>
      <c r="H373" s="72">
        <v>100</v>
      </c>
      <c r="I373" s="73">
        <v>-15</v>
      </c>
    </row>
    <row r="374" spans="1:9" x14ac:dyDescent="0.25">
      <c r="A374" s="64" t="s">
        <v>1749</v>
      </c>
      <c r="B374" s="63" t="s">
        <v>1753</v>
      </c>
      <c r="C374" s="65" t="s">
        <v>1217</v>
      </c>
      <c r="D374" s="64" t="s">
        <v>446</v>
      </c>
      <c r="E374" s="64" t="s">
        <v>203</v>
      </c>
      <c r="F374" s="64" t="s">
        <v>1770</v>
      </c>
      <c r="G374" s="71">
        <v>85</v>
      </c>
      <c r="H374" s="72">
        <v>60</v>
      </c>
      <c r="I374" s="73">
        <v>25</v>
      </c>
    </row>
    <row r="375" spans="1:9" x14ac:dyDescent="0.25">
      <c r="A375" s="64" t="s">
        <v>1749</v>
      </c>
      <c r="B375" s="63" t="s">
        <v>1753</v>
      </c>
      <c r="C375" s="65" t="s">
        <v>1203</v>
      </c>
      <c r="D375" s="64" t="s">
        <v>207</v>
      </c>
      <c r="E375" s="64" t="s">
        <v>203</v>
      </c>
      <c r="F375" s="64" t="s">
        <v>1769</v>
      </c>
      <c r="G375" s="74">
        <v>60</v>
      </c>
      <c r="H375" s="72">
        <v>60</v>
      </c>
      <c r="I375" s="73">
        <v>0</v>
      </c>
    </row>
    <row r="376" spans="1:9" x14ac:dyDescent="0.25">
      <c r="A376" s="64" t="s">
        <v>1749</v>
      </c>
      <c r="B376" s="63" t="s">
        <v>1753</v>
      </c>
      <c r="C376" s="65" t="s">
        <v>1228</v>
      </c>
      <c r="D376" s="64" t="s">
        <v>105</v>
      </c>
      <c r="E376" s="64" t="s">
        <v>203</v>
      </c>
      <c r="F376" s="64" t="s">
        <v>1769</v>
      </c>
      <c r="G376" s="74">
        <v>60</v>
      </c>
      <c r="H376" s="72">
        <v>60</v>
      </c>
      <c r="I376" s="73">
        <v>0</v>
      </c>
    </row>
    <row r="377" spans="1:9" x14ac:dyDescent="0.25">
      <c r="A377" s="64" t="s">
        <v>1749</v>
      </c>
      <c r="B377" s="63" t="s">
        <v>1753</v>
      </c>
      <c r="C377" s="65" t="s">
        <v>1241</v>
      </c>
      <c r="D377" s="64" t="s">
        <v>496</v>
      </c>
      <c r="E377" s="64" t="s">
        <v>487</v>
      </c>
      <c r="F377" s="64" t="s">
        <v>1770</v>
      </c>
      <c r="G377" s="71">
        <v>85</v>
      </c>
      <c r="H377" s="72">
        <v>60</v>
      </c>
      <c r="I377" s="73">
        <v>25</v>
      </c>
    </row>
    <row r="378" spans="1:9" x14ac:dyDescent="0.25">
      <c r="A378" s="64" t="s">
        <v>1749</v>
      </c>
      <c r="B378" s="63" t="s">
        <v>1753</v>
      </c>
      <c r="C378" s="65" t="s">
        <v>1251</v>
      </c>
      <c r="D378" s="64" t="s">
        <v>488</v>
      </c>
      <c r="E378" s="64" t="s">
        <v>487</v>
      </c>
      <c r="F378" s="64" t="s">
        <v>1769</v>
      </c>
      <c r="G378" s="74">
        <v>60</v>
      </c>
      <c r="H378" s="72">
        <v>60</v>
      </c>
      <c r="I378" s="73">
        <v>0</v>
      </c>
    </row>
    <row r="379" spans="1:9" x14ac:dyDescent="0.25">
      <c r="A379" s="64" t="s">
        <v>1749</v>
      </c>
      <c r="B379" s="63" t="s">
        <v>1753</v>
      </c>
      <c r="C379" s="65" t="s">
        <v>1262</v>
      </c>
      <c r="D379" s="64" t="s">
        <v>1263</v>
      </c>
      <c r="E379" s="64" t="s">
        <v>487</v>
      </c>
      <c r="F379" s="64" t="s">
        <v>1769</v>
      </c>
      <c r="G379" s="74">
        <v>60</v>
      </c>
      <c r="H379" s="72">
        <v>60</v>
      </c>
      <c r="I379" s="73">
        <v>0</v>
      </c>
    </row>
    <row r="380" spans="1:9" x14ac:dyDescent="0.25">
      <c r="A380" s="64" t="s">
        <v>1749</v>
      </c>
      <c r="B380" s="63" t="s">
        <v>1753</v>
      </c>
      <c r="C380" s="65" t="s">
        <v>1466</v>
      </c>
      <c r="D380" s="64" t="s">
        <v>564</v>
      </c>
      <c r="E380" s="64" t="s">
        <v>555</v>
      </c>
      <c r="F380" s="64" t="s">
        <v>1768</v>
      </c>
      <c r="G380" s="71">
        <v>100</v>
      </c>
      <c r="H380" s="72">
        <v>100</v>
      </c>
      <c r="I380" s="73">
        <v>0</v>
      </c>
    </row>
    <row r="381" spans="1:9" x14ac:dyDescent="0.25">
      <c r="A381" s="64" t="s">
        <v>1749</v>
      </c>
      <c r="B381" s="63" t="s">
        <v>1753</v>
      </c>
      <c r="C381" s="65" t="s">
        <v>1477</v>
      </c>
      <c r="D381" s="64" t="s">
        <v>1478</v>
      </c>
      <c r="E381" s="64" t="s">
        <v>555</v>
      </c>
      <c r="F381" s="64" t="s">
        <v>1768</v>
      </c>
      <c r="G381" s="71">
        <v>100</v>
      </c>
      <c r="H381" s="72">
        <v>100</v>
      </c>
      <c r="I381" s="73">
        <v>0</v>
      </c>
    </row>
    <row r="382" spans="1:9" x14ac:dyDescent="0.25">
      <c r="A382" s="64" t="s">
        <v>1749</v>
      </c>
      <c r="B382" s="63" t="s">
        <v>1753</v>
      </c>
      <c r="C382" s="65" t="s">
        <v>1455</v>
      </c>
      <c r="D382" s="64" t="s">
        <v>556</v>
      </c>
      <c r="E382" s="64" t="s">
        <v>555</v>
      </c>
      <c r="F382" s="64" t="s">
        <v>1770</v>
      </c>
      <c r="G382" s="71">
        <v>85</v>
      </c>
      <c r="H382" s="72">
        <v>100</v>
      </c>
      <c r="I382" s="73">
        <v>-15</v>
      </c>
    </row>
    <row r="383" spans="1:9" x14ac:dyDescent="0.25">
      <c r="A383" s="64" t="s">
        <v>1749</v>
      </c>
      <c r="B383" s="63" t="s">
        <v>1757</v>
      </c>
      <c r="C383" s="65" t="s">
        <v>1124</v>
      </c>
      <c r="D383" s="64" t="s">
        <v>104</v>
      </c>
      <c r="E383" s="64" t="s">
        <v>202</v>
      </c>
      <c r="F383" s="64" t="s">
        <v>1770</v>
      </c>
      <c r="G383" s="71">
        <v>85</v>
      </c>
      <c r="H383" s="72">
        <v>60</v>
      </c>
      <c r="I383" s="73">
        <v>25</v>
      </c>
    </row>
    <row r="384" spans="1:9" x14ac:dyDescent="0.25">
      <c r="A384" s="64" t="s">
        <v>1749</v>
      </c>
      <c r="B384" s="63" t="s">
        <v>1757</v>
      </c>
      <c r="C384" s="65" t="s">
        <v>1139</v>
      </c>
      <c r="D384" s="64" t="s">
        <v>428</v>
      </c>
      <c r="E384" s="64" t="s">
        <v>202</v>
      </c>
      <c r="F384" s="64" t="s">
        <v>1769</v>
      </c>
      <c r="G384" s="74">
        <v>60</v>
      </c>
      <c r="H384" s="72">
        <v>60</v>
      </c>
      <c r="I384" s="73">
        <v>0</v>
      </c>
    </row>
    <row r="385" spans="1:9" x14ac:dyDescent="0.25">
      <c r="A385" s="64" t="s">
        <v>1749</v>
      </c>
      <c r="B385" s="63" t="s">
        <v>1757</v>
      </c>
      <c r="C385" s="65" t="s">
        <v>1154</v>
      </c>
      <c r="D385" s="64" t="s">
        <v>1155</v>
      </c>
      <c r="E385" s="64" t="s">
        <v>202</v>
      </c>
      <c r="F385" s="64" t="s">
        <v>1769</v>
      </c>
      <c r="G385" s="74">
        <v>60</v>
      </c>
      <c r="H385" s="72">
        <v>60</v>
      </c>
      <c r="I385" s="73">
        <v>0</v>
      </c>
    </row>
    <row r="386" spans="1:9" x14ac:dyDescent="0.25">
      <c r="A386" s="64" t="s">
        <v>1749</v>
      </c>
      <c r="B386" s="63" t="s">
        <v>1757</v>
      </c>
      <c r="C386" s="65" t="s">
        <v>1455</v>
      </c>
      <c r="D386" s="64" t="s">
        <v>556</v>
      </c>
      <c r="E386" s="64" t="s">
        <v>555</v>
      </c>
      <c r="F386" s="64" t="s">
        <v>1768</v>
      </c>
      <c r="G386" s="71">
        <v>100</v>
      </c>
      <c r="H386" s="72">
        <v>100</v>
      </c>
      <c r="I386" s="73">
        <v>0</v>
      </c>
    </row>
    <row r="387" spans="1:9" x14ac:dyDescent="0.25">
      <c r="A387" s="64" t="s">
        <v>1749</v>
      </c>
      <c r="B387" s="63" t="s">
        <v>1757</v>
      </c>
      <c r="C387" s="65" t="s">
        <v>1477</v>
      </c>
      <c r="D387" s="64" t="s">
        <v>1478</v>
      </c>
      <c r="E387" s="64" t="s">
        <v>555</v>
      </c>
      <c r="F387" s="64" t="s">
        <v>1768</v>
      </c>
      <c r="G387" s="71">
        <v>100</v>
      </c>
      <c r="H387" s="72">
        <v>100</v>
      </c>
      <c r="I387" s="73">
        <v>0</v>
      </c>
    </row>
    <row r="388" spans="1:9" x14ac:dyDescent="0.25">
      <c r="A388" s="64" t="s">
        <v>1749</v>
      </c>
      <c r="B388" s="63" t="s">
        <v>1757</v>
      </c>
      <c r="C388" s="65" t="s">
        <v>1466</v>
      </c>
      <c r="D388" s="64" t="s">
        <v>564</v>
      </c>
      <c r="E388" s="64" t="s">
        <v>555</v>
      </c>
      <c r="F388" s="64" t="s">
        <v>1770</v>
      </c>
      <c r="G388" s="71">
        <v>85</v>
      </c>
      <c r="H388" s="72">
        <v>100</v>
      </c>
      <c r="I388" s="73">
        <v>-15</v>
      </c>
    </row>
    <row r="390" ht="18" customHeight="1" spans="1:9" x14ac:dyDescent="0.25">
      <c r="A390" s="26" t="s">
        <v>1771</v>
      </c>
      <c r="B390" s="26"/>
      <c r="C390" s="26"/>
      <c r="D390" s="26"/>
      <c r="E390" s="26"/>
      <c r="F390" s="26"/>
      <c r="G390" s="26"/>
      <c r="H390" s="26"/>
      <c r="I390" s="26"/>
    </row>
    <row r="391" ht="24" customHeight="1" spans="1:9" x14ac:dyDescent="0.25">
      <c r="A391" s="12" t="s">
        <v>1772</v>
      </c>
      <c r="B391" s="12" t="s">
        <v>1773</v>
      </c>
      <c r="C391" s="12" t="s">
        <v>1073</v>
      </c>
      <c r="D391" s="12" t="s">
        <v>1774</v>
      </c>
      <c r="E391" s="12" t="s">
        <v>1775</v>
      </c>
      <c r="F391" s="12" t="s">
        <v>1776</v>
      </c>
      <c r="G391" s="12"/>
      <c r="H391" s="12"/>
      <c r="I391" s="12"/>
    </row>
    <row r="392" spans="1:9" x14ac:dyDescent="0.25">
      <c r="A392" s="63" t="s">
        <v>521</v>
      </c>
      <c r="B392" s="75">
        <v>2522</v>
      </c>
      <c r="C392" s="76" t="s">
        <v>336</v>
      </c>
      <c r="D392" s="65" t="s">
        <v>1382</v>
      </c>
      <c r="E392" s="64" t="s">
        <v>521</v>
      </c>
      <c r="F392" s="64" t="s">
        <v>1777</v>
      </c>
      <c r="G392" s="64"/>
      <c r="H392" s="64"/>
      <c r="I392" s="64"/>
    </row>
    <row r="393" spans="1:9" x14ac:dyDescent="0.25">
      <c r="A393" s="63" t="s">
        <v>202</v>
      </c>
      <c r="B393" s="75">
        <v>1271</v>
      </c>
      <c r="C393" s="76" t="s">
        <v>336</v>
      </c>
      <c r="D393" s="65" t="s">
        <v>1121</v>
      </c>
      <c r="E393" s="64" t="s">
        <v>202</v>
      </c>
      <c r="F393" s="64" t="s">
        <v>1778</v>
      </c>
      <c r="G393" s="64"/>
      <c r="H393" s="64"/>
      <c r="I393" s="64"/>
    </row>
    <row r="394" spans="1:9" x14ac:dyDescent="0.25">
      <c r="A394" s="63" t="s">
        <v>1779</v>
      </c>
      <c r="B394" s="75">
        <v>581</v>
      </c>
      <c r="C394" s="76" t="s">
        <v>1780</v>
      </c>
      <c r="D394" s="65" t="s">
        <v>1455</v>
      </c>
      <c r="E394" s="64" t="s">
        <v>556</v>
      </c>
      <c r="F394" s="64" t="s">
        <v>1781</v>
      </c>
      <c r="G394" s="64"/>
      <c r="H394" s="64"/>
      <c r="I394" s="64"/>
    </row>
    <row r="395" spans="1:9" x14ac:dyDescent="0.25">
      <c r="A395" s="63" t="s">
        <v>574</v>
      </c>
      <c r="B395" s="75">
        <v>476</v>
      </c>
      <c r="C395" s="76" t="s">
        <v>336</v>
      </c>
      <c r="D395" s="65" t="s">
        <v>1489</v>
      </c>
      <c r="E395" s="64" t="s">
        <v>574</v>
      </c>
      <c r="F395" s="64" t="s">
        <v>1782</v>
      </c>
      <c r="G395" s="64"/>
      <c r="H395" s="64"/>
      <c r="I395" s="64"/>
    </row>
    <row r="396" spans="1:9" x14ac:dyDescent="0.25">
      <c r="A396" s="63" t="s">
        <v>1783</v>
      </c>
      <c r="B396" s="75">
        <v>150</v>
      </c>
      <c r="C396" s="76" t="s">
        <v>335</v>
      </c>
      <c r="D396" s="65" t="s">
        <v>737</v>
      </c>
      <c r="E396" s="64" t="s">
        <v>737</v>
      </c>
      <c r="F396" s="64" t="s">
        <v>1784</v>
      </c>
      <c r="G396" s="64"/>
      <c r="H396" s="64"/>
      <c r="I396" s="64"/>
    </row>
    <row r="397" spans="1:9" x14ac:dyDescent="0.25">
      <c r="A397" s="77" t="s">
        <v>1785</v>
      </c>
      <c r="B397" s="72" t="s">
        <v>1786</v>
      </c>
      <c r="C397" s="72" t="s">
        <v>1787</v>
      </c>
      <c r="D397" s="78" t="s">
        <v>737</v>
      </c>
      <c r="E397" s="79" t="s">
        <v>737</v>
      </c>
      <c r="F397" s="79" t="s">
        <v>1788</v>
      </c>
      <c r="G397" s="79"/>
      <c r="H397" s="79"/>
      <c r="I397" s="79"/>
    </row>
    <row r="399" ht="18" customHeight="1" spans="1:9" x14ac:dyDescent="0.25">
      <c r="A399" s="26" t="s">
        <v>1789</v>
      </c>
      <c r="B399" s="26"/>
      <c r="C399" s="26"/>
      <c r="D399" s="26"/>
      <c r="E399" s="26"/>
      <c r="F399" s="26"/>
      <c r="G399" s="26"/>
      <c r="H399" s="26"/>
      <c r="I399" s="26"/>
    </row>
    <row r="400" ht="24" customHeight="1" spans="1:9" x14ac:dyDescent="0.25">
      <c r="A400" s="12" t="s">
        <v>1790</v>
      </c>
      <c r="B400" s="12" t="s">
        <v>318</v>
      </c>
      <c r="C400" s="12"/>
      <c r="D400" s="12" t="s">
        <v>1791</v>
      </c>
      <c r="E400" s="12"/>
      <c r="F400" s="12"/>
      <c r="G400" s="12"/>
      <c r="H400" s="12"/>
      <c r="I400" s="12"/>
    </row>
    <row r="401" spans="1:9" x14ac:dyDescent="0.25">
      <c r="A401" s="63" t="s">
        <v>1792</v>
      </c>
      <c r="B401" s="63" t="s">
        <v>1793</v>
      </c>
      <c r="C401" s="63"/>
      <c r="D401" s="64" t="s">
        <v>1794</v>
      </c>
      <c r="E401" s="64"/>
      <c r="F401" s="64"/>
      <c r="G401" s="64"/>
      <c r="H401" s="64"/>
      <c r="I401" s="64"/>
    </row>
    <row r="402" spans="1:9" x14ac:dyDescent="0.25">
      <c r="A402" s="63" t="s">
        <v>1795</v>
      </c>
      <c r="B402" s="63" t="s">
        <v>1796</v>
      </c>
      <c r="C402" s="63"/>
      <c r="D402" s="64" t="s">
        <v>1797</v>
      </c>
      <c r="E402" s="64"/>
      <c r="F402" s="64"/>
      <c r="G402" s="64"/>
      <c r="H402" s="64"/>
      <c r="I402" s="64"/>
    </row>
    <row r="403" spans="1:9" x14ac:dyDescent="0.25">
      <c r="A403" s="63" t="s">
        <v>1798</v>
      </c>
      <c r="B403" s="63" t="s">
        <v>1799</v>
      </c>
      <c r="C403" s="63"/>
      <c r="D403" s="64" t="s">
        <v>1800</v>
      </c>
      <c r="E403" s="64"/>
      <c r="F403" s="64"/>
      <c r="G403" s="64"/>
      <c r="H403" s="64"/>
      <c r="I403" s="64"/>
    </row>
    <row r="404" spans="1:9" x14ac:dyDescent="0.25">
      <c r="A404" s="63" t="s">
        <v>1801</v>
      </c>
      <c r="B404" s="63" t="s">
        <v>1802</v>
      </c>
      <c r="C404" s="63"/>
      <c r="D404" s="64" t="s">
        <v>1803</v>
      </c>
      <c r="E404" s="64"/>
      <c r="F404" s="64"/>
      <c r="G404" s="64"/>
      <c r="H404" s="64"/>
      <c r="I404" s="64"/>
    </row>
    <row r="405" spans="1:9" x14ac:dyDescent="0.25">
      <c r="A405" s="63" t="s">
        <v>1804</v>
      </c>
      <c r="B405" s="63" t="s">
        <v>1805</v>
      </c>
      <c r="C405" s="63"/>
      <c r="D405" s="64" t="s">
        <v>1806</v>
      </c>
      <c r="E405" s="64"/>
      <c r="F405" s="64"/>
      <c r="G405" s="64"/>
      <c r="H405" s="64"/>
      <c r="I405" s="64"/>
    </row>
    <row r="406" spans="1:9" x14ac:dyDescent="0.25">
      <c r="A406" s="63" t="s">
        <v>1807</v>
      </c>
      <c r="B406" s="63" t="s">
        <v>1808</v>
      </c>
      <c r="C406" s="63"/>
      <c r="D406" s="64" t="s">
        <v>1809</v>
      </c>
      <c r="E406" s="64"/>
      <c r="F406" s="64"/>
      <c r="G406" s="64"/>
      <c r="H406" s="64"/>
      <c r="I406" s="64"/>
    </row>
    <row r="408" ht="18" customHeight="1" spans="1:9" x14ac:dyDescent="0.25">
      <c r="A408" s="26" t="s">
        <v>1810</v>
      </c>
      <c r="B408" s="26"/>
      <c r="C408" s="26"/>
      <c r="D408" s="26"/>
      <c r="E408" s="26"/>
      <c r="F408" s="26"/>
      <c r="G408" s="26"/>
      <c r="H408" s="26"/>
      <c r="I408" s="26"/>
    </row>
    <row r="409" spans="1:6" x14ac:dyDescent="0.25">
      <c r="A409" s="28" t="s">
        <v>1811</v>
      </c>
      <c r="B409" s="28"/>
      <c r="C409" s="28"/>
      <c r="D409" s="28"/>
      <c r="E409" s="28"/>
      <c r="F409" s="29">
        <f>COUNTIF($B$21:$B$163,"L1 Category")</f>
      </c>
    </row>
    <row r="410" spans="1:6" x14ac:dyDescent="0.25">
      <c r="A410" s="28" t="s">
        <v>1812</v>
      </c>
      <c r="B410" s="28"/>
      <c r="C410" s="28"/>
      <c r="D410" s="28"/>
      <c r="E410" s="28"/>
      <c r="F410" s="29">
        <f>COUNTIF($B$21:$B$163,"L2 Sub Category")</f>
      </c>
    </row>
    <row r="411" spans="1:6" x14ac:dyDescent="0.25">
      <c r="A411" s="28" t="s">
        <v>1813</v>
      </c>
      <c r="B411" s="28"/>
      <c r="C411" s="28"/>
      <c r="D411" s="28"/>
      <c r="E411" s="28"/>
      <c r="F411" s="29">
        <f>COUNTIF($B$21:$B$163,"L3 Content Topic")</f>
      </c>
    </row>
    <row r="412" spans="1:6" x14ac:dyDescent="0.25">
      <c r="A412" s="28" t="s">
        <v>1814</v>
      </c>
      <c r="B412" s="28"/>
      <c r="C412" s="28"/>
      <c r="D412" s="28"/>
      <c r="E412" s="28"/>
      <c r="F412" s="29">
        <f>COUNTA($A$21:$A$163)</f>
      </c>
    </row>
    <row r="413" spans="1:6" x14ac:dyDescent="0.25">
      <c r="A413" s="28" t="s">
        <v>1815</v>
      </c>
      <c r="B413" s="28"/>
      <c r="C413" s="28"/>
      <c r="D413" s="28"/>
      <c r="E413" s="28"/>
      <c r="F413" s="29">
        <f>COUNTIF($B$167:$B$202,"B1 Industry")</f>
      </c>
    </row>
    <row r="414" spans="1:6" x14ac:dyDescent="0.25">
      <c r="A414" s="28" t="s">
        <v>1816</v>
      </c>
      <c r="B414" s="28"/>
      <c r="C414" s="28"/>
      <c r="D414" s="28"/>
      <c r="E414" s="28"/>
      <c r="F414" s="29">
        <f>COUNTIF($B$167:$B$202,"B2 Niche")</f>
      </c>
    </row>
    <row r="415" spans="1:6" x14ac:dyDescent="0.25">
      <c r="A415" s="28" t="s">
        <v>1817</v>
      </c>
      <c r="B415" s="28"/>
      <c r="C415" s="28"/>
      <c r="D415" s="28"/>
      <c r="E415" s="28"/>
      <c r="F415" s="29">
        <f>COUNTA($A$206:$A$388)</f>
      </c>
    </row>
    <row r="416" spans="1:6" x14ac:dyDescent="0.25">
      <c r="A416" s="28" t="s">
        <v>1818</v>
      </c>
      <c r="B416" s="28"/>
      <c r="C416" s="28"/>
      <c r="D416" s="28"/>
      <c r="E416" s="28"/>
      <c r="F416" s="29">
        <f>COUNTIF($G$206:$G$388,100)</f>
      </c>
    </row>
    <row r="417" spans="1:6" x14ac:dyDescent="0.25">
      <c r="A417" s="28" t="s">
        <v>1819</v>
      </c>
      <c r="B417" s="28"/>
      <c r="C417" s="28"/>
      <c r="D417" s="28"/>
      <c r="E417" s="28"/>
      <c r="F417" s="29">
        <f>COUNTIF($G$206:$G$388,85)</f>
      </c>
    </row>
    <row r="418" spans="1:6" x14ac:dyDescent="0.25">
      <c r="A418" s="28" t="s">
        <v>1820</v>
      </c>
      <c r="B418" s="28"/>
      <c r="C418" s="28"/>
      <c r="D418" s="28"/>
      <c r="E418" s="28"/>
      <c r="F418" s="29">
        <f>COUNTIF($G$206:$G$388,"&lt;85")</f>
      </c>
    </row>
    <row r="419" spans="1:6" x14ac:dyDescent="0.25">
      <c r="A419" s="28" t="s">
        <v>1821</v>
      </c>
      <c r="B419" s="28"/>
      <c r="C419" s="28"/>
      <c r="D419" s="28"/>
      <c r="E419" s="28"/>
      <c r="F419" s="29">
        <f>COUNTIF($I$206:$I$388,"&gt;0")</f>
      </c>
    </row>
    <row r="420" spans="1:6" x14ac:dyDescent="0.25">
      <c r="A420" s="28" t="s">
        <v>1822</v>
      </c>
      <c r="B420" s="28"/>
      <c r="C420" s="28"/>
      <c r="D420" s="28"/>
      <c r="E420" s="28"/>
      <c r="F420" s="29">
        <f>COUNTIF($I$206:$I$388,"&lt;0")</f>
      </c>
    </row>
    <row r="421" spans="1:6" x14ac:dyDescent="0.25">
      <c r="A421" s="28" t="s">
        <v>1823</v>
      </c>
      <c r="B421" s="28"/>
      <c r="C421" s="28"/>
      <c r="D421" s="28"/>
      <c r="E421" s="28"/>
      <c r="F421" s="29">
        <f>COUNTA($A$392:$A$396)</f>
      </c>
    </row>
  </sheetData>
  <mergeCells count="247">
    <mergeCell ref="A1:I1"/>
    <mergeCell ref="A2:I2"/>
    <mergeCell ref="A4:I4"/>
    <mergeCell ref="C5:E5"/>
    <mergeCell ref="F5:I5"/>
    <mergeCell ref="C6:E6"/>
    <mergeCell ref="F6:I6"/>
    <mergeCell ref="C7:E7"/>
    <mergeCell ref="F7:I7"/>
    <mergeCell ref="C8:E8"/>
    <mergeCell ref="F8:I8"/>
    <mergeCell ref="A10:I10"/>
    <mergeCell ref="C11:D11"/>
    <mergeCell ref="F11:I11"/>
    <mergeCell ref="C12:D12"/>
    <mergeCell ref="F12:I12"/>
    <mergeCell ref="C13:D13"/>
    <mergeCell ref="F13:I13"/>
    <mergeCell ref="C14:D14"/>
    <mergeCell ref="F14:I14"/>
    <mergeCell ref="C15:D15"/>
    <mergeCell ref="F15:I15"/>
    <mergeCell ref="C16:D16"/>
    <mergeCell ref="F16:I16"/>
    <mergeCell ref="C17:D17"/>
    <mergeCell ref="F17:I17"/>
    <mergeCell ref="A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40:I40"/>
    <mergeCell ref="F41:I41"/>
    <mergeCell ref="F42:I42"/>
    <mergeCell ref="F43:I43"/>
    <mergeCell ref="F44:I44"/>
    <mergeCell ref="F45:I45"/>
    <mergeCell ref="F46:I46"/>
    <mergeCell ref="F47:I47"/>
    <mergeCell ref="F48:I48"/>
    <mergeCell ref="F49:I49"/>
    <mergeCell ref="F50:I50"/>
    <mergeCell ref="F51:I51"/>
    <mergeCell ref="F52:I52"/>
    <mergeCell ref="F53:I53"/>
    <mergeCell ref="F54:I54"/>
    <mergeCell ref="F55:I55"/>
    <mergeCell ref="F56:I56"/>
    <mergeCell ref="F57:I57"/>
    <mergeCell ref="F58:I58"/>
    <mergeCell ref="F59:I59"/>
    <mergeCell ref="F60:I60"/>
    <mergeCell ref="F61:I61"/>
    <mergeCell ref="F62:I62"/>
    <mergeCell ref="F63:I63"/>
    <mergeCell ref="F64:I64"/>
    <mergeCell ref="F65:I65"/>
    <mergeCell ref="F66:I66"/>
    <mergeCell ref="F67:I67"/>
    <mergeCell ref="F68:I68"/>
    <mergeCell ref="F69:I69"/>
    <mergeCell ref="F70:I70"/>
    <mergeCell ref="F71:I71"/>
    <mergeCell ref="F72:I72"/>
    <mergeCell ref="F73:I73"/>
    <mergeCell ref="F74:I74"/>
    <mergeCell ref="F75:I75"/>
    <mergeCell ref="F76:I76"/>
    <mergeCell ref="F77:I77"/>
    <mergeCell ref="F78:I78"/>
    <mergeCell ref="F79:I79"/>
    <mergeCell ref="F80:I80"/>
    <mergeCell ref="F81:I81"/>
    <mergeCell ref="F82:I82"/>
    <mergeCell ref="F83:I83"/>
    <mergeCell ref="F84:I84"/>
    <mergeCell ref="F85:I85"/>
    <mergeCell ref="F86:I86"/>
    <mergeCell ref="F87:I87"/>
    <mergeCell ref="F88:I88"/>
    <mergeCell ref="F89:I89"/>
    <mergeCell ref="F90:I90"/>
    <mergeCell ref="F91:I91"/>
    <mergeCell ref="F92:I92"/>
    <mergeCell ref="F93:I93"/>
    <mergeCell ref="F94:I94"/>
    <mergeCell ref="F95:I95"/>
    <mergeCell ref="F96:I96"/>
    <mergeCell ref="F97:I97"/>
    <mergeCell ref="F98:I98"/>
    <mergeCell ref="F99:I99"/>
    <mergeCell ref="F100:I100"/>
    <mergeCell ref="F101:I101"/>
    <mergeCell ref="F102:I102"/>
    <mergeCell ref="F103:I103"/>
    <mergeCell ref="F104:I104"/>
    <mergeCell ref="F105:I105"/>
    <mergeCell ref="F106:I106"/>
    <mergeCell ref="F107:I107"/>
    <mergeCell ref="F108:I108"/>
    <mergeCell ref="F109:I109"/>
    <mergeCell ref="F110:I110"/>
    <mergeCell ref="F111:I111"/>
    <mergeCell ref="F112:I112"/>
    <mergeCell ref="F113:I113"/>
    <mergeCell ref="F114:I114"/>
    <mergeCell ref="F115:I115"/>
    <mergeCell ref="F116:I116"/>
    <mergeCell ref="F117:I117"/>
    <mergeCell ref="F118:I118"/>
    <mergeCell ref="F119:I119"/>
    <mergeCell ref="F120:I120"/>
    <mergeCell ref="F121:I121"/>
    <mergeCell ref="F122:I122"/>
    <mergeCell ref="F123:I123"/>
    <mergeCell ref="F124:I124"/>
    <mergeCell ref="F125:I125"/>
    <mergeCell ref="F126:I126"/>
    <mergeCell ref="F127:I127"/>
    <mergeCell ref="F128:I128"/>
    <mergeCell ref="F129:I129"/>
    <mergeCell ref="F130:I130"/>
    <mergeCell ref="F131:I131"/>
    <mergeCell ref="F132:I132"/>
    <mergeCell ref="F133:I133"/>
    <mergeCell ref="F134:I134"/>
    <mergeCell ref="F135:I135"/>
    <mergeCell ref="F136:I136"/>
    <mergeCell ref="F137:I137"/>
    <mergeCell ref="F138:I138"/>
    <mergeCell ref="F139:I139"/>
    <mergeCell ref="F140:I140"/>
    <mergeCell ref="F141:I141"/>
    <mergeCell ref="F142:I142"/>
    <mergeCell ref="F143:I143"/>
    <mergeCell ref="F144:I144"/>
    <mergeCell ref="F145:I145"/>
    <mergeCell ref="F146:I146"/>
    <mergeCell ref="F147:I147"/>
    <mergeCell ref="F148:I148"/>
    <mergeCell ref="F149:I149"/>
    <mergeCell ref="F150:I150"/>
    <mergeCell ref="F151:I151"/>
    <mergeCell ref="F152:I152"/>
    <mergeCell ref="F153:I153"/>
    <mergeCell ref="F154:I154"/>
    <mergeCell ref="F155:I155"/>
    <mergeCell ref="F156:I156"/>
    <mergeCell ref="F157:I157"/>
    <mergeCell ref="F158:I158"/>
    <mergeCell ref="F159:I159"/>
    <mergeCell ref="F160:I160"/>
    <mergeCell ref="F161:I161"/>
    <mergeCell ref="F162:I162"/>
    <mergeCell ref="F163:I163"/>
    <mergeCell ref="A165:I165"/>
    <mergeCell ref="F166:I166"/>
    <mergeCell ref="F167:I167"/>
    <mergeCell ref="F168:I168"/>
    <mergeCell ref="F169:I169"/>
    <mergeCell ref="F170:I170"/>
    <mergeCell ref="F171:I171"/>
    <mergeCell ref="F172:I172"/>
    <mergeCell ref="F173:I173"/>
    <mergeCell ref="F174:I174"/>
    <mergeCell ref="F175:I175"/>
    <mergeCell ref="F176:I176"/>
    <mergeCell ref="F177:I177"/>
    <mergeCell ref="F178:I178"/>
    <mergeCell ref="F179:I179"/>
    <mergeCell ref="F180:I180"/>
    <mergeCell ref="F181:I181"/>
    <mergeCell ref="F182:I182"/>
    <mergeCell ref="F183:I183"/>
    <mergeCell ref="F184:I184"/>
    <mergeCell ref="F185:I185"/>
    <mergeCell ref="F186:I186"/>
    <mergeCell ref="F187:I187"/>
    <mergeCell ref="F188:I188"/>
    <mergeCell ref="F189:I189"/>
    <mergeCell ref="F190:I190"/>
    <mergeCell ref="F191:I191"/>
    <mergeCell ref="F192:I192"/>
    <mergeCell ref="F193:I193"/>
    <mergeCell ref="F194:I194"/>
    <mergeCell ref="F195:I195"/>
    <mergeCell ref="F196:I196"/>
    <mergeCell ref="F197:I197"/>
    <mergeCell ref="F198:I198"/>
    <mergeCell ref="F199:I199"/>
    <mergeCell ref="F200:I200"/>
    <mergeCell ref="F201:I201"/>
    <mergeCell ref="F202:I202"/>
    <mergeCell ref="A204:I204"/>
    <mergeCell ref="A390:I390"/>
    <mergeCell ref="F391:I391"/>
    <mergeCell ref="F392:I392"/>
    <mergeCell ref="F393:I393"/>
    <mergeCell ref="F394:I394"/>
    <mergeCell ref="F395:I395"/>
    <mergeCell ref="F396:I396"/>
    <mergeCell ref="F397:I397"/>
    <mergeCell ref="A399:I399"/>
    <mergeCell ref="B400:C400"/>
    <mergeCell ref="D400:I400"/>
    <mergeCell ref="B401:C401"/>
    <mergeCell ref="D401:I401"/>
    <mergeCell ref="B402:C402"/>
    <mergeCell ref="D402:I402"/>
    <mergeCell ref="B403:C403"/>
    <mergeCell ref="D403:I403"/>
    <mergeCell ref="B404:C404"/>
    <mergeCell ref="D404:I404"/>
    <mergeCell ref="B405:C405"/>
    <mergeCell ref="D405:I405"/>
    <mergeCell ref="B406:C406"/>
    <mergeCell ref="D406:I406"/>
    <mergeCell ref="A408:I408"/>
    <mergeCell ref="A409:E409"/>
    <mergeCell ref="A410:E410"/>
    <mergeCell ref="A411:E411"/>
    <mergeCell ref="A412:E412"/>
    <mergeCell ref="A413:E413"/>
    <mergeCell ref="A414:E414"/>
    <mergeCell ref="A415:E415"/>
    <mergeCell ref="A416:E416"/>
    <mergeCell ref="A417:E417"/>
    <mergeCell ref="A418:E418"/>
    <mergeCell ref="A419:E419"/>
    <mergeCell ref="A420:E420"/>
    <mergeCell ref="A421:E421"/>
  </mergeCells>
  <conditionalFormatting sqref="I206:I388">
    <cfRule type="cellIs" dxfId="31" priority="1" operator="greaterThan">
      <formula>0</formula>
    </cfRule>
    <cfRule type="cellIs" dxfId="32" priority="2" operator="lessThan">
      <formula>0</formula>
    </cfRule>
  </conditionalFormatting>
  <conditionalFormatting sqref="C392:C396">
    <cfRule type="containsText" dxfId="33" priority="1" operator="containsText" text="AUDIENCE">
      <formula>NOT(ISERROR(SEARCH("AUDIENCE",C392)))</formula>
    </cfRule>
    <cfRule type="containsText" dxfId="34" priority="2" operator="containsText" text="CONTENT">
      <formula>NOT(ISERROR(SEARCH("CONTENT",C392)))</formula>
    </cfRule>
    <cfRule type="containsText" dxfId="35" priority="3" operator="containsText" text="UNMAPPED">
      <formula>NOT(ISERROR(SEARCH("UNMAPPED",C392)))</formula>
    </cfRule>
  </conditionalFormatting>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
  <sheetViews>
    <sheetView workbookViewId="0">
      <pane ySplit="3" topLeftCell="A4" activePane="bottomLeft" state="frozen"/>
      <selection pane="bottomLeft"/>
    </sheetView>
  </sheetViews>
  <sheetFormatPr defaultRowHeight="15" outlineLevelRow="0" outlineLevelCol="0" x14ac:dyDescent="55"/>
  <cols>
    <col min="1" max="1" width="32" customWidth="1"/>
    <col min="2" max="2" width="118" customWidth="1"/>
    <col min="3" max="3" width="30" customWidth="1"/>
  </cols>
  <sheetData>
    <row r="1" ht="24" customHeight="1" spans="1:3" x14ac:dyDescent="0.25">
      <c r="A1" s="1" t="s">
        <v>0</v>
      </c>
      <c r="B1" s="1"/>
      <c r="C1" s="1"/>
    </row>
    <row r="2" ht="30" customHeight="1" spans="1:3" x14ac:dyDescent="0.25">
      <c r="A2" s="2" t="s">
        <v>1</v>
      </c>
      <c r="B2" s="2"/>
      <c r="C2" s="2"/>
    </row>
    <row r="4" ht="20" customHeight="1" spans="1:3" x14ac:dyDescent="0.25">
      <c r="A4" s="3" t="s">
        <v>2</v>
      </c>
      <c r="B4" s="3"/>
      <c r="C4" s="3"/>
    </row>
    <row r="5" ht="64" customHeight="1" spans="1:3" x14ac:dyDescent="0.25">
      <c r="A5" s="4" t="s">
        <v>3</v>
      </c>
      <c r="B5" s="5" t="s">
        <v>4</v>
      </c>
      <c r="C5" s="5"/>
    </row>
    <row r="6" ht="49" customHeight="1" spans="1:3" x14ac:dyDescent="0.25">
      <c r="A6" s="4" t="s">
        <v>3</v>
      </c>
      <c r="B6" s="5" t="s">
        <v>5</v>
      </c>
      <c r="C6" s="5"/>
    </row>
    <row r="7" ht="20" customHeight="1" spans="1:3" x14ac:dyDescent="0.25">
      <c r="A7" s="3" t="s">
        <v>6</v>
      </c>
      <c r="B7" s="3"/>
      <c r="C7" s="3"/>
    </row>
    <row r="8" ht="49" customHeight="1" spans="1:3" x14ac:dyDescent="0.25">
      <c r="A8" s="4" t="s">
        <v>3</v>
      </c>
      <c r="B8" s="5" t="s">
        <v>7</v>
      </c>
      <c r="C8" s="5"/>
    </row>
    <row r="9" ht="64" customHeight="1" spans="1:3" x14ac:dyDescent="0.25">
      <c r="A9" s="4" t="s">
        <v>3</v>
      </c>
      <c r="B9" s="5" t="s">
        <v>8</v>
      </c>
      <c r="C9" s="5"/>
    </row>
    <row r="10" ht="20" customHeight="1" spans="1:3" x14ac:dyDescent="0.25">
      <c r="A10" s="3" t="s">
        <v>9</v>
      </c>
      <c r="B10" s="3"/>
      <c r="C10" s="3"/>
    </row>
    <row r="11" ht="64" customHeight="1" spans="1:3" x14ac:dyDescent="0.25">
      <c r="A11" s="4" t="s">
        <v>3</v>
      </c>
      <c r="B11" s="5" t="s">
        <v>10</v>
      </c>
      <c r="C11" s="5"/>
    </row>
    <row r="12" ht="49" customHeight="1" spans="1:3" x14ac:dyDescent="0.25">
      <c r="A12" s="4" t="s">
        <v>3</v>
      </c>
      <c r="B12" s="5" t="s">
        <v>11</v>
      </c>
      <c r="C12" s="5"/>
    </row>
    <row r="13" ht="20" customHeight="1" spans="1:3" x14ac:dyDescent="0.25">
      <c r="A13" s="3" t="s">
        <v>12</v>
      </c>
      <c r="B13" s="3"/>
      <c r="C13" s="3"/>
    </row>
    <row r="14" ht="49" customHeight="1" spans="1:3" x14ac:dyDescent="0.25">
      <c r="A14" s="4" t="s">
        <v>13</v>
      </c>
      <c r="B14" s="5" t="s">
        <v>14</v>
      </c>
      <c r="C14" s="5"/>
    </row>
    <row r="15" ht="34" customHeight="1" spans="1:3" x14ac:dyDescent="0.25">
      <c r="A15" s="4" t="s">
        <v>15</v>
      </c>
      <c r="B15" s="5" t="s">
        <v>16</v>
      </c>
      <c r="C15" s="5"/>
    </row>
    <row r="16" ht="19" customHeight="1" spans="1:3" x14ac:dyDescent="0.25">
      <c r="A16" s="4" t="s">
        <v>17</v>
      </c>
      <c r="B16" s="5" t="s">
        <v>18</v>
      </c>
      <c r="C16" s="5"/>
    </row>
    <row r="17" ht="34" customHeight="1" spans="1:3" x14ac:dyDescent="0.25">
      <c r="A17" s="4" t="s">
        <v>19</v>
      </c>
      <c r="B17" s="5" t="s">
        <v>20</v>
      </c>
      <c r="C17" s="5"/>
    </row>
    <row r="18" ht="34" customHeight="1" spans="1:3" x14ac:dyDescent="0.25">
      <c r="A18" s="4" t="s">
        <v>21</v>
      </c>
      <c r="B18" s="5" t="s">
        <v>22</v>
      </c>
      <c r="C18" s="5"/>
    </row>
    <row r="19" ht="34" customHeight="1" spans="1:3" x14ac:dyDescent="0.25">
      <c r="A19" s="4" t="s">
        <v>23</v>
      </c>
      <c r="B19" s="5" t="s">
        <v>24</v>
      </c>
      <c r="C19" s="5"/>
    </row>
    <row r="20" ht="20" customHeight="1" spans="1:3" x14ac:dyDescent="0.25">
      <c r="A20" s="3" t="s">
        <v>25</v>
      </c>
      <c r="B20" s="3"/>
      <c r="C20" s="3"/>
    </row>
    <row r="21" ht="34" customHeight="1" spans="1:3" x14ac:dyDescent="0.25">
      <c r="A21" s="6" t="s">
        <v>26</v>
      </c>
      <c r="B21" s="6"/>
      <c r="C21" s="6"/>
    </row>
    <row r="23" ht="49" customHeight="1" spans="1:3" x14ac:dyDescent="0.25">
      <c r="A23" s="4" t="s">
        <v>3</v>
      </c>
      <c r="B23" s="5" t="s">
        <v>27</v>
      </c>
      <c r="C23" s="5"/>
    </row>
    <row r="24" ht="20" customHeight="1" spans="1:3" x14ac:dyDescent="0.25">
      <c r="A24" s="3" t="s">
        <v>28</v>
      </c>
      <c r="B24" s="3"/>
      <c r="C24" s="3"/>
    </row>
    <row r="25" ht="64" customHeight="1" spans="1:3" x14ac:dyDescent="0.25">
      <c r="A25" s="4" t="s">
        <v>29</v>
      </c>
      <c r="B25" s="5" t="s">
        <v>30</v>
      </c>
      <c r="C25" s="5"/>
    </row>
    <row r="26" ht="34" customHeight="1" spans="1:3" x14ac:dyDescent="0.25">
      <c r="A26" s="4" t="s">
        <v>31</v>
      </c>
      <c r="B26" s="5" t="s">
        <v>32</v>
      </c>
      <c r="C26" s="5"/>
    </row>
    <row r="27" ht="34" customHeight="1" spans="1:3" x14ac:dyDescent="0.25">
      <c r="A27" s="4" t="s">
        <v>33</v>
      </c>
      <c r="B27" s="5" t="s">
        <v>34</v>
      </c>
      <c r="C27" s="5"/>
    </row>
    <row r="28" ht="34" customHeight="1" spans="1:3" x14ac:dyDescent="0.25">
      <c r="A28" s="4" t="s">
        <v>35</v>
      </c>
      <c r="B28" s="5" t="s">
        <v>36</v>
      </c>
      <c r="C28" s="5"/>
    </row>
    <row r="29" ht="79" customHeight="1" spans="1:3" x14ac:dyDescent="0.25">
      <c r="A29" s="4" t="s">
        <v>37</v>
      </c>
      <c r="B29" s="5" t="s">
        <v>38</v>
      </c>
      <c r="C29" s="5"/>
    </row>
    <row r="30" ht="20" customHeight="1" spans="1:3" x14ac:dyDescent="0.25">
      <c r="A30" s="3" t="s">
        <v>39</v>
      </c>
      <c r="B30" s="3"/>
      <c r="C30" s="3"/>
    </row>
    <row r="31" ht="64" customHeight="1" spans="1:3" x14ac:dyDescent="0.25">
      <c r="A31" s="4" t="s">
        <v>3</v>
      </c>
      <c r="B31" s="5" t="s">
        <v>40</v>
      </c>
      <c r="C31" s="5"/>
    </row>
    <row r="32" ht="20" customHeight="1" spans="1:3" x14ac:dyDescent="0.25">
      <c r="A32" s="3" t="s">
        <v>41</v>
      </c>
      <c r="B32" s="3"/>
      <c r="C32" s="3"/>
    </row>
    <row r="33" ht="49" customHeight="1" spans="1:3" x14ac:dyDescent="0.25">
      <c r="A33" s="4" t="s">
        <v>3</v>
      </c>
      <c r="B33" s="5" t="s">
        <v>42</v>
      </c>
      <c r="C33" s="5"/>
    </row>
    <row r="34" ht="20" customHeight="1" spans="1:3" x14ac:dyDescent="0.25">
      <c r="A34" s="3" t="s">
        <v>43</v>
      </c>
      <c r="B34" s="3"/>
      <c r="C34" s="3"/>
    </row>
    <row r="35" ht="64" customHeight="1" spans="1:3" x14ac:dyDescent="0.25">
      <c r="A35" s="4" t="s">
        <v>3</v>
      </c>
      <c r="B35" s="5" t="s">
        <v>44</v>
      </c>
      <c r="C35" s="5"/>
    </row>
    <row r="36" ht="20" customHeight="1" spans="1:3" x14ac:dyDescent="0.25">
      <c r="A36" s="3" t="s">
        <v>45</v>
      </c>
      <c r="B36" s="3"/>
      <c r="C36" s="3"/>
    </row>
    <row r="37" ht="49" customHeight="1" spans="1:3" x14ac:dyDescent="0.25">
      <c r="A37" s="4" t="s">
        <v>3</v>
      </c>
      <c r="B37" s="5" t="s">
        <v>46</v>
      </c>
      <c r="C37" s="5"/>
    </row>
    <row r="38" ht="20" customHeight="1" spans="1:3" x14ac:dyDescent="0.25">
      <c r="A38" s="3" t="s">
        <v>47</v>
      </c>
      <c r="B38" s="3"/>
      <c r="C38" s="3"/>
    </row>
    <row r="39" ht="64" customHeight="1" spans="1:3" x14ac:dyDescent="0.25">
      <c r="A39" s="4" t="s">
        <v>3</v>
      </c>
      <c r="B39" s="5" t="s">
        <v>48</v>
      </c>
      <c r="C39" s="5"/>
    </row>
    <row r="40" ht="20" customHeight="1" spans="1:3" x14ac:dyDescent="0.25">
      <c r="A40" s="3" t="s">
        <v>49</v>
      </c>
      <c r="B40" s="3"/>
      <c r="C40" s="3"/>
    </row>
    <row r="41" ht="49" customHeight="1" spans="1:3" x14ac:dyDescent="0.25">
      <c r="A41" s="4" t="s">
        <v>3</v>
      </c>
      <c r="B41" s="5" t="s">
        <v>50</v>
      </c>
      <c r="C41" s="5"/>
    </row>
    <row r="42" ht="49" customHeight="1" spans="1:3" x14ac:dyDescent="0.25">
      <c r="A42" s="4" t="s">
        <v>51</v>
      </c>
      <c r="B42" s="5" t="s">
        <v>52</v>
      </c>
      <c r="C42" s="5"/>
    </row>
    <row r="43" ht="49" customHeight="1" spans="1:3" x14ac:dyDescent="0.25">
      <c r="A43" s="4" t="s">
        <v>53</v>
      </c>
      <c r="B43" s="5" t="s">
        <v>54</v>
      </c>
      <c r="C43" s="5"/>
    </row>
    <row r="44" ht="49" customHeight="1" spans="1:3" x14ac:dyDescent="0.25">
      <c r="A44" s="4" t="s">
        <v>55</v>
      </c>
      <c r="B44" s="5" t="s">
        <v>56</v>
      </c>
      <c r="C44" s="5"/>
    </row>
    <row r="45" ht="20" customHeight="1" spans="1:3" x14ac:dyDescent="0.25">
      <c r="A45" s="3" t="s">
        <v>57</v>
      </c>
      <c r="B45" s="3"/>
      <c r="C45" s="3"/>
    </row>
    <row r="46" ht="49" customHeight="1" spans="1:3" x14ac:dyDescent="0.25">
      <c r="A46" s="4" t="s">
        <v>58</v>
      </c>
      <c r="B46" s="5" t="s">
        <v>59</v>
      </c>
      <c r="C46" s="5"/>
    </row>
    <row r="47" ht="34" customHeight="1" spans="1:3" x14ac:dyDescent="0.25">
      <c r="A47" s="4" t="s">
        <v>60</v>
      </c>
      <c r="B47" s="5" t="s">
        <v>61</v>
      </c>
      <c r="C47" s="5"/>
    </row>
    <row r="48" ht="49" customHeight="1" spans="1:3" x14ac:dyDescent="0.25">
      <c r="A48" s="4" t="s">
        <v>62</v>
      </c>
      <c r="B48" s="5" t="s">
        <v>63</v>
      </c>
      <c r="C48" s="5"/>
    </row>
    <row r="49" ht="34" customHeight="1" spans="1:3" x14ac:dyDescent="0.25">
      <c r="A49" s="4" t="s">
        <v>64</v>
      </c>
      <c r="B49" s="5" t="s">
        <v>65</v>
      </c>
      <c r="C49" s="5"/>
    </row>
    <row r="50" ht="64" customHeight="1" spans="1:3" x14ac:dyDescent="0.25">
      <c r="A50" s="4" t="s">
        <v>66</v>
      </c>
      <c r="B50" s="5" t="s">
        <v>67</v>
      </c>
      <c r="C50" s="5"/>
    </row>
  </sheetData>
  <mergeCells count="48">
    <mergeCell ref="A1:C1"/>
    <mergeCell ref="A2:C2"/>
    <mergeCell ref="A4:C4"/>
    <mergeCell ref="B5:C5"/>
    <mergeCell ref="B6:C6"/>
    <mergeCell ref="A7:C7"/>
    <mergeCell ref="B8:C8"/>
    <mergeCell ref="B9:C9"/>
    <mergeCell ref="A10:C10"/>
    <mergeCell ref="B11:C11"/>
    <mergeCell ref="B12:C12"/>
    <mergeCell ref="A13:C13"/>
    <mergeCell ref="B14:C14"/>
    <mergeCell ref="B15:C15"/>
    <mergeCell ref="B16:C16"/>
    <mergeCell ref="B17:C17"/>
    <mergeCell ref="B18:C18"/>
    <mergeCell ref="B19:C19"/>
    <mergeCell ref="A20:C20"/>
    <mergeCell ref="A21:C21"/>
    <mergeCell ref="B23:C23"/>
    <mergeCell ref="A24:C24"/>
    <mergeCell ref="B25:C25"/>
    <mergeCell ref="B26:C26"/>
    <mergeCell ref="B27:C27"/>
    <mergeCell ref="B28:C28"/>
    <mergeCell ref="B29:C29"/>
    <mergeCell ref="A30:C30"/>
    <mergeCell ref="B31:C31"/>
    <mergeCell ref="A32:C32"/>
    <mergeCell ref="B33:C33"/>
    <mergeCell ref="A34:C34"/>
    <mergeCell ref="B35:C35"/>
    <mergeCell ref="A36:C36"/>
    <mergeCell ref="B37:C37"/>
    <mergeCell ref="A38:C38"/>
    <mergeCell ref="B39:C39"/>
    <mergeCell ref="A40:C40"/>
    <mergeCell ref="B41:C41"/>
    <mergeCell ref="B42:C42"/>
    <mergeCell ref="B43:C43"/>
    <mergeCell ref="B44:C44"/>
    <mergeCell ref="A45:C45"/>
    <mergeCell ref="B46:C46"/>
    <mergeCell ref="B47:C47"/>
    <mergeCell ref="B48:C48"/>
    <mergeCell ref="B49:C49"/>
    <mergeCell ref="B50:C5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Brand_Profile</vt:lpstr>
      <vt:lpstr>KOL_Database</vt:lpstr>
      <vt:lpstr>Matching_Engine</vt:lpstr>
      <vt:lpstr>Match_Explanation</vt:lpstr>
      <vt:lpstr>Discovery_Filters</vt:lpstr>
      <vt:lpstr>Discovery_Ranking</vt:lpstr>
      <vt:lpstr>Filter_Logic</vt:lpstr>
      <vt:lpstr>Taxonomy</vt:lpstr>
      <vt:lpstr>Sample_Brands</vt:lpstr>
      <vt:lpstr>Sample_Output</vt:lpstr>
      <vt:lpstr>Lookup_Lists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Autometric — Brand Match Engine generator</dc:creator>
  <dc:title/>
  <dc:subject/>
  <dc:description/>
  <cp:keywords/>
  <cp:category/>
  <cp:lastModifiedBy>scripts/build-brand-match-workbook.mjs</cp:lastModifiedBy>
  <dcterms:created xsi:type="dcterms:W3CDTF">2026-09-09T14:17:41Z</dcterms:created>
  <dcterms:modified xsi:type="dcterms:W3CDTF">2026-09-09T14:17:41Z</dcterms:modified>
</cp:coreProperties>
</file>